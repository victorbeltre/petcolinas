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📊 Dashboard" sheetId="1" state="visible" r:id="rId1"/>
    <sheet xmlns:r="http://schemas.openxmlformats.org/officeDocument/2006/relationships" name="💰 Ventas 2026" sheetId="2" state="visible" r:id="rId2"/>
    <sheet xmlns:r="http://schemas.openxmlformats.org/officeDocument/2006/relationships" name="📅 Ventas 2025" sheetId="3" state="visible" r:id="rId3"/>
    <sheet xmlns:r="http://schemas.openxmlformats.org/officeDocument/2006/relationships" name="📋 Gastos y Facturas" sheetId="4" state="visible" r:id="rId4"/>
    <sheet xmlns:r="http://schemas.openxmlformats.org/officeDocument/2006/relationships" name="📦 Inventario" sheetId="5" state="visible" r:id="rId5"/>
    <sheet xmlns:r="http://schemas.openxmlformats.org/officeDocument/2006/relationships" name="👥 Clientes CRM" sheetId="6" state="visible" r:id="rId6"/>
    <sheet xmlns:r="http://schemas.openxmlformats.org/officeDocument/2006/relationships" name="👷 Nómina" sheetId="7" state="visible" r:id="rId7"/>
    <sheet xmlns:r="http://schemas.openxmlformats.org/officeDocument/2006/relationships" name="🏦 Cuadre de Caja" sheetId="8" state="visible" r:id="rId8"/>
    <sheet xmlns:r="http://schemas.openxmlformats.org/officeDocument/2006/relationships" name="📉 P&amp;L Mensual" sheetId="9" state="visible" r:id="rId9"/>
    <sheet xmlns:r="http://schemas.openxmlformats.org/officeDocument/2006/relationships" name="💲 Tarifario Comisi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&quot; RD$&quot;"/>
    <numFmt numFmtId="165" formatCode="0.0%"/>
    <numFmt numFmtId="166" formatCode="&quot;RD$ &quot;#,##0.00"/>
    <numFmt numFmtId="167" formatCode="&quot;RD$ &quot;#,##0"/>
    <numFmt numFmtId="168" formatCode="&quot;RD$ &quot;+#,##0;&quot;-RD$ &quot;#,##0"/>
    <numFmt numFmtId="169" formatCode="+0.0%;-0.0%"/>
    <numFmt numFmtId="170" formatCode="yyyy-mm-dd"/>
    <numFmt numFmtId="171" formatCode="YYYY-MM-DD"/>
  </numFmts>
  <fonts count="49">
    <font>
      <name val="Calibri"/>
      <color theme="1"/>
      <sz val="11"/>
      <scheme val="minor"/>
    </font>
    <font>
      <name val="Calibri"/>
      <b val="1"/>
      <color rgb="FFFFFFFF"/>
      <sz val="16"/>
    </font>
    <font/>
    <font>
      <name val="Calibri"/>
      <i val="1"/>
      <color rgb="FF374151"/>
      <sz val="10"/>
    </font>
    <font>
      <name val="Calibri"/>
      <b val="1"/>
      <color rgb="FFFFFFFF"/>
      <sz val="11"/>
    </font>
    <font>
      <name val="Calibri"/>
      <b val="1"/>
      <color rgb="FFFFFFFF"/>
      <sz val="9"/>
    </font>
    <font>
      <name val="Calibri"/>
      <color rgb="FF1A1D23"/>
      <sz val="10"/>
    </font>
    <font>
      <name val="Calibri"/>
      <b val="1"/>
      <color rgb="FF1A6B3A"/>
      <sz val="12"/>
    </font>
    <font>
      <name val="Calibri"/>
      <b val="1"/>
      <color rgb="FFF59E0B"/>
      <sz val="11"/>
    </font>
    <font>
      <name val="Calibri"/>
      <b val="1"/>
      <color rgb="FF1A6B3A"/>
      <sz val="11"/>
    </font>
    <font>
      <name val="Calibri"/>
      <b val="1"/>
      <color rgb="FFFFFFFF"/>
      <sz val="10"/>
    </font>
    <font>
      <name val="Calibri"/>
      <b val="1"/>
      <color rgb="FFFFFFFF"/>
      <sz val="12"/>
    </font>
    <font>
      <name val="Calibri"/>
      <color theme="1"/>
      <sz val="10"/>
      <scheme val="minor"/>
    </font>
    <font>
      <name val="Calibri"/>
      <b val="1"/>
      <color theme="1"/>
      <scheme val="minor"/>
    </font>
    <font>
      <name val="Calibri"/>
      <b val="1"/>
      <color rgb="FFC0392B"/>
      <sz val="11"/>
    </font>
    <font>
      <name val="Calibri"/>
      <b val="1"/>
      <color rgb="FFFFFFFF"/>
      <sz val="13"/>
    </font>
    <font>
      <name val="Calibri"/>
      <i val="1"/>
      <color rgb="FFFFFFFF"/>
      <sz val="10"/>
    </font>
    <font>
      <name val="Calibri"/>
      <b val="1"/>
      <color rgb="FF4CAF73"/>
      <sz val="10"/>
    </font>
    <font>
      <name val="Calibri"/>
      <b val="1"/>
      <color rgb="FF1A56DB"/>
      <sz val="10"/>
    </font>
    <font>
      <name val="Calibri"/>
      <b val="1"/>
      <color rgb="FFF59E0B"/>
      <sz val="10"/>
    </font>
    <font>
      <name val="Calibri"/>
      <b val="1"/>
      <color rgb="FF1A6B3A"/>
      <sz val="10"/>
    </font>
    <font>
      <name val="Calibri"/>
      <color theme="1"/>
      <sz val="11"/>
    </font>
    <font>
      <name val="Calibri"/>
      <color rgb="FFC0392B"/>
      <sz val="10"/>
    </font>
    <font>
      <name val="Calibri"/>
      <color rgb="FF374151"/>
      <sz val="10"/>
    </font>
    <font>
      <name val="Calibri"/>
      <color rgb="FF1E3A8A"/>
      <sz val="10"/>
    </font>
    <font>
      <name val="Calibri"/>
      <color rgb="FF4CAF73"/>
      <sz val="10"/>
    </font>
    <font>
      <name val="Calibri"/>
      <i val="1"/>
      <color rgb="FF1E3A8A"/>
      <sz val="9"/>
    </font>
    <font>
      <name val="Calibri"/>
      <b val="1"/>
      <color rgb="FF7C3AED"/>
      <sz val="10"/>
    </font>
    <font>
      <name val="Calibri"/>
      <b val="1"/>
      <color rgb="FF5B21B6"/>
      <sz val="10"/>
    </font>
    <font>
      <name val="Calibri"/>
      <b val="1"/>
      <color rgb="FF92400E"/>
      <sz val="10"/>
    </font>
    <font>
      <name val="Calibri"/>
      <i val="1"/>
      <color rgb="FF5B21B6"/>
      <sz val="9"/>
    </font>
    <font>
      <name val="Calibri"/>
      <b val="1"/>
      <color rgb="FFC0392B"/>
      <sz val="10"/>
    </font>
    <font>
      <name val="Calibri"/>
      <i val="1"/>
      <color rgb="FF374151"/>
      <sz val="9"/>
    </font>
    <font>
      <b val="1"/>
    </font>
    <font>
      <i val="1"/>
      <color rgb="00FF6600"/>
    </font>
    <font>
      <i val="1"/>
      <color rgb="000070C0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375623"/>
      <sz val="9"/>
    </font>
    <font>
      <name val="Arial"/>
      <b val="1"/>
      <color rgb="00C00000"/>
      <sz val="9"/>
    </font>
    <font>
      <name val="Arial"/>
      <b val="1"/>
      <color rgb="001F3864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sz val="11"/>
    </font>
    <font>
      <name val="Arial"/>
      <b val="1"/>
      <color rgb="00C00000"/>
      <sz val="13"/>
    </font>
    <font>
      <name val="Arial"/>
      <i val="1"/>
      <color rgb="00595959"/>
      <sz val="8"/>
    </font>
    <font>
      <name val="Arial"/>
      <i val="1"/>
      <sz val="8"/>
    </font>
    <font>
      <name val="Arial"/>
      <i val="1"/>
      <color rgb="00FF6600"/>
      <sz val="8"/>
    </font>
  </fonts>
  <fills count="30">
    <fill>
      <patternFill/>
    </fill>
    <fill>
      <patternFill patternType="lightGray"/>
    </fill>
    <fill>
      <patternFill patternType="solid">
        <fgColor rgb="FF0F4424"/>
        <bgColor rgb="FF0F4424"/>
      </patternFill>
    </fill>
    <fill>
      <patternFill patternType="solid">
        <fgColor rgb="FFE6F4EC"/>
        <bgColor rgb="FFE6F4EC"/>
      </patternFill>
    </fill>
    <fill>
      <patternFill patternType="solid">
        <fgColor rgb="FF374151"/>
        <bgColor rgb="FF374151"/>
      </patternFill>
    </fill>
    <fill>
      <patternFill patternType="solid">
        <fgColor rgb="FF4CAF73"/>
        <bgColor rgb="FF4CAF73"/>
      </patternFill>
    </fill>
    <fill>
      <patternFill patternType="solid">
        <fgColor rgb="FFFFFFFF"/>
        <bgColor rgb="FFFFFFFF"/>
      </patternFill>
    </fill>
    <fill>
      <patternFill patternType="solid">
        <fgColor rgb="FF1A56DB"/>
        <bgColor rgb="FF1A56DB"/>
      </patternFill>
    </fill>
    <fill>
      <patternFill patternType="solid">
        <fgColor rgb="FFF3F4F6"/>
        <bgColor rgb="FFF3F4F6"/>
      </patternFill>
    </fill>
    <fill>
      <patternFill patternType="solid">
        <fgColor rgb="FF1A6B3A"/>
        <bgColor rgb="FF1A6B3A"/>
      </patternFill>
    </fill>
    <fill>
      <patternFill patternType="solid">
        <fgColor rgb="FFEEF2FF"/>
        <bgColor rgb="FFEEF2FF"/>
      </patternFill>
    </fill>
    <fill>
      <patternFill patternType="solid">
        <fgColor rgb="FFFFF8E6"/>
        <bgColor rgb="FFFFF8E6"/>
      </patternFill>
    </fill>
    <fill>
      <patternFill patternType="solid">
        <fgColor rgb="FFF9FAFB"/>
        <bgColor rgb="FFF9FAFB"/>
      </patternFill>
    </fill>
    <fill>
      <patternFill patternType="solid">
        <fgColor rgb="FFC0392B"/>
        <bgColor rgb="FFC0392B"/>
      </patternFill>
    </fill>
    <fill>
      <patternFill patternType="solid">
        <fgColor rgb="FF059669"/>
        <bgColor rgb="FF059669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F0FFF4"/>
        <bgColor rgb="FFF0FFF4"/>
      </patternFill>
    </fill>
    <fill>
      <patternFill patternType="solid">
        <fgColor rgb="FFF0F4FF"/>
        <bgColor rgb="FFF0F4FF"/>
      </patternFill>
    </fill>
    <fill>
      <patternFill patternType="solid">
        <fgColor rgb="FF5B21B6"/>
        <bgColor rgb="FF5B21B6"/>
      </patternFill>
    </fill>
    <fill>
      <patternFill patternType="solid">
        <fgColor rgb="FFF3F0FF"/>
        <bgColor rgb="FFF3F0FF"/>
      </patternFill>
    </fill>
    <fill>
      <patternFill patternType="solid">
        <fgColor rgb="FFFAF5FF"/>
        <bgColor rgb="FFFAF5FF"/>
      </patternFill>
    </fill>
    <fill>
      <patternFill patternType="solid">
        <fgColor rgb="FFFFFBEB"/>
        <bgColor rgb="FFFFFBEB"/>
      </patternFill>
    </fill>
    <fill>
      <patternFill patternType="solid">
        <fgColor rgb="FF0D9488"/>
        <bgColor rgb="FF0D9488"/>
      </patternFill>
    </fill>
    <fill>
      <patternFill patternType="solid">
        <fgColor rgb="FFF0FDFA"/>
        <bgColor rgb="FFF0FD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D9E1F2"/>
      </patternFill>
    </fill>
  </fills>
  <borders count="20">
    <border/>
    <border>
      <left/>
      <top/>
      <bottom/>
    </border>
    <border>
      <top/>
      <bottom/>
    </border>
    <border>
      <right/>
      <top/>
      <bottom/>
    </border>
    <border>
      <left style="medium">
        <color rgb="FF0F4424"/>
      </left>
      <right style="medium">
        <color rgb="FF0F4424"/>
      </right>
      <top style="medium">
        <color rgb="FF0F4424"/>
      </top>
      <bottom style="medium">
        <color rgb="FF0F4424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medium">
        <color rgb="FF1A6B3A"/>
      </left>
      <right style="medium">
        <color rgb="FF1A6B3A"/>
      </right>
      <top style="medium">
        <color rgb="FF1A6B3A"/>
      </top>
      <bottom style="medium">
        <color rgb="FF1A6B3A"/>
      </bottom>
    </border>
    <border>
      <left style="medium">
        <color rgb="FFC0392B"/>
      </left>
      <right style="medium">
        <color rgb="FFC0392B"/>
      </right>
      <top style="medium">
        <color rgb="FFC0392B"/>
      </top>
      <bottom style="medium">
        <color rgb="FFC0392B"/>
      </bottom>
    </border>
    <border>
      <left style="medium">
        <color rgb="FF059669"/>
      </left>
      <right style="medium">
        <color rgb="FF059669"/>
      </right>
      <top style="medium">
        <color rgb="FF059669"/>
      </top>
      <bottom style="medium">
        <color rgb="FF059669"/>
      </bottom>
    </border>
    <border>
      <left style="medium">
        <color rgb="FF0F4424"/>
      </left>
      <right style="medium">
        <color rgb="FF0F4424"/>
      </right>
      <top style="medium">
        <color rgb="FF0F4424"/>
      </top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right style="thin">
        <color rgb="FFE5E7EB"/>
      </right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left style="medium">
        <color rgb="FF7C3AED"/>
      </left>
      <right style="medium">
        <color rgb="FF7C3AED"/>
      </right>
      <top style="medium">
        <color rgb="FF7C3AED"/>
      </top>
      <bottom style="medium">
        <color rgb="FF7C3AED"/>
      </bottom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</border>
    <border>
      <left/>
      <right/>
      <top/>
      <bottom/>
    </border>
    <border>
      <top style="medium">
        <color rgb="FF0F4424"/>
      </top>
    </border>
    <border>
      <right style="medium">
        <color rgb="FF0F4424"/>
      </right>
      <top style="medium">
        <color rgb="FF0F4424"/>
      </top>
    </border>
    <border>
      <top style="medium">
        <color rgb="FF0F4424"/>
      </top>
      <bottom style="medium">
        <color rgb="FF0F4424"/>
      </bottom>
    </border>
    <border>
      <right style="medium">
        <color rgb="FF0F4424"/>
      </right>
      <top style="medium">
        <color rgb="FF0F4424"/>
      </top>
      <bottom style="medium">
        <color rgb="FF0F4424"/>
      </bottom>
    </border>
  </borders>
  <cellStyleXfs count="1">
    <xf numFmtId="0" fontId="0" fillId="0" borderId="0"/>
  </cellStyleXfs>
  <cellXfs count="20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left" vertical="center"/>
    </xf>
    <xf numFmtId="164" fontId="7" fillId="3" borderId="5" applyAlignment="1" pivotButton="0" quotePrefix="0" xfId="0">
      <alignment horizontal="right" vertical="center"/>
    </xf>
    <xf numFmtId="0" fontId="6" fillId="6" borderId="5" applyAlignment="1" pivotButton="0" quotePrefix="0" xfId="0">
      <alignment horizontal="left" vertical="center"/>
    </xf>
    <xf numFmtId="164" fontId="7" fillId="6" borderId="5" applyAlignment="1" pivotButton="0" quotePrefix="0" xfId="0">
      <alignment horizontal="right" vertical="center"/>
    </xf>
    <xf numFmtId="3" fontId="7" fillId="3" borderId="5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center" vertical="center"/>
    </xf>
    <xf numFmtId="164" fontId="6" fillId="6" borderId="5" applyAlignment="1" pivotButton="0" quotePrefix="0" xfId="0">
      <alignment horizontal="right" vertical="center"/>
    </xf>
    <xf numFmtId="0" fontId="6" fillId="6" borderId="5" applyAlignment="1" pivotButton="0" quotePrefix="0" xfId="0">
      <alignment horizontal="right" vertical="center"/>
    </xf>
    <xf numFmtId="165" fontId="8" fillId="6" borderId="5" applyAlignment="1" pivotButton="0" quotePrefix="0" xfId="0">
      <alignment horizontal="right" vertical="center"/>
    </xf>
    <xf numFmtId="0" fontId="6" fillId="8" borderId="5" applyAlignment="1" pivotButton="0" quotePrefix="0" xfId="0">
      <alignment horizontal="left" vertical="center"/>
    </xf>
    <xf numFmtId="164" fontId="6" fillId="8" borderId="5" applyAlignment="1" pivotButton="0" quotePrefix="0" xfId="0">
      <alignment horizontal="right" vertical="center"/>
    </xf>
    <xf numFmtId="0" fontId="6" fillId="8" borderId="5" applyAlignment="1" pivotButton="0" quotePrefix="0" xfId="0">
      <alignment horizontal="right" vertical="center"/>
    </xf>
    <xf numFmtId="165" fontId="8" fillId="8" borderId="5" applyAlignment="1" pivotButton="0" quotePrefix="0" xfId="0">
      <alignment horizontal="right" vertical="center"/>
    </xf>
    <xf numFmtId="165" fontId="9" fillId="6" borderId="5" applyAlignment="1" pivotButton="0" quotePrefix="0" xfId="0">
      <alignment horizontal="right" vertical="center"/>
    </xf>
    <xf numFmtId="0" fontId="4" fillId="9" borderId="6" applyAlignment="1" pivotButton="0" quotePrefix="0" xfId="0">
      <alignment horizontal="center" vertical="center"/>
    </xf>
    <xf numFmtId="164" fontId="4" fillId="9" borderId="6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9" borderId="4" applyAlignment="1" pivotButton="0" quotePrefix="0" xfId="0">
      <alignment horizontal="center" vertical="center"/>
    </xf>
    <xf numFmtId="165" fontId="6" fillId="6" borderId="5" applyAlignment="1" pivotButton="0" quotePrefix="0" xfId="0">
      <alignment horizontal="right" vertical="center"/>
    </xf>
    <xf numFmtId="0" fontId="6" fillId="10" borderId="5" applyAlignment="1" pivotButton="0" quotePrefix="0" xfId="0">
      <alignment horizontal="left" vertical="center"/>
    </xf>
    <xf numFmtId="165" fontId="6" fillId="8" borderId="5" applyAlignment="1" pivotButton="0" quotePrefix="0" xfId="0">
      <alignment horizontal="right" vertical="center"/>
    </xf>
    <xf numFmtId="0" fontId="6" fillId="11" borderId="5" applyAlignment="1" pivotButton="0" quotePrefix="0" xfId="0">
      <alignment horizontal="left" vertical="center"/>
    </xf>
    <xf numFmtId="0" fontId="10" fillId="9" borderId="4" applyAlignment="1" pivotButton="0" quotePrefix="0" xfId="0">
      <alignment horizontal="center" vertical="center"/>
    </xf>
    <xf numFmtId="164" fontId="6" fillId="11" borderId="5" applyAlignment="1" pivotButton="0" quotePrefix="0" xfId="0">
      <alignment horizontal="right" vertical="center"/>
    </xf>
    <xf numFmtId="0" fontId="6" fillId="12" borderId="5" applyAlignment="1" pivotButton="0" quotePrefix="0" xfId="0">
      <alignment horizontal="left" vertical="center"/>
    </xf>
    <xf numFmtId="164" fontId="6" fillId="12" borderId="5" applyAlignment="1" pivotButton="0" quotePrefix="0" xfId="0">
      <alignment horizontal="right" vertical="center"/>
    </xf>
    <xf numFmtId="164" fontId="6" fillId="10" borderId="5" applyAlignment="1" pivotButton="0" quotePrefix="0" xfId="0">
      <alignment horizontal="right" vertical="center"/>
    </xf>
    <xf numFmtId="164" fontId="6" fillId="3" borderId="5" applyAlignment="1" pivotButton="0" quotePrefix="0" xfId="0">
      <alignment horizontal="right" vertical="center"/>
    </xf>
    <xf numFmtId="0" fontId="10" fillId="13" borderId="4" applyAlignment="1" pivotButton="0" quotePrefix="0" xfId="0">
      <alignment horizontal="center" vertical="center"/>
    </xf>
    <xf numFmtId="0" fontId="4" fillId="13" borderId="7" applyAlignment="1" pivotButton="0" quotePrefix="0" xfId="0">
      <alignment horizontal="center" vertical="center"/>
    </xf>
    <xf numFmtId="164" fontId="4" fillId="13" borderId="7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/>
    </xf>
    <xf numFmtId="0" fontId="10" fillId="14" borderId="4" applyAlignment="1" pivotButton="0" quotePrefix="0" xfId="0">
      <alignment horizontal="center" vertical="center"/>
    </xf>
    <xf numFmtId="166" fontId="6" fillId="6" borderId="5" applyAlignment="1" pivotButton="0" quotePrefix="0" xfId="0">
      <alignment horizontal="right" vertical="center"/>
    </xf>
    <xf numFmtId="166" fontId="6" fillId="8" borderId="5" applyAlignment="1" pivotButton="0" quotePrefix="0" xfId="0">
      <alignment horizontal="right" vertical="center"/>
    </xf>
    <xf numFmtId="0" fontId="4" fillId="14" borderId="8" applyAlignment="1" pivotButton="0" quotePrefix="0" xfId="0">
      <alignment horizontal="center" vertical="center"/>
    </xf>
    <xf numFmtId="166" fontId="4" fillId="14" borderId="8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65" fontId="9" fillId="8" borderId="5" applyAlignment="1" pivotButton="0" quotePrefix="0" xfId="0">
      <alignment horizontal="right" vertical="center"/>
    </xf>
    <xf numFmtId="0" fontId="5" fillId="15" borderId="4" applyAlignment="1" pivotButton="0" quotePrefix="0" xfId="0">
      <alignment horizontal="center" vertical="center"/>
    </xf>
    <xf numFmtId="0" fontId="10" fillId="15" borderId="4" applyAlignment="1" pivotButton="0" quotePrefix="0" xfId="0">
      <alignment horizontal="center" vertical="center"/>
    </xf>
    <xf numFmtId="0" fontId="10" fillId="15" borderId="9" applyAlignment="1" pivotButton="0" quotePrefix="0" xfId="0">
      <alignment horizontal="center" vertical="center"/>
    </xf>
    <xf numFmtId="164" fontId="6" fillId="6" borderId="10" applyAlignment="1" pivotButton="0" quotePrefix="0" xfId="0">
      <alignment horizontal="right" vertical="center"/>
    </xf>
    <xf numFmtId="164" fontId="12" fillId="0" borderId="0" applyAlignment="1" pivotButton="0" quotePrefix="0" xfId="0">
      <alignment horizontal="center" vertical="center"/>
    </xf>
    <xf numFmtId="164" fontId="6" fillId="6" borderId="11" applyAlignment="1" pivotButton="0" quotePrefix="0" xfId="0">
      <alignment horizontal="right" vertical="center"/>
    </xf>
    <xf numFmtId="164" fontId="9" fillId="6" borderId="5" applyAlignment="1" pivotButton="0" quotePrefix="0" xfId="0">
      <alignment horizontal="right" vertical="center"/>
    </xf>
    <xf numFmtId="164" fontId="6" fillId="8" borderId="5" applyAlignment="1" pivotButton="0" quotePrefix="0" xfId="0">
      <alignment horizontal="right" vertical="center"/>
    </xf>
    <xf numFmtId="164" fontId="6" fillId="8" borderId="12" applyAlignment="1" pivotButton="0" quotePrefix="0" xfId="0">
      <alignment horizontal="right" vertical="center"/>
    </xf>
    <xf numFmtId="164" fontId="9" fillId="8" borderId="5" applyAlignment="1" pivotButton="0" quotePrefix="0" xfId="0">
      <alignment horizontal="right" vertical="center"/>
    </xf>
    <xf numFmtId="164" fontId="9" fillId="6" borderId="5" applyAlignment="1" pivotButton="0" quotePrefix="0" xfId="0">
      <alignment horizontal="right" vertical="center"/>
    </xf>
    <xf numFmtId="164" fontId="9" fillId="8" borderId="5" applyAlignment="1" pivotButton="0" quotePrefix="0" xfId="0">
      <alignment horizontal="right" vertical="center"/>
    </xf>
    <xf numFmtId="0" fontId="13" fillId="0" borderId="0" pivotButton="0" quotePrefix="0" xfId="0"/>
    <xf numFmtId="0" fontId="4" fillId="15" borderId="13" applyAlignment="1" pivotButton="0" quotePrefix="0" xfId="0">
      <alignment horizontal="center" vertical="center"/>
    </xf>
    <xf numFmtId="164" fontId="4" fillId="15" borderId="13" applyAlignment="1" pivotButton="0" quotePrefix="0" xfId="0">
      <alignment horizontal="center" vertical="center"/>
    </xf>
    <xf numFmtId="0" fontId="10" fillId="16" borderId="4" applyAlignment="1" pivotButton="0" quotePrefix="0" xfId="0">
      <alignment horizontal="center" vertical="center"/>
    </xf>
    <xf numFmtId="0" fontId="4" fillId="16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164" fontId="14" fillId="6" borderId="5" applyAlignment="1" pivotButton="0" quotePrefix="0" xfId="0">
      <alignment horizontal="right" vertical="center"/>
    </xf>
    <xf numFmtId="164" fontId="14" fillId="8" borderId="5" applyAlignment="1" pivotButton="0" quotePrefix="0" xfId="0">
      <alignment horizontal="right" vertical="center"/>
    </xf>
    <xf numFmtId="0" fontId="4" fillId="2" borderId="4" applyAlignment="1" pivotButton="0" quotePrefix="0" xfId="0">
      <alignment horizontal="center" vertical="center"/>
    </xf>
    <xf numFmtId="164" fontId="4" fillId="2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 wrapText="1"/>
    </xf>
    <xf numFmtId="167" fontId="6" fillId="3" borderId="5" applyAlignment="1" pivotButton="0" quotePrefix="0" xfId="0">
      <alignment horizontal="right" vertical="center"/>
    </xf>
    <xf numFmtId="167" fontId="17" fillId="3" borderId="5" applyAlignment="1" pivotButton="0" quotePrefix="0" xfId="0">
      <alignment horizontal="right" vertical="center"/>
    </xf>
    <xf numFmtId="167" fontId="18" fillId="3" borderId="5" applyAlignment="1" pivotButton="0" quotePrefix="0" xfId="0">
      <alignment horizontal="right" vertical="center"/>
    </xf>
    <xf numFmtId="165" fontId="19" fillId="3" borderId="5" applyAlignment="1" pivotButton="0" quotePrefix="0" xfId="0">
      <alignment horizontal="center" vertical="center"/>
    </xf>
    <xf numFmtId="165" fontId="20" fillId="3" borderId="5" applyAlignment="1" pivotButton="0" quotePrefix="0" xfId="0">
      <alignment horizontal="center" vertical="center"/>
    </xf>
    <xf numFmtId="0" fontId="6" fillId="17" borderId="5" applyAlignment="1" pivotButton="0" quotePrefix="0" xfId="0">
      <alignment horizontal="left" vertical="center"/>
    </xf>
    <xf numFmtId="167" fontId="6" fillId="17" borderId="5" applyAlignment="1" pivotButton="0" quotePrefix="0" xfId="0">
      <alignment horizontal="right" vertical="center"/>
    </xf>
    <xf numFmtId="167" fontId="17" fillId="17" borderId="5" applyAlignment="1" pivotButton="0" quotePrefix="0" xfId="0">
      <alignment horizontal="right" vertical="center"/>
    </xf>
    <xf numFmtId="167" fontId="18" fillId="17" borderId="5" applyAlignment="1" pivotButton="0" quotePrefix="0" xfId="0">
      <alignment horizontal="right" vertical="center"/>
    </xf>
    <xf numFmtId="165" fontId="19" fillId="17" borderId="5" applyAlignment="1" pivotButton="0" quotePrefix="0" xfId="0">
      <alignment horizontal="center" vertical="center"/>
    </xf>
    <xf numFmtId="165" fontId="20" fillId="17" borderId="5" applyAlignment="1" pivotButton="0" quotePrefix="0" xfId="0">
      <alignment horizontal="center" vertical="center"/>
    </xf>
    <xf numFmtId="0" fontId="10" fillId="9" borderId="15" pivotButton="0" quotePrefix="0" xfId="0"/>
    <xf numFmtId="0" fontId="21" fillId="9" borderId="6" pivotButton="0" quotePrefix="0" xfId="0"/>
    <xf numFmtId="0" fontId="15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 wrapText="1"/>
    </xf>
    <xf numFmtId="167" fontId="6" fillId="10" borderId="5" applyAlignment="1" pivotButton="0" quotePrefix="0" xfId="0">
      <alignment horizontal="right" vertical="center"/>
    </xf>
    <xf numFmtId="167" fontId="22" fillId="10" borderId="5" applyAlignment="1" pivotButton="0" quotePrefix="0" xfId="0">
      <alignment horizontal="right" vertical="center"/>
    </xf>
    <xf numFmtId="167" fontId="18" fillId="10" borderId="5" applyAlignment="1" pivotButton="0" quotePrefix="0" xfId="0">
      <alignment horizontal="right" vertical="center"/>
    </xf>
    <xf numFmtId="49" fontId="23" fillId="10" borderId="5" applyAlignment="1" pivotButton="0" quotePrefix="0" xfId="0">
      <alignment horizontal="right" vertical="center"/>
    </xf>
    <xf numFmtId="167" fontId="20" fillId="10" borderId="5" applyAlignment="1" pivotButton="0" quotePrefix="0" xfId="0">
      <alignment horizontal="right" vertical="center"/>
    </xf>
    <xf numFmtId="0" fontId="23" fillId="10" borderId="5" applyAlignment="1" pivotButton="0" quotePrefix="0" xfId="0">
      <alignment horizontal="left" vertical="center"/>
    </xf>
    <xf numFmtId="0" fontId="6" fillId="18" borderId="5" applyAlignment="1" pivotButton="0" quotePrefix="0" xfId="0">
      <alignment horizontal="left" vertical="center"/>
    </xf>
    <xf numFmtId="167" fontId="6" fillId="18" borderId="5" applyAlignment="1" pivotButton="0" quotePrefix="0" xfId="0">
      <alignment horizontal="right" vertical="center"/>
    </xf>
    <xf numFmtId="167" fontId="22" fillId="18" borderId="5" applyAlignment="1" pivotButton="0" quotePrefix="0" xfId="0">
      <alignment horizontal="right" vertical="center"/>
    </xf>
    <xf numFmtId="167" fontId="18" fillId="18" borderId="5" applyAlignment="1" pivotButton="0" quotePrefix="0" xfId="0">
      <alignment horizontal="right" vertical="center"/>
    </xf>
    <xf numFmtId="49" fontId="23" fillId="18" borderId="5" applyAlignment="1" pivotButton="0" quotePrefix="0" xfId="0">
      <alignment horizontal="right" vertical="center"/>
    </xf>
    <xf numFmtId="167" fontId="20" fillId="18" borderId="5" applyAlignment="1" pivotButton="0" quotePrefix="0" xfId="0">
      <alignment horizontal="right" vertical="center"/>
    </xf>
    <xf numFmtId="0" fontId="23" fillId="18" borderId="5" applyAlignment="1" pivotButton="0" quotePrefix="0" xfId="0">
      <alignment horizontal="left" vertical="center"/>
    </xf>
    <xf numFmtId="167" fontId="24" fillId="10" borderId="5" applyAlignment="1" pivotButton="0" quotePrefix="0" xfId="0">
      <alignment horizontal="right" vertical="center"/>
    </xf>
    <xf numFmtId="167" fontId="25" fillId="10" borderId="5" applyAlignment="1" pivotButton="0" quotePrefix="0" xfId="0">
      <alignment horizontal="right" vertical="center"/>
    </xf>
    <xf numFmtId="167" fontId="24" fillId="18" borderId="5" applyAlignment="1" pivotButton="0" quotePrefix="0" xfId="0">
      <alignment horizontal="right" vertical="center"/>
    </xf>
    <xf numFmtId="167" fontId="25" fillId="18" borderId="5" applyAlignment="1" pivotButton="0" quotePrefix="0" xfId="0">
      <alignment horizontal="right" vertical="center"/>
    </xf>
    <xf numFmtId="0" fontId="26" fillId="10" borderId="1" applyAlignment="1" pivotButton="0" quotePrefix="0" xfId="0">
      <alignment horizontal="left" vertical="center"/>
    </xf>
    <xf numFmtId="0" fontId="15" fillId="19" borderId="1" applyAlignment="1" pivotButton="0" quotePrefix="0" xfId="0">
      <alignment horizontal="center" vertical="center"/>
    </xf>
    <xf numFmtId="0" fontId="16" fillId="15" borderId="1" applyAlignment="1" pivotButton="0" quotePrefix="0" xfId="0">
      <alignment horizontal="center" vertical="center"/>
    </xf>
    <xf numFmtId="0" fontId="5" fillId="15" borderId="4" applyAlignment="1" pivotButton="0" quotePrefix="0" xfId="0">
      <alignment horizontal="center" vertical="center" wrapText="1"/>
    </xf>
    <xf numFmtId="0" fontId="6" fillId="20" borderId="5" applyAlignment="1" pivotButton="0" quotePrefix="0" xfId="0">
      <alignment horizontal="left" vertical="center"/>
    </xf>
    <xf numFmtId="167" fontId="6" fillId="20" borderId="5" applyAlignment="1" pivotButton="0" quotePrefix="0" xfId="0">
      <alignment horizontal="right" vertical="center"/>
    </xf>
    <xf numFmtId="167" fontId="22" fillId="20" borderId="5" applyAlignment="1" pivotButton="0" quotePrefix="0" xfId="0">
      <alignment horizontal="right" vertical="center"/>
    </xf>
    <xf numFmtId="167" fontId="27" fillId="20" borderId="5" applyAlignment="1" pivotButton="0" quotePrefix="0" xfId="0">
      <alignment horizontal="right" vertical="center"/>
    </xf>
    <xf numFmtId="167" fontId="20" fillId="20" borderId="5" applyAlignment="1" pivotButton="0" quotePrefix="0" xfId="0">
      <alignment horizontal="right" vertical="center"/>
    </xf>
    <xf numFmtId="165" fontId="27" fillId="20" borderId="5" applyAlignment="1" pivotButton="0" quotePrefix="0" xfId="0">
      <alignment horizontal="center" vertical="center"/>
    </xf>
    <xf numFmtId="0" fontId="23" fillId="20" borderId="5" applyAlignment="1" pivotButton="0" quotePrefix="0" xfId="0">
      <alignment horizontal="center" vertical="center"/>
    </xf>
    <xf numFmtId="0" fontId="6" fillId="21" borderId="5" applyAlignment="1" pivotButton="0" quotePrefix="0" xfId="0">
      <alignment horizontal="left" vertical="center"/>
    </xf>
    <xf numFmtId="167" fontId="6" fillId="21" borderId="5" applyAlignment="1" pivotButton="0" quotePrefix="0" xfId="0">
      <alignment horizontal="right" vertical="center"/>
    </xf>
    <xf numFmtId="167" fontId="22" fillId="21" borderId="5" applyAlignment="1" pivotButton="0" quotePrefix="0" xfId="0">
      <alignment horizontal="right" vertical="center"/>
    </xf>
    <xf numFmtId="167" fontId="27" fillId="21" borderId="5" applyAlignment="1" pivotButton="0" quotePrefix="0" xfId="0">
      <alignment horizontal="right" vertical="center"/>
    </xf>
    <xf numFmtId="167" fontId="20" fillId="21" borderId="5" applyAlignment="1" pivotButton="0" quotePrefix="0" xfId="0">
      <alignment horizontal="right" vertical="center"/>
    </xf>
    <xf numFmtId="165" fontId="27" fillId="21" borderId="5" applyAlignment="1" pivotButton="0" quotePrefix="0" xfId="0">
      <alignment horizontal="center" vertical="center"/>
    </xf>
    <xf numFmtId="0" fontId="23" fillId="21" borderId="5" applyAlignment="1" pivotButton="0" quotePrefix="0" xfId="0">
      <alignment horizontal="center" vertical="center"/>
    </xf>
    <xf numFmtId="49" fontId="23" fillId="20" borderId="5" applyAlignment="1" pivotButton="0" quotePrefix="0" xfId="0">
      <alignment horizontal="right" vertical="center"/>
    </xf>
    <xf numFmtId="49" fontId="23" fillId="21" borderId="5" applyAlignment="1" pivotButton="0" quotePrefix="0" xfId="0">
      <alignment horizontal="right" vertical="center"/>
    </xf>
    <xf numFmtId="0" fontId="28" fillId="22" borderId="5" applyAlignment="1" pivotButton="0" quotePrefix="0" xfId="0">
      <alignment horizontal="left" vertical="center"/>
    </xf>
    <xf numFmtId="167" fontId="6" fillId="22" borderId="5" applyAlignment="1" pivotButton="0" quotePrefix="0" xfId="0">
      <alignment horizontal="right" vertical="center"/>
    </xf>
    <xf numFmtId="49" fontId="23" fillId="22" borderId="5" applyAlignment="1" pivotButton="0" quotePrefix="0" xfId="0">
      <alignment horizontal="right" vertical="center"/>
    </xf>
    <xf numFmtId="167" fontId="27" fillId="22" borderId="5" applyAlignment="1" pivotButton="0" quotePrefix="0" xfId="0">
      <alignment horizontal="right" vertical="center"/>
    </xf>
    <xf numFmtId="167" fontId="20" fillId="22" borderId="5" applyAlignment="1" pivotButton="0" quotePrefix="0" xfId="0">
      <alignment horizontal="right" vertical="center"/>
    </xf>
    <xf numFmtId="165" fontId="27" fillId="22" borderId="5" applyAlignment="1" pivotButton="0" quotePrefix="0" xfId="0">
      <alignment horizontal="center" vertical="center"/>
    </xf>
    <xf numFmtId="0" fontId="29" fillId="22" borderId="5" applyAlignment="1" pivotButton="0" quotePrefix="0" xfId="0">
      <alignment horizontal="center" vertical="center"/>
    </xf>
    <xf numFmtId="0" fontId="28" fillId="11" borderId="5" applyAlignment="1" pivotButton="0" quotePrefix="0" xfId="0">
      <alignment horizontal="left" vertical="center"/>
    </xf>
    <xf numFmtId="167" fontId="6" fillId="11" borderId="5" applyAlignment="1" pivotButton="0" quotePrefix="0" xfId="0">
      <alignment horizontal="right" vertical="center"/>
    </xf>
    <xf numFmtId="49" fontId="23" fillId="11" borderId="5" applyAlignment="1" pivotButton="0" quotePrefix="0" xfId="0">
      <alignment horizontal="right" vertical="center"/>
    </xf>
    <xf numFmtId="167" fontId="27" fillId="11" borderId="5" applyAlignment="1" pivotButton="0" quotePrefix="0" xfId="0">
      <alignment horizontal="right" vertical="center"/>
    </xf>
    <xf numFmtId="167" fontId="20" fillId="11" borderId="5" applyAlignment="1" pivotButton="0" quotePrefix="0" xfId="0">
      <alignment horizontal="right" vertical="center"/>
    </xf>
    <xf numFmtId="165" fontId="27" fillId="11" borderId="5" applyAlignment="1" pivotButton="0" quotePrefix="0" xfId="0">
      <alignment horizontal="center" vertical="center"/>
    </xf>
    <xf numFmtId="0" fontId="29" fillId="11" borderId="5" applyAlignment="1" pivotButton="0" quotePrefix="0" xfId="0">
      <alignment horizontal="center" vertical="center"/>
    </xf>
    <xf numFmtId="0" fontId="30" fillId="20" borderId="1" applyAlignment="1" pivotButton="0" quotePrefix="0" xfId="0">
      <alignment horizontal="left" vertical="center"/>
    </xf>
    <xf numFmtId="0" fontId="15" fillId="23" borderId="1" applyAlignment="1" pivotButton="0" quotePrefix="0" xfId="0">
      <alignment horizontal="center" vertical="center"/>
    </xf>
    <xf numFmtId="0" fontId="5" fillId="23" borderId="4" applyAlignment="1" pivotButton="0" quotePrefix="0" xfId="0">
      <alignment horizontal="center" vertical="center" wrapText="1"/>
    </xf>
    <xf numFmtId="0" fontId="6" fillId="24" borderId="5" applyAlignment="1" pivotButton="0" quotePrefix="0" xfId="0">
      <alignment horizontal="left" vertical="center"/>
    </xf>
    <xf numFmtId="167" fontId="6" fillId="24" borderId="5" applyAlignment="1" pivotButton="0" quotePrefix="0" xfId="0">
      <alignment horizontal="right" vertical="center"/>
    </xf>
    <xf numFmtId="167" fontId="18" fillId="24" borderId="5" applyAlignment="1" pivotButton="0" quotePrefix="0" xfId="0">
      <alignment horizontal="right" vertical="center"/>
    </xf>
    <xf numFmtId="167" fontId="27" fillId="24" borderId="5" applyAlignment="1" pivotButton="0" quotePrefix="0" xfId="0">
      <alignment horizontal="right" vertical="center"/>
    </xf>
    <xf numFmtId="168" fontId="31" fillId="24" borderId="5" applyAlignment="1" pivotButton="0" quotePrefix="0" xfId="0">
      <alignment horizontal="right" vertical="center"/>
    </xf>
    <xf numFmtId="169" fontId="31" fillId="24" borderId="5" applyAlignment="1" pivotButton="0" quotePrefix="0" xfId="0">
      <alignment horizontal="center" vertical="center"/>
    </xf>
    <xf numFmtId="0" fontId="32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15" applyAlignment="1" pivotButton="0" quotePrefix="0" xfId="0">
      <alignment horizontal="center" vertical="center"/>
    </xf>
    <xf numFmtId="0" fontId="3" fillId="3" borderId="15" applyAlignment="1" pivotButton="0" quotePrefix="0" xfId="0">
      <alignment horizontal="center" vertical="center"/>
    </xf>
    <xf numFmtId="0" fontId="4" fillId="4" borderId="15" applyAlignment="1" pivotButton="0" quotePrefix="0" xfId="0">
      <alignment horizontal="left" vertical="center"/>
    </xf>
    <xf numFmtId="0" fontId="4" fillId="7" borderId="15" applyAlignment="1" pivotButton="0" quotePrefix="0" xfId="0">
      <alignment horizontal="left" vertical="center"/>
    </xf>
    <xf numFmtId="0" fontId="4" fillId="9" borderId="15" applyAlignment="1" pivotButton="0" quotePrefix="0" xfId="0">
      <alignment horizontal="left" vertical="center"/>
    </xf>
    <xf numFmtId="170" fontId="6" fillId="11" borderId="5" applyAlignment="1" pivotButton="0" quotePrefix="0" xfId="0">
      <alignment horizontal="left" vertical="center"/>
    </xf>
    <xf numFmtId="170" fontId="6" fillId="12" borderId="5" applyAlignment="1" pivotButton="0" quotePrefix="0" xfId="0">
      <alignment horizontal="left" vertical="center"/>
    </xf>
    <xf numFmtId="170" fontId="6" fillId="10" borderId="5" applyAlignment="1" pivotButton="0" quotePrefix="0" xfId="0">
      <alignment horizontal="left" vertical="center"/>
    </xf>
    <xf numFmtId="170" fontId="6" fillId="3" borderId="5" applyAlignment="1" pivotButton="0" quotePrefix="0" xfId="0">
      <alignment horizontal="left" vertical="center"/>
    </xf>
    <xf numFmtId="0" fontId="11" fillId="14" borderId="15" applyAlignment="1" pivotButton="0" quotePrefix="0" xfId="0">
      <alignment horizontal="left" vertical="center"/>
    </xf>
    <xf numFmtId="0" fontId="11" fillId="7" borderId="15" applyAlignment="1" pivotButton="0" quotePrefix="0" xfId="0">
      <alignment horizontal="left" vertical="center"/>
    </xf>
    <xf numFmtId="0" fontId="15" fillId="5" borderId="15" applyAlignment="1" pivotButton="0" quotePrefix="0" xfId="0">
      <alignment horizontal="center" vertical="center"/>
    </xf>
    <xf numFmtId="0" fontId="16" fillId="5" borderId="15" applyAlignment="1" pivotButton="0" quotePrefix="0" xfId="0">
      <alignment horizontal="center" vertical="center"/>
    </xf>
    <xf numFmtId="0" fontId="15" fillId="7" borderId="15" applyAlignment="1" pivotButton="0" quotePrefix="0" xfId="0">
      <alignment horizontal="center" vertical="center"/>
    </xf>
    <xf numFmtId="0" fontId="16" fillId="7" borderId="15" applyAlignment="1" pivotButton="0" quotePrefix="0" xfId="0">
      <alignment horizontal="center" vertical="center"/>
    </xf>
    <xf numFmtId="0" fontId="26" fillId="10" borderId="15" applyAlignment="1" pivotButton="0" quotePrefix="0" xfId="0">
      <alignment horizontal="left" vertical="center"/>
    </xf>
    <xf numFmtId="0" fontId="15" fillId="19" borderId="15" applyAlignment="1" pivotButton="0" quotePrefix="0" xfId="0">
      <alignment horizontal="center" vertical="center"/>
    </xf>
    <xf numFmtId="0" fontId="16" fillId="15" borderId="15" applyAlignment="1" pivotButton="0" quotePrefix="0" xfId="0">
      <alignment horizontal="center" vertical="center"/>
    </xf>
    <xf numFmtId="0" fontId="30" fillId="20" borderId="15" applyAlignment="1" pivotButton="0" quotePrefix="0" xfId="0">
      <alignment horizontal="left" vertical="center"/>
    </xf>
    <xf numFmtId="0" fontId="15" fillId="23" borderId="15" applyAlignment="1" pivotButton="0" quotePrefix="0" xfId="0">
      <alignment horizontal="center" vertical="center"/>
    </xf>
    <xf numFmtId="0" fontId="32" fillId="8" borderId="15" applyAlignment="1" pivotButton="0" quotePrefix="0" xfId="0">
      <alignment horizontal="left" vertical="center" wrapText="1"/>
    </xf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171" fontId="0" fillId="0" borderId="0" pivotButton="0" quotePrefix="0" xfId="0"/>
    <xf numFmtId="0" fontId="33" fillId="9" borderId="6" applyAlignment="1" pivotButton="0" quotePrefix="0" xfId="0">
      <alignment horizontal="center" vertical="center"/>
    </xf>
    <xf numFmtId="164" fontId="33" fillId="9" borderId="6" applyAlignment="1" pivotButton="0" quotePrefix="0" xfId="0">
      <alignment horizontal="center" vertical="center"/>
    </xf>
    <xf numFmtId="0" fontId="36" fillId="2" borderId="15" applyAlignment="1" pivotButton="0" quotePrefix="0" xfId="0">
      <alignment horizontal="center" vertical="center"/>
    </xf>
    <xf numFmtId="0" fontId="37" fillId="3" borderId="15" applyAlignment="1" pivotButton="0" quotePrefix="0" xfId="0">
      <alignment horizontal="center" vertical="center"/>
    </xf>
    <xf numFmtId="0" fontId="38" fillId="9" borderId="4" applyAlignment="1" pivotButton="0" quotePrefix="0" xfId="0">
      <alignment horizontal="center"/>
    </xf>
    <xf numFmtId="0" fontId="0" fillId="0" borderId="18" pivotButton="0" quotePrefix="0" xfId="0"/>
    <xf numFmtId="0" fontId="0" fillId="0" borderId="19" pivotButton="0" quotePrefix="0" xfId="0"/>
    <xf numFmtId="0" fontId="39" fillId="9" borderId="4" applyAlignment="1" pivotButton="0" quotePrefix="0" xfId="0">
      <alignment horizontal="center"/>
    </xf>
    <xf numFmtId="0" fontId="40" fillId="0" borderId="0" applyAlignment="1" pivotButton="0" quotePrefix="0" xfId="0">
      <alignment horizontal="center"/>
    </xf>
    <xf numFmtId="0" fontId="41" fillId="25" borderId="5" applyAlignment="1" pivotButton="0" quotePrefix="0" xfId="0">
      <alignment horizontal="center" vertical="center" wrapText="1"/>
    </xf>
    <xf numFmtId="164" fontId="41" fillId="25" borderId="5" applyAlignment="1" pivotButton="0" quotePrefix="0" xfId="0">
      <alignment horizontal="center" vertical="center" wrapText="1"/>
    </xf>
    <xf numFmtId="0" fontId="41" fillId="25" borderId="0" applyAlignment="1" pivotButton="0" quotePrefix="0" xfId="0">
      <alignment horizontal="center" vertical="center" wrapText="1"/>
    </xf>
    <xf numFmtId="0" fontId="42" fillId="8" borderId="5" applyAlignment="1" pivotButton="0" quotePrefix="0" xfId="0">
      <alignment horizontal="left" vertical="center"/>
    </xf>
    <xf numFmtId="0" fontId="43" fillId="8" borderId="5" applyAlignment="1" pivotButton="0" quotePrefix="0" xfId="0">
      <alignment horizontal="center"/>
    </xf>
    <xf numFmtId="3" fontId="43" fillId="26" borderId="5" applyAlignment="1" pivotButton="0" quotePrefix="0" xfId="0">
      <alignment horizontal="right"/>
    </xf>
    <xf numFmtId="3" fontId="42" fillId="26" borderId="5" applyAlignment="1" pivotButton="0" quotePrefix="0" xfId="0">
      <alignment horizontal="right"/>
    </xf>
    <xf numFmtId="3" fontId="43" fillId="27" borderId="5" applyAlignment="1" pivotButton="0" quotePrefix="0" xfId="0">
      <alignment horizontal="right"/>
    </xf>
    <xf numFmtId="3" fontId="43" fillId="27" borderId="0" applyAlignment="1" pivotButton="0" quotePrefix="0" xfId="0">
      <alignment horizontal="right"/>
    </xf>
    <xf numFmtId="3" fontId="42" fillId="27" borderId="0" applyAlignment="1" pivotButton="0" quotePrefix="0" xfId="0">
      <alignment horizontal="right"/>
    </xf>
    <xf numFmtId="3" fontId="39" fillId="28" borderId="0" applyAlignment="1" pivotButton="0" quotePrefix="0" xfId="0">
      <alignment horizontal="right"/>
    </xf>
    <xf numFmtId="0" fontId="42" fillId="6" borderId="5" applyAlignment="1" pivotButton="0" quotePrefix="0" xfId="0">
      <alignment horizontal="left" vertical="center"/>
    </xf>
    <xf numFmtId="0" fontId="43" fillId="6" borderId="5" applyAlignment="1" pivotButton="0" quotePrefix="0" xfId="0">
      <alignment horizontal="center"/>
    </xf>
    <xf numFmtId="0" fontId="42" fillId="2" borderId="4" applyAlignment="1" pivotButton="0" quotePrefix="0" xfId="0">
      <alignment horizontal="center" vertical="center"/>
    </xf>
    <xf numFmtId="0" fontId="43" fillId="2" borderId="4" applyAlignment="1" pivotButton="0" quotePrefix="0" xfId="0">
      <alignment horizontal="center"/>
    </xf>
    <xf numFmtId="3" fontId="43" fillId="26" borderId="4" applyAlignment="1" pivotButton="0" quotePrefix="0" xfId="0">
      <alignment horizontal="right"/>
    </xf>
    <xf numFmtId="3" fontId="42" fillId="26" borderId="4" applyAlignment="1" pivotButton="0" quotePrefix="0" xfId="0">
      <alignment horizontal="right"/>
    </xf>
    <xf numFmtId="3" fontId="43" fillId="27" borderId="4" applyAlignment="1" pivotButton="0" quotePrefix="0" xfId="0">
      <alignment horizontal="right"/>
    </xf>
    <xf numFmtId="0" fontId="42" fillId="29" borderId="0" pivotButton="0" quotePrefix="0" xfId="0"/>
    <xf numFmtId="3" fontId="42" fillId="29" borderId="0" applyAlignment="1" pivotButton="0" quotePrefix="0" xfId="0">
      <alignment horizontal="right"/>
    </xf>
    <xf numFmtId="0" fontId="44" fillId="0" borderId="0" pivotButton="0" quotePrefix="0" xfId="0"/>
    <xf numFmtId="3" fontId="45" fillId="0" borderId="0" pivotButton="0" quotePrefix="0" xfId="0"/>
    <xf numFmtId="0" fontId="46" fillId="0" borderId="0" pivotButton="0" quotePrefix="0" xfId="0"/>
    <xf numFmtId="3" fontId="47" fillId="0" borderId="0" pivotButton="0" quotePrefix="0" xfId="0"/>
    <xf numFmtId="0" fontId="48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A6B3A"/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28" customWidth="1" style="149" min="1" max="1"/>
    <col width="20" customWidth="1" style="149" min="2" max="3"/>
    <col width="18" customWidth="1" style="149" min="4" max="5"/>
    <col width="14" customWidth="1" style="149" min="6" max="6"/>
    <col width="18" customWidth="1" style="149" min="7" max="7"/>
    <col width="16" customWidth="1" style="149" min="8" max="8"/>
    <col width="8.710000000000001" customWidth="1" style="149" min="9" max="26"/>
  </cols>
  <sheetData>
    <row r="1" ht="39.75" customHeight="1" s="149">
      <c r="A1" s="150" t="inlineStr">
        <is>
          <t>🐾  PetColinas — Reporte Financiero Maestro 2025–2026</t>
        </is>
      </c>
    </row>
    <row r="2" ht="19.5" customHeight="1" s="149">
      <c r="A2" s="151" t="inlineStr">
        <is>
          <t>Plaza Las Colinas · Santo Domingo Oeste · Actualizado: 17/03/2026</t>
        </is>
      </c>
    </row>
    <row r="3" ht="21.75" customHeight="1" s="149">
      <c r="A3" s="152" t="inlineStr">
        <is>
          <t xml:space="preserve">  INDICADORES CLAVE</t>
        </is>
      </c>
    </row>
    <row r="4" ht="24" customHeight="1" s="149">
      <c r="A4" s="6" t="inlineStr">
        <is>
          <t>INDICADOR</t>
        </is>
      </c>
      <c r="B4" s="6" t="inlineStr">
        <is>
          <t>VALOR</t>
        </is>
      </c>
      <c r="C4" s="6" t="inlineStr">
        <is>
          <t>DETALLE</t>
        </is>
      </c>
      <c r="D4" s="6" t="n"/>
      <c r="E4" s="6" t="inlineStr">
        <is>
          <t>INDICADOR</t>
        </is>
      </c>
      <c r="F4" s="6" t="inlineStr">
        <is>
          <t>VALOR</t>
        </is>
      </c>
      <c r="G4" s="6" t="inlineStr">
        <is>
          <t>DETALLE</t>
        </is>
      </c>
      <c r="H4" s="6" t="n"/>
    </row>
    <row r="5" ht="21.75" customHeight="1" s="149">
      <c r="A5" s="7" t="inlineStr">
        <is>
          <t>💰 Ventas Totales All-Time</t>
        </is>
      </c>
      <c r="B5" s="8" t="n">
        <v>665456</v>
      </c>
      <c r="C5" s="7" t="inlineStr">
        <is>
          <t>2025 + 2026</t>
        </is>
      </c>
      <c r="E5" s="7" t="inlineStr">
        <is>
          <t>📋 Gastos Totales</t>
        </is>
      </c>
      <c r="F5" s="8" t="n">
        <v>569019</v>
      </c>
      <c r="G5" s="7" t="inlineStr">
        <is>
          <t>2025 + 2026</t>
        </is>
      </c>
    </row>
    <row r="6" ht="21.75" customHeight="1" s="149">
      <c r="A6" s="9" t="inlineStr">
        <is>
          <t>📈 Ventas 2025 (ago-dic)</t>
        </is>
      </c>
      <c r="B6" s="10" t="n">
        <v>287841</v>
      </c>
      <c r="C6" s="9" t="inlineStr">
        <is>
          <t>252 registros</t>
        </is>
      </c>
      <c r="E6" s="9" t="inlineStr">
        <is>
          <t>📋 Gastos 2026</t>
        </is>
      </c>
      <c r="F6" s="10" t="n">
        <v>382284</v>
      </c>
      <c r="G6" s="9" t="inlineStr">
        <is>
          <t>27 facturas</t>
        </is>
      </c>
    </row>
    <row r="7" ht="21.75" customHeight="1" s="149">
      <c r="A7" s="7" t="inlineStr">
        <is>
          <t>📈 Ventas 2026 (ene-mar)</t>
        </is>
      </c>
      <c r="B7" s="8" t="n">
        <v>377615</v>
      </c>
      <c r="C7" s="7" t="inlineStr">
        <is>
          <t>272 registros</t>
        </is>
      </c>
      <c r="E7" s="7" t="inlineStr">
        <is>
          <t>👥 Clientes CRM</t>
        </is>
      </c>
      <c r="F7" s="11" t="n">
        <v>182</v>
      </c>
      <c r="G7" s="7" t="inlineStr">
        <is>
          <t>Mascotas registradas</t>
        </is>
      </c>
    </row>
    <row r="8" ht="21.75" customHeight="1" s="149">
      <c r="A8" s="9" t="inlineStr">
        <is>
          <t>🐶 Grooming 2026</t>
        </is>
      </c>
      <c r="B8" s="10" t="n">
        <v>212445</v>
      </c>
      <c r="C8" s="9" t="inlineStr">
        <is>
          <t>178 servicios</t>
        </is>
      </c>
      <c r="E8" s="9" t="inlineStr">
        <is>
          <t>🩺 Veterinaria 2026</t>
        </is>
      </c>
      <c r="F8" s="10" t="n">
        <v>86340</v>
      </c>
      <c r="G8" s="9" t="inlineStr">
        <is>
          <t>30 servicios</t>
        </is>
      </c>
    </row>
    <row r="9" ht="21.75" customHeight="1" s="149">
      <c r="A9" s="7" t="inlineStr">
        <is>
          <t>💊 Farmacia 2026</t>
        </is>
      </c>
      <c r="B9" s="8" t="n">
        <v>78830</v>
      </c>
      <c r="C9" s="7" t="inlineStr">
        <is>
          <t>64 ventas</t>
        </is>
      </c>
      <c r="E9" s="7" t="inlineStr">
        <is>
          <t>⚖️ Punto Equilibrio</t>
        </is>
      </c>
      <c r="F9" s="8" t="n">
        <v>203739</v>
      </c>
      <c r="G9" s="7" t="inlineStr">
        <is>
          <t>Meta mensual mínima</t>
        </is>
      </c>
    </row>
    <row r="10"/>
    <row r="11" ht="21.75" customHeight="1" s="149">
      <c r="A11" s="153" t="inlineStr">
        <is>
          <t xml:space="preserve">  VENTAS MENSUALES 2026</t>
        </is>
      </c>
    </row>
    <row r="12" ht="27.75" customHeight="1" s="149">
      <c r="A12" s="13" t="inlineStr">
        <is>
          <t>MES</t>
        </is>
      </c>
      <c r="B12" s="13" t="inlineStr">
        <is>
          <t>INGRESOS RD$</t>
        </is>
      </c>
      <c r="C12" s="13" t="inlineStr">
        <is>
          <t>GROOMING RD$</t>
        </is>
      </c>
      <c r="D12" s="13" t="inlineStr">
        <is>
          <t>VET. RD$</t>
        </is>
      </c>
      <c r="E12" s="13" t="inlineStr">
        <is>
          <t>FARMACIA RD$</t>
        </is>
      </c>
      <c r="F12" s="13" t="inlineStr">
        <is>
          <t># TICKETS</t>
        </is>
      </c>
      <c r="G12" s="13" t="inlineStr">
        <is>
          <t>TICKET PROM.</t>
        </is>
      </c>
      <c r="H12" s="13" t="inlineStr">
        <is>
          <t>AVANCE META</t>
        </is>
      </c>
    </row>
    <row r="13" ht="18" customHeight="1" s="149">
      <c r="A13" s="9" t="inlineStr">
        <is>
          <t>Enero</t>
        </is>
      </c>
      <c r="B13" s="14" t="n">
        <v>108299</v>
      </c>
      <c r="C13" s="14" t="n">
        <v>62201</v>
      </c>
      <c r="D13" s="14" t="n">
        <v>28970</v>
      </c>
      <c r="E13" s="14" t="n">
        <v>17128</v>
      </c>
      <c r="F13" s="15" t="n">
        <v>79</v>
      </c>
      <c r="G13" s="14" t="n">
        <v>1371</v>
      </c>
      <c r="H13" s="16" t="n">
        <v>0.8663920000000001</v>
      </c>
    </row>
    <row r="14" ht="18" customHeight="1" s="149">
      <c r="A14" s="17" t="inlineStr">
        <is>
          <t>Febrero</t>
        </is>
      </c>
      <c r="B14" s="54" t="n">
        <v>119403</v>
      </c>
      <c r="C14" s="54" t="n">
        <v>61370</v>
      </c>
      <c r="D14" s="54" t="n">
        <v>34550</v>
      </c>
      <c r="E14" s="54" t="n">
        <v>23483</v>
      </c>
      <c r="F14" s="19" t="n">
        <v>86</v>
      </c>
      <c r="G14" s="54" t="n">
        <v>1388</v>
      </c>
      <c r="H14" s="20" t="n">
        <v>0.955224</v>
      </c>
    </row>
    <row r="15" ht="18" customHeight="1" s="149">
      <c r="A15" s="9" t="inlineStr">
        <is>
          <t>Marzo</t>
        </is>
      </c>
      <c r="B15" s="14" t="n">
        <v>132671</v>
      </c>
      <c r="C15" s="14" t="n">
        <v>79727</v>
      </c>
      <c r="D15" s="14" t="n">
        <v>19070</v>
      </c>
      <c r="E15" s="14" t="n">
        <v>33874</v>
      </c>
      <c r="F15" s="15" t="n">
        <v>95</v>
      </c>
      <c r="G15" s="14" t="n">
        <v>1397</v>
      </c>
      <c r="H15" s="21" t="n">
        <v>1</v>
      </c>
    </row>
    <row r="16" ht="25.5" customHeight="1" s="149">
      <c r="A16" s="22" t="inlineStr">
        <is>
          <t>TOTAL 2026</t>
        </is>
      </c>
      <c r="B16" s="23">
        <f>SUM(B13:B15)</f>
        <v/>
      </c>
      <c r="C16" s="23">
        <f>SUM(C13:C15)</f>
        <v/>
      </c>
      <c r="D16" s="23">
        <f>SUM(D13:D15)</f>
        <v/>
      </c>
      <c r="E16" s="23">
        <f>SUM(E13:E15)</f>
        <v/>
      </c>
      <c r="F16" s="22" t="n"/>
      <c r="G16" s="22" t="n"/>
      <c r="H16" s="22" t="n"/>
    </row>
    <row r="17"/>
    <row r="18" ht="21.75" customHeight="1" s="149">
      <c r="A18" s="154" t="inlineStr">
        <is>
          <t xml:space="preserve">  INGRESOS POR ÁREA 2026</t>
        </is>
      </c>
    </row>
    <row r="19" ht="27.75" customHeight="1" s="149">
      <c r="A19" s="25" t="inlineStr">
        <is>
          <t>ÁREA</t>
        </is>
      </c>
      <c r="B19" s="25" t="inlineStr">
        <is>
          <t>TOTAL RD$</t>
        </is>
      </c>
      <c r="C19" s="25" t="inlineStr">
        <is>
          <t>% DEL TOTAL</t>
        </is>
      </c>
      <c r="D19" s="25" t="inlineStr">
        <is>
          <t>TICKETS</t>
        </is>
      </c>
      <c r="E19" s="25" t="inlineStr">
        <is>
          <t>TICKET PROM. RD$</t>
        </is>
      </c>
      <c r="F19" s="25" t="inlineStr">
        <is>
          <t>VS META(%)</t>
        </is>
      </c>
      <c r="G19" s="25" t="n"/>
      <c r="H19" s="25" t="n"/>
    </row>
    <row r="20" ht="18" customHeight="1" s="149">
      <c r="A20" s="7" t="inlineStr">
        <is>
          <t>🐶 Grooming</t>
        </is>
      </c>
      <c r="B20" s="14" t="n">
        <v>212445</v>
      </c>
      <c r="C20" s="26" t="n">
        <v>0.5625968248083365</v>
      </c>
      <c r="D20" s="15" t="n">
        <v>178</v>
      </c>
      <c r="E20" s="14" t="n">
        <v>1194</v>
      </c>
      <c r="F20" s="26" t="n">
        <v>3.39912</v>
      </c>
      <c r="G20" s="9" t="n"/>
      <c r="H20" s="9" t="n"/>
    </row>
    <row r="21" ht="18" customHeight="1" s="149">
      <c r="A21" s="27" t="inlineStr">
        <is>
          <t>🩺 Veterinaria</t>
        </is>
      </c>
      <c r="B21" s="54" t="n">
        <v>86340</v>
      </c>
      <c r="C21" s="28" t="n">
        <v>0.2286455781682401</v>
      </c>
      <c r="D21" s="19" t="n">
        <v>30</v>
      </c>
      <c r="E21" s="54" t="n">
        <v>2878</v>
      </c>
      <c r="F21" s="28" t="n">
        <v>2.76288</v>
      </c>
      <c r="G21" s="17" t="n"/>
      <c r="H21" s="17" t="n"/>
    </row>
    <row r="22" ht="18" customHeight="1" s="149">
      <c r="A22" s="29" t="inlineStr">
        <is>
          <t>💊 Farmacia/Shop</t>
        </is>
      </c>
      <c r="B22" s="14" t="n">
        <v>78830</v>
      </c>
      <c r="C22" s="26" t="n">
        <v>0.2087575970234233</v>
      </c>
      <c r="D22" s="15" t="n">
        <v>64</v>
      </c>
      <c r="E22" s="14" t="n">
        <v>1232</v>
      </c>
      <c r="F22" s="26" t="n">
        <v>2.52256</v>
      </c>
      <c r="G22" s="9" t="n"/>
      <c r="H22" s="9" t="n"/>
    </row>
    <row r="23" ht="15.75" customHeight="1" s="149"/>
    <row r="24" ht="15.75" customHeight="1" s="149"/>
    <row r="25" ht="15.75" customHeight="1" s="149"/>
    <row r="26" ht="15.75" customHeight="1" s="149"/>
    <row r="27" ht="15.75" customHeight="1" s="149"/>
    <row r="28" ht="15.75" customHeight="1" s="149"/>
    <row r="29" ht="15.75" customHeight="1" s="149"/>
    <row r="30" ht="15.75" customHeight="1" s="149"/>
    <row r="31" ht="15.75" customHeight="1" s="149"/>
    <row r="32" ht="15.75" customHeight="1" s="149"/>
    <row r="33" ht="15.75" customHeight="1" s="149"/>
    <row r="34" ht="15.75" customHeight="1" s="149"/>
    <row r="35" ht="15.75" customHeight="1" s="149"/>
    <row r="36" ht="15.75" customHeight="1" s="149"/>
    <row r="37" ht="15.75" customHeight="1" s="149"/>
    <row r="38" ht="15.75" customHeight="1" s="149"/>
    <row r="39" ht="15.75" customHeight="1" s="149"/>
    <row r="40" ht="15.75" customHeight="1" s="149"/>
    <row r="41" ht="15.75" customHeight="1" s="149"/>
    <row r="42" ht="15.75" customHeight="1" s="149"/>
    <row r="43" ht="15.75" customHeight="1" s="149"/>
    <row r="44" ht="15.75" customHeight="1" s="149"/>
    <row r="45" ht="15.75" customHeight="1" s="149"/>
    <row r="46" ht="15.75" customHeight="1" s="149"/>
    <row r="47" ht="15.75" customHeight="1" s="149"/>
    <row r="48" ht="15.75" customHeight="1" s="149"/>
    <row r="49" ht="15.75" customHeight="1" s="149"/>
    <row r="50" ht="15.75" customHeight="1" s="149"/>
    <row r="51" ht="15.75" customHeight="1" s="149"/>
    <row r="52" ht="15.75" customHeight="1" s="149"/>
    <row r="53" ht="15.75" customHeight="1" s="149"/>
    <row r="54" ht="15.75" customHeight="1" s="149"/>
    <row r="55" ht="15.75" customHeight="1" s="149"/>
    <row r="56" ht="15.75" customHeight="1" s="149"/>
    <row r="57" ht="15.75" customHeight="1" s="149"/>
    <row r="58" ht="15.75" customHeight="1" s="149"/>
    <row r="59" ht="15.75" customHeight="1" s="149"/>
    <row r="60" ht="15.75" customHeight="1" s="149"/>
    <row r="61" ht="15.75" customHeight="1" s="149"/>
    <row r="62" ht="15.75" customHeight="1" s="149"/>
    <row r="63" ht="15.75" customHeight="1" s="149"/>
    <row r="64" ht="15.75" customHeight="1" s="149"/>
    <row r="65" ht="15.75" customHeight="1" s="149"/>
    <row r="66" ht="15.75" customHeight="1" s="149"/>
    <row r="67" ht="15.75" customHeight="1" s="149"/>
    <row r="68" ht="15.75" customHeight="1" s="149"/>
    <row r="69" ht="15.75" customHeight="1" s="149"/>
    <row r="70" ht="15.75" customHeight="1" s="149"/>
    <row r="71" ht="15.75" customHeight="1" s="149"/>
    <row r="72" ht="15.75" customHeight="1" s="149"/>
    <row r="73" ht="15.75" customHeight="1" s="149"/>
    <row r="74" ht="15.75" customHeight="1" s="149"/>
    <row r="75" ht="15.75" customHeight="1" s="149"/>
    <row r="76" ht="15.75" customHeight="1" s="149"/>
    <row r="77" ht="15.75" customHeight="1" s="149"/>
    <row r="78" ht="15.75" customHeight="1" s="149"/>
    <row r="79" ht="15.75" customHeight="1" s="149"/>
    <row r="80" ht="15.75" customHeight="1" s="149"/>
    <row r="81" ht="15.75" customHeight="1" s="149"/>
    <row r="82" ht="15.75" customHeight="1" s="149"/>
    <row r="83" ht="15.75" customHeight="1" s="149"/>
    <row r="84" ht="15.75" customHeight="1" s="149"/>
    <row r="85" ht="15.75" customHeight="1" s="149"/>
    <row r="86" ht="15.75" customHeight="1" s="149"/>
    <row r="87" ht="15.75" customHeight="1" s="149"/>
    <row r="88" ht="15.75" customHeight="1" s="149"/>
    <row r="89" ht="15.75" customHeight="1" s="149"/>
    <row r="90" ht="15.75" customHeight="1" s="149"/>
    <row r="91" ht="15.75" customHeight="1" s="149"/>
    <row r="92" ht="15.75" customHeight="1" s="149"/>
    <row r="93" ht="15.75" customHeight="1" s="149"/>
    <row r="94" ht="15.75" customHeight="1" s="149"/>
    <row r="95" ht="15.75" customHeight="1" s="149"/>
    <row r="96" ht="15.75" customHeight="1" s="149"/>
    <row r="97" ht="15.75" customHeight="1" s="149"/>
    <row r="98" ht="15.75" customHeight="1" s="149"/>
    <row r="99" ht="15.75" customHeight="1" s="149"/>
    <row r="100" ht="15.75" customHeight="1" s="149"/>
    <row r="101" ht="15.75" customHeight="1" s="149"/>
    <row r="102" ht="15.75" customHeight="1" s="149"/>
    <row r="103" ht="15.75" customHeight="1" s="149"/>
    <row r="104" ht="15.75" customHeight="1" s="149"/>
    <row r="105" ht="15.75" customHeight="1" s="149"/>
    <row r="106" ht="15.75" customHeight="1" s="149"/>
    <row r="107" ht="15.75" customHeight="1" s="149"/>
    <row r="108" ht="15.75" customHeight="1" s="149"/>
    <row r="109" ht="15.75" customHeight="1" s="149"/>
    <row r="110" ht="15.75" customHeight="1" s="149"/>
    <row r="111" ht="15.75" customHeight="1" s="149"/>
    <row r="112" ht="15.75" customHeight="1" s="149"/>
    <row r="113" ht="15.75" customHeight="1" s="149"/>
    <row r="114" ht="15.75" customHeight="1" s="149"/>
    <row r="115" ht="15.75" customHeight="1" s="149"/>
    <row r="116" ht="15.75" customHeight="1" s="149"/>
    <row r="117" ht="15.75" customHeight="1" s="149"/>
    <row r="118" ht="15.75" customHeight="1" s="149"/>
    <row r="119" ht="15.75" customHeight="1" s="149"/>
    <row r="120" ht="15.75" customHeight="1" s="149"/>
    <row r="121" ht="15.75" customHeight="1" s="149"/>
    <row r="122" ht="15.75" customHeight="1" s="149"/>
    <row r="123" ht="15.75" customHeight="1" s="149"/>
    <row r="124" ht="15.75" customHeight="1" s="149"/>
    <row r="125" ht="15.75" customHeight="1" s="149"/>
    <row r="126" ht="15.75" customHeight="1" s="149"/>
    <row r="127" ht="15.75" customHeight="1" s="149"/>
    <row r="128" ht="15.75" customHeight="1" s="149"/>
    <row r="129" ht="15.75" customHeight="1" s="149"/>
    <row r="130" ht="15.75" customHeight="1" s="149"/>
    <row r="131" ht="15.75" customHeight="1" s="149"/>
    <row r="132" ht="15.75" customHeight="1" s="149"/>
    <row r="133" ht="15.75" customHeight="1" s="149"/>
    <row r="134" ht="15.75" customHeight="1" s="149"/>
    <row r="135" ht="15.75" customHeight="1" s="149"/>
    <row r="136" ht="15.75" customHeight="1" s="149"/>
    <row r="137" ht="15.75" customHeight="1" s="149"/>
    <row r="138" ht="15.75" customHeight="1" s="149"/>
    <row r="139" ht="15.75" customHeight="1" s="149"/>
    <row r="140" ht="15.75" customHeight="1" s="149"/>
    <row r="141" ht="15.75" customHeight="1" s="149"/>
    <row r="142" ht="15.75" customHeight="1" s="149"/>
    <row r="143" ht="15.75" customHeight="1" s="149"/>
    <row r="144" ht="15.75" customHeight="1" s="149"/>
    <row r="145" ht="15.75" customHeight="1" s="149"/>
    <row r="146" ht="15.75" customHeight="1" s="149"/>
    <row r="147" ht="15.75" customHeight="1" s="149"/>
    <row r="148" ht="15.75" customHeight="1" s="149"/>
    <row r="149" ht="15.75" customHeight="1" s="149"/>
    <row r="150" ht="15.75" customHeight="1" s="149"/>
    <row r="151" ht="15.75" customHeight="1" s="149"/>
    <row r="152" ht="15.75" customHeight="1" s="149"/>
    <row r="153" ht="15.75" customHeight="1" s="149"/>
    <row r="154" ht="15.75" customHeight="1" s="149"/>
    <row r="155" ht="15.75" customHeight="1" s="149"/>
    <row r="156" ht="15.75" customHeight="1" s="149"/>
    <row r="157" ht="15.75" customHeight="1" s="149"/>
    <row r="158" ht="15.75" customHeight="1" s="149"/>
    <row r="159" ht="15.75" customHeight="1" s="149"/>
    <row r="160" ht="15.75" customHeight="1" s="149"/>
    <row r="161" ht="15.75" customHeight="1" s="149"/>
    <row r="162" ht="15.75" customHeight="1" s="149"/>
    <row r="163" ht="15.75" customHeight="1" s="149"/>
    <row r="164" ht="15.75" customHeight="1" s="149"/>
    <row r="165" ht="15.75" customHeight="1" s="149"/>
    <row r="166" ht="15.75" customHeight="1" s="149"/>
    <row r="167" ht="15.75" customHeight="1" s="149"/>
    <row r="168" ht="15.75" customHeight="1" s="149"/>
    <row r="169" ht="15.75" customHeight="1" s="149"/>
    <row r="170" ht="15.75" customHeight="1" s="149"/>
    <row r="171" ht="15.75" customHeight="1" s="149"/>
    <row r="172" ht="15.75" customHeight="1" s="149"/>
    <row r="173" ht="15.75" customHeight="1" s="149"/>
    <row r="174" ht="15.75" customHeight="1" s="149"/>
    <row r="175" ht="15.75" customHeight="1" s="149"/>
    <row r="176" ht="15.75" customHeight="1" s="149"/>
    <row r="177" ht="15.75" customHeight="1" s="149"/>
    <row r="178" ht="15.75" customHeight="1" s="149"/>
    <row r="179" ht="15.75" customHeight="1" s="149"/>
    <row r="180" ht="15.75" customHeight="1" s="149"/>
    <row r="181" ht="15.75" customHeight="1" s="149"/>
    <row r="182" ht="15.75" customHeight="1" s="149"/>
    <row r="183" ht="15.75" customHeight="1" s="149"/>
    <row r="184" ht="15.75" customHeight="1" s="149"/>
    <row r="185" ht="15.75" customHeight="1" s="149"/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5">
    <mergeCell ref="A18:H18"/>
    <mergeCell ref="A3:H3"/>
    <mergeCell ref="A2:H2"/>
    <mergeCell ref="A11:H11"/>
    <mergeCell ref="A1:H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tabColor rgb="FF1A56DB"/>
    <outlinePr summaryBelow="1" summaryRight="1"/>
    <pageSetUpPr/>
  </sheetPr>
  <dimension ref="A1:I264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" customWidth="1" style="149" min="1" max="1"/>
    <col width="13" customWidth="1" style="149" min="2" max="2"/>
    <col width="28" customWidth="1" style="149" min="3" max="3"/>
    <col width="42" customWidth="1" style="149" min="4" max="4"/>
    <col width="16" customWidth="1" style="149" min="5" max="8"/>
    <col width="24" customWidth="1" style="149" min="9" max="9"/>
    <col width="8.710000000000001" customWidth="1" style="149" min="10" max="26"/>
  </cols>
  <sheetData>
    <row r="1" ht="39.75" customHeight="1" s="149">
      <c r="A1" s="150" t="inlineStr">
        <is>
          <t>🐾 PetColinas — VENTAS 2026</t>
        </is>
      </c>
    </row>
    <row r="2" ht="19.5" customHeight="1" s="149">
      <c r="A2" s="151" t="inlineStr">
        <is>
          <t>Ene · Feb · Mar 2026  ·  272 registros (corregido)</t>
        </is>
      </c>
    </row>
    <row r="3" ht="27.75" customHeight="1" s="149">
      <c r="A3" s="30" t="inlineStr">
        <is>
          <t>#</t>
        </is>
      </c>
      <c r="B3" s="30" t="inlineStr">
        <is>
          <t>FECHA</t>
        </is>
      </c>
      <c r="C3" s="30" t="inlineStr">
        <is>
          <t>MASCOTA / CLIENTE</t>
        </is>
      </c>
      <c r="D3" s="30" t="inlineStr">
        <is>
          <t>SERVICIO / DESCRIPCIÓN</t>
        </is>
      </c>
      <c r="E3" s="30" t="inlineStr">
        <is>
          <t>ÁREA</t>
        </is>
      </c>
      <c r="F3" s="30" t="inlineStr">
        <is>
          <t>MONTO RD$</t>
        </is>
      </c>
      <c r="G3" s="30" t="inlineStr">
        <is>
          <t>FORMA DE PAGO</t>
        </is>
      </c>
      <c r="H3" s="30" t="inlineStr">
        <is>
          <t>RECIBIDO POR</t>
        </is>
      </c>
      <c r="I3" s="30" t="inlineStr">
        <is>
          <t>OBSERVACIONES</t>
        </is>
      </c>
    </row>
    <row r="4" ht="18" customHeight="1" s="149">
      <c r="A4" s="7" t="n">
        <v>1</v>
      </c>
      <c r="B4" s="7" t="inlineStr">
        <is>
          <t>2026-03-16</t>
        </is>
      </c>
      <c r="C4" s="7" t="inlineStr">
        <is>
          <t>Mini Roble</t>
        </is>
      </c>
      <c r="D4" s="7" t="inlineStr">
        <is>
          <t>baño  pequeño + corte higuienico</t>
        </is>
      </c>
      <c r="E4" s="7" t="inlineStr">
        <is>
          <t>Grooming</t>
        </is>
      </c>
      <c r="F4" s="35" t="n">
        <v>1289</v>
      </c>
      <c r="G4" s="7" t="inlineStr">
        <is>
          <t>efectivo</t>
        </is>
      </c>
      <c r="H4" s="7" t="inlineStr">
        <is>
          <t>Leydeli</t>
        </is>
      </c>
      <c r="I4" s="7" t="n"/>
    </row>
    <row r="5" ht="18" customHeight="1" s="149">
      <c r="A5" s="32" t="n">
        <v>2</v>
      </c>
      <c r="B5" s="32" t="inlineStr">
        <is>
          <t>2026-03-16</t>
        </is>
      </c>
      <c r="C5" s="32" t="inlineStr">
        <is>
          <t>Milo  Montero</t>
        </is>
      </c>
      <c r="D5" s="32" t="inlineStr">
        <is>
          <t>baño pequeño</t>
        </is>
      </c>
      <c r="E5" s="32" t="inlineStr">
        <is>
          <t>Grooming</t>
        </is>
      </c>
      <c r="F5" s="33" t="n">
        <v>799</v>
      </c>
      <c r="G5" s="32" t="inlineStr">
        <is>
          <t>popular</t>
        </is>
      </c>
      <c r="H5" s="32" t="inlineStr">
        <is>
          <t>Alexander</t>
        </is>
      </c>
      <c r="I5" s="32" t="n"/>
    </row>
    <row r="6" ht="18" customHeight="1" s="149">
      <c r="A6" s="7" t="n">
        <v>3</v>
      </c>
      <c r="B6" s="7" t="inlineStr">
        <is>
          <t>2026-03-16</t>
        </is>
      </c>
      <c r="C6" s="7" t="inlineStr">
        <is>
          <t>Diamond Ramirez</t>
        </is>
      </c>
      <c r="D6" s="7" t="inlineStr">
        <is>
          <t>baño pequeño</t>
        </is>
      </c>
      <c r="E6" s="7" t="inlineStr">
        <is>
          <t>Grooming</t>
        </is>
      </c>
      <c r="F6" s="35" t="n">
        <v>799</v>
      </c>
      <c r="G6" s="7" t="inlineStr">
        <is>
          <t>popular</t>
        </is>
      </c>
      <c r="H6" s="7" t="inlineStr">
        <is>
          <t>Alexander</t>
        </is>
      </c>
      <c r="I6" s="7" t="inlineStr">
        <is>
          <t>nexgard spectra 3,6-7,5kg</t>
        </is>
      </c>
    </row>
    <row r="7" ht="18" customHeight="1" s="149">
      <c r="A7" s="32" t="n">
        <v>4</v>
      </c>
      <c r="B7" s="32" t="inlineStr">
        <is>
          <t>2026-03-16</t>
        </is>
      </c>
      <c r="C7" s="32" t="inlineStr">
        <is>
          <t>Diamond Ramirez</t>
        </is>
      </c>
      <c r="D7" s="32" t="inlineStr">
        <is>
          <t>popular</t>
        </is>
      </c>
      <c r="E7" s="32" t="inlineStr">
        <is>
          <t>Farmacia/Shop</t>
        </is>
      </c>
      <c r="F7" s="33" t="n">
        <v>1975</v>
      </c>
      <c r="G7" s="32" t="n"/>
      <c r="H7" s="32" t="n"/>
      <c r="I7" s="32" t="n"/>
    </row>
    <row r="8" ht="18" customHeight="1" s="149">
      <c r="A8" s="7" t="n">
        <v>5</v>
      </c>
      <c r="B8" s="7" t="inlineStr">
        <is>
          <t>2026-03-15</t>
        </is>
      </c>
      <c r="C8" s="7" t="inlineStr">
        <is>
          <t>Choco Carrasco</t>
        </is>
      </c>
      <c r="D8" s="7" t="inlineStr">
        <is>
          <t>baño mediano</t>
        </is>
      </c>
      <c r="E8" s="7" t="inlineStr">
        <is>
          <t>Grooming</t>
        </is>
      </c>
      <c r="F8" s="35" t="n">
        <v>949</v>
      </c>
      <c r="G8" s="7" t="inlineStr">
        <is>
          <t>reservas</t>
        </is>
      </c>
      <c r="H8" s="7" t="inlineStr">
        <is>
          <t>Leydeli</t>
        </is>
      </c>
      <c r="I8" s="7" t="n"/>
    </row>
    <row r="9" ht="18" customHeight="1" s="149">
      <c r="A9" s="32" t="n">
        <v>6</v>
      </c>
      <c r="B9" s="32" t="inlineStr">
        <is>
          <t>2026-03-15</t>
        </is>
      </c>
      <c r="C9" s="32" t="inlineStr">
        <is>
          <t>Luna Sanchez</t>
        </is>
      </c>
      <c r="D9" s="32" t="inlineStr">
        <is>
          <t>baño pequeño+corte completo</t>
        </is>
      </c>
      <c r="E9" s="32" t="inlineStr">
        <is>
          <t>Grooming</t>
        </is>
      </c>
      <c r="F9" s="33" t="n">
        <v>1548</v>
      </c>
      <c r="G9" s="32" t="inlineStr">
        <is>
          <t>efectivo</t>
        </is>
      </c>
      <c r="H9" s="32" t="inlineStr">
        <is>
          <t>Leydeli</t>
        </is>
      </c>
      <c r="I9" s="32" t="n"/>
    </row>
    <row r="10" ht="18" customHeight="1" s="149">
      <c r="A10" s="7" t="n">
        <v>7</v>
      </c>
      <c r="B10" s="7" t="inlineStr">
        <is>
          <t>2026-03-15</t>
        </is>
      </c>
      <c r="C10" s="7" t="inlineStr">
        <is>
          <t>Luna Jimenez</t>
        </is>
      </c>
      <c r="D10" s="7" t="inlineStr">
        <is>
          <t>baño pequeño+corte completo</t>
        </is>
      </c>
      <c r="E10" s="7" t="inlineStr">
        <is>
          <t>Grooming</t>
        </is>
      </c>
      <c r="F10" s="35" t="n">
        <v>1548</v>
      </c>
      <c r="G10" s="7" t="inlineStr">
        <is>
          <t>popular</t>
        </is>
      </c>
      <c r="H10" s="7" t="inlineStr">
        <is>
          <t>Leydeli</t>
        </is>
      </c>
      <c r="I10" s="7" t="n"/>
    </row>
    <row r="11" ht="18" customHeight="1" s="149">
      <c r="A11" s="32" t="n">
        <v>8</v>
      </c>
      <c r="B11" s="32" t="inlineStr">
        <is>
          <t>2026-03-15</t>
        </is>
      </c>
      <c r="C11" s="32" t="inlineStr">
        <is>
          <t>Shayna Sanchez</t>
        </is>
      </c>
      <c r="D11" s="32" t="inlineStr">
        <is>
          <t>baño medicado</t>
        </is>
      </c>
      <c r="E11" s="32" t="inlineStr">
        <is>
          <t>Grooming</t>
        </is>
      </c>
      <c r="F11" s="33" t="n">
        <v>1000</v>
      </c>
      <c r="G11" s="32" t="inlineStr">
        <is>
          <t>reservas</t>
        </is>
      </c>
      <c r="H11" s="32" t="inlineStr">
        <is>
          <t>Leydeli</t>
        </is>
      </c>
      <c r="I11" s="32" t="n"/>
    </row>
    <row r="12" ht="18" customHeight="1" s="149">
      <c r="A12" s="7" t="n">
        <v>9</v>
      </c>
      <c r="B12" s="7" t="inlineStr">
        <is>
          <t>2026-03-15</t>
        </is>
      </c>
      <c r="C12" s="7" t="inlineStr">
        <is>
          <t>Nieves Aquino</t>
        </is>
      </c>
      <c r="D12" s="7" t="inlineStr">
        <is>
          <t>baño pequeño+corte completo</t>
        </is>
      </c>
      <c r="E12" s="7" t="inlineStr">
        <is>
          <t>Grooming</t>
        </is>
      </c>
      <c r="F12" s="35" t="n">
        <v>1548</v>
      </c>
      <c r="G12" s="7" t="inlineStr">
        <is>
          <t>reservas</t>
        </is>
      </c>
      <c r="H12" s="7" t="inlineStr">
        <is>
          <t>Leydeli</t>
        </is>
      </c>
      <c r="I12" s="7" t="inlineStr">
        <is>
          <t>Correa para perro ($320) + Nexgard Spectra ($1975)</t>
        </is>
      </c>
    </row>
    <row r="13" ht="18" customHeight="1" s="149">
      <c r="A13" s="32" t="n">
        <v>10</v>
      </c>
      <c r="B13" s="32" t="inlineStr">
        <is>
          <t>2026-03-15</t>
        </is>
      </c>
      <c r="C13" s="32" t="inlineStr">
        <is>
          <t>Nieves Aquino</t>
        </is>
      </c>
      <c r="D13" s="32" t="inlineStr">
        <is>
          <t>reservas</t>
        </is>
      </c>
      <c r="E13" s="32" t="inlineStr">
        <is>
          <t>Farmacia/Shop</t>
        </is>
      </c>
      <c r="F13" s="33" t="n">
        <v>2295</v>
      </c>
      <c r="G13" s="32" t="n"/>
      <c r="H13" s="32" t="n"/>
      <c r="I13" s="32" t="n"/>
    </row>
    <row r="14" ht="18" customHeight="1" s="149">
      <c r="A14" s="7" t="n">
        <v>11</v>
      </c>
      <c r="B14" s="7" t="inlineStr">
        <is>
          <t>2026-03-15</t>
        </is>
      </c>
      <c r="C14" s="7" t="inlineStr">
        <is>
          <t>Rocky De la Cruz</t>
        </is>
      </c>
      <c r="D14" s="7" t="inlineStr">
        <is>
          <t>baño pequeño</t>
        </is>
      </c>
      <c r="E14" s="7" t="inlineStr">
        <is>
          <t>Grooming</t>
        </is>
      </c>
      <c r="F14" s="35" t="n">
        <v>799</v>
      </c>
      <c r="G14" s="7" t="inlineStr">
        <is>
          <t>efectivo</t>
        </is>
      </c>
      <c r="H14" s="7" t="inlineStr">
        <is>
          <t>Leydeli</t>
        </is>
      </c>
      <c r="I14" s="7" t="n"/>
    </row>
    <row r="15" ht="18" customHeight="1" s="149">
      <c r="A15" s="32" t="n">
        <v>12</v>
      </c>
      <c r="B15" s="32" t="inlineStr">
        <is>
          <t>2026-03-14</t>
        </is>
      </c>
      <c r="C15" s="32" t="inlineStr">
        <is>
          <t>Rey Rafael</t>
        </is>
      </c>
      <c r="D15" s="32" t="inlineStr">
        <is>
          <t>baño pequeño + desenrede</t>
        </is>
      </c>
      <c r="E15" s="32" t="inlineStr">
        <is>
          <t>Grooming</t>
        </is>
      </c>
      <c r="F15" s="33" t="n">
        <v>1489</v>
      </c>
      <c r="G15" s="32" t="inlineStr">
        <is>
          <t>popular</t>
        </is>
      </c>
      <c r="H15" s="32" t="inlineStr">
        <is>
          <t>Victor I</t>
        </is>
      </c>
      <c r="I15" s="32" t="n"/>
    </row>
    <row r="16" ht="18" customHeight="1" s="149">
      <c r="A16" s="7" t="n">
        <v>13</v>
      </c>
      <c r="B16" s="7" t="inlineStr">
        <is>
          <t>2026-03-14</t>
        </is>
      </c>
      <c r="C16" s="7" t="inlineStr">
        <is>
          <t>Mia Reyes</t>
        </is>
      </c>
      <c r="D16" s="7" t="inlineStr">
        <is>
          <t>baño pequeño+corte completo</t>
        </is>
      </c>
      <c r="E16" s="7" t="inlineStr">
        <is>
          <t>Grooming</t>
        </is>
      </c>
      <c r="F16" s="35" t="n">
        <v>1548</v>
      </c>
      <c r="G16" s="7" t="inlineStr">
        <is>
          <t>reservas</t>
        </is>
      </c>
      <c r="H16" s="7" t="inlineStr">
        <is>
          <t>Victor I</t>
        </is>
      </c>
      <c r="I16" s="7" t="n"/>
    </row>
    <row r="17" ht="18" customHeight="1" s="149">
      <c r="A17" s="32" t="n">
        <v>14</v>
      </c>
      <c r="B17" s="32" t="inlineStr">
        <is>
          <t>2026-03-14</t>
        </is>
      </c>
      <c r="C17" s="32" t="inlineStr">
        <is>
          <t>Kyra Portier</t>
        </is>
      </c>
      <c r="D17" s="32" t="inlineStr">
        <is>
          <t>corte de uñas</t>
        </is>
      </c>
      <c r="E17" s="32" t="inlineStr">
        <is>
          <t>Grooming</t>
        </is>
      </c>
      <c r="F17" s="33" t="n">
        <v>300</v>
      </c>
      <c r="G17" s="32" t="inlineStr">
        <is>
          <t>reservas</t>
        </is>
      </c>
      <c r="H17" s="32" t="inlineStr">
        <is>
          <t>Leydeli</t>
        </is>
      </c>
      <c r="I17" s="32" t="n"/>
    </row>
    <row r="18" ht="18" customHeight="1" s="149">
      <c r="A18" s="7" t="n">
        <v>15</v>
      </c>
      <c r="B18" s="7" t="inlineStr">
        <is>
          <t>2026-03-14</t>
        </is>
      </c>
      <c r="C18" s="7" t="inlineStr">
        <is>
          <t>Paco Pontier</t>
        </is>
      </c>
      <c r="D18" s="7" t="inlineStr">
        <is>
          <t>baño pequeño+corte completo</t>
        </is>
      </c>
      <c r="E18" s="7" t="inlineStr">
        <is>
          <t>Grooming</t>
        </is>
      </c>
      <c r="F18" s="35" t="n">
        <v>1548</v>
      </c>
      <c r="G18" s="7" t="inlineStr">
        <is>
          <t>efectivo</t>
        </is>
      </c>
      <c r="H18" s="7" t="inlineStr">
        <is>
          <t>Victor I.</t>
        </is>
      </c>
      <c r="I18" s="7" t="n"/>
    </row>
    <row r="19" ht="18" customHeight="1" s="149">
      <c r="A19" s="32" t="n">
        <v>16</v>
      </c>
      <c r="B19" s="32" t="inlineStr">
        <is>
          <t>2026-03-14</t>
        </is>
      </c>
      <c r="C19" s="32" t="inlineStr">
        <is>
          <t>Chestnit</t>
        </is>
      </c>
      <c r="D19" s="32" t="inlineStr">
        <is>
          <t>baño pequeño</t>
        </is>
      </c>
      <c r="E19" s="32" t="inlineStr">
        <is>
          <t>Grooming</t>
        </is>
      </c>
      <c r="F19" s="33" t="n">
        <v>799</v>
      </c>
      <c r="G19" s="32" t="inlineStr">
        <is>
          <t>efectivo</t>
        </is>
      </c>
      <c r="H19" s="32" t="inlineStr">
        <is>
          <t>Victor I.</t>
        </is>
      </c>
      <c r="I19" s="32" t="inlineStr">
        <is>
          <t>Nexgard Spectra</t>
        </is>
      </c>
    </row>
    <row r="20" ht="18" customHeight="1" s="149">
      <c r="A20" s="27" t="n">
        <v>17</v>
      </c>
      <c r="B20" s="27" t="inlineStr">
        <is>
          <t>2026-03-14</t>
        </is>
      </c>
      <c r="C20" s="27" t="inlineStr">
        <is>
          <t>Benji Sanchez</t>
        </is>
      </c>
      <c r="D20" s="27" t="inlineStr">
        <is>
          <t>Consulta ($1500) + Vacuna sextuple ($1470) + Vacuna rabia ($1500)</t>
        </is>
      </c>
      <c r="E20" s="27" t="inlineStr">
        <is>
          <t>Veterinaria</t>
        </is>
      </c>
      <c r="F20" s="34" t="n">
        <v>4470</v>
      </c>
      <c r="G20" s="27" t="n"/>
      <c r="H20" s="27" t="n"/>
      <c r="I20" s="27" t="n"/>
    </row>
    <row r="21" ht="18" customHeight="1" s="149">
      <c r="A21" s="32" t="n">
        <v>18</v>
      </c>
      <c r="B21" s="32" t="inlineStr">
        <is>
          <t>2026-03-14</t>
        </is>
      </c>
      <c r="C21" s="32" t="inlineStr">
        <is>
          <t>Tommy Borbon</t>
        </is>
      </c>
      <c r="D21" s="32" t="inlineStr">
        <is>
          <t>baño pequeño+corte completo</t>
        </is>
      </c>
      <c r="E21" s="32" t="inlineStr">
        <is>
          <t>Grooming</t>
        </is>
      </c>
      <c r="F21" s="33" t="n">
        <v>1548</v>
      </c>
      <c r="G21" s="32" t="inlineStr">
        <is>
          <t>Transferencia</t>
        </is>
      </c>
      <c r="H21" s="32" t="inlineStr">
        <is>
          <t>Victor</t>
        </is>
      </c>
      <c r="I21" s="32" t="n"/>
    </row>
    <row r="22" ht="18" customHeight="1" s="149">
      <c r="A22" s="7" t="n">
        <v>19</v>
      </c>
      <c r="B22" s="7" t="inlineStr">
        <is>
          <t>2026-03-14</t>
        </is>
      </c>
      <c r="C22" s="7" t="inlineStr">
        <is>
          <t>Arenita Pontier</t>
        </is>
      </c>
      <c r="D22" s="7" t="inlineStr">
        <is>
          <t>baño pequeño+corte completo</t>
        </is>
      </c>
      <c r="E22" s="7" t="inlineStr">
        <is>
          <t>Grooming</t>
        </is>
      </c>
      <c r="F22" s="35" t="n">
        <v>1548</v>
      </c>
      <c r="G22" s="7" t="inlineStr">
        <is>
          <t>efectivo</t>
        </is>
      </c>
      <c r="H22" s="7" t="inlineStr">
        <is>
          <t>Victor I.</t>
        </is>
      </c>
      <c r="I22" s="7" t="n"/>
    </row>
    <row r="23" ht="18" customHeight="1" s="149">
      <c r="A23" s="32" t="n">
        <v>20</v>
      </c>
      <c r="B23" s="32" t="inlineStr">
        <is>
          <t>2026-03-14</t>
        </is>
      </c>
      <c r="C23" s="32" t="inlineStr">
        <is>
          <t>Lia García</t>
        </is>
      </c>
      <c r="D23" s="32" t="inlineStr">
        <is>
          <t>reservas</t>
        </is>
      </c>
      <c r="E23" s="32" t="inlineStr">
        <is>
          <t>Farmacia/Shop</t>
        </is>
      </c>
      <c r="F23" s="33" t="n">
        <v>3000</v>
      </c>
      <c r="G23" s="32" t="n"/>
      <c r="H23" s="32" t="n"/>
      <c r="I23" s="32" t="n"/>
    </row>
    <row r="24" ht="18" customHeight="1" s="149">
      <c r="A24" s="7" t="n">
        <v>21</v>
      </c>
      <c r="B24" s="7" t="inlineStr">
        <is>
          <t>2026-03-14</t>
        </is>
      </c>
      <c r="C24" s="7" t="inlineStr">
        <is>
          <t>Lia García</t>
        </is>
      </c>
      <c r="D24" s="7" t="inlineStr">
        <is>
          <t>baño grande</t>
        </is>
      </c>
      <c r="E24" s="7" t="inlineStr">
        <is>
          <t>Grooming</t>
        </is>
      </c>
      <c r="F24" s="35" t="n">
        <v>1149</v>
      </c>
      <c r="G24" s="7" t="inlineStr">
        <is>
          <t>Transferencia</t>
        </is>
      </c>
      <c r="H24" s="7" t="inlineStr">
        <is>
          <t>Victor I</t>
        </is>
      </c>
      <c r="I24" s="7" t="inlineStr">
        <is>
          <t>Nexgard Spectra L</t>
        </is>
      </c>
    </row>
    <row r="25" ht="18" customHeight="1" s="149">
      <c r="A25" s="32" t="n">
        <v>22</v>
      </c>
      <c r="B25" s="32" t="inlineStr">
        <is>
          <t>2026-03-14</t>
        </is>
      </c>
      <c r="C25" s="32" t="inlineStr">
        <is>
          <t>Maya Diaz</t>
        </is>
      </c>
      <c r="D25" s="32" t="inlineStr">
        <is>
          <t>Consulta ($1500) + Vacuna Giardia ($1450)</t>
        </is>
      </c>
      <c r="E25" s="32" t="inlineStr">
        <is>
          <t>Veterinaria</t>
        </is>
      </c>
      <c r="F25" s="33" t="n">
        <v>3000</v>
      </c>
      <c r="G25" s="32" t="n"/>
      <c r="H25" s="32" t="n"/>
      <c r="I25" s="32" t="n"/>
    </row>
    <row r="26" ht="18" customHeight="1" s="149">
      <c r="A26" s="29" t="n">
        <v>23</v>
      </c>
      <c r="B26" s="29" t="inlineStr">
        <is>
          <t>2026-03-14</t>
        </is>
      </c>
      <c r="C26" s="29" t="inlineStr">
        <is>
          <t>Maya Diaz</t>
        </is>
      </c>
      <c r="D26" s="29" t="inlineStr">
        <is>
          <t>transferencia</t>
        </is>
      </c>
      <c r="E26" s="29" t="inlineStr">
        <is>
          <t>Farmacia/Shop</t>
        </is>
      </c>
      <c r="F26" s="31" t="n">
        <v>1925</v>
      </c>
      <c r="G26" s="29" t="n"/>
      <c r="H26" s="29" t="n"/>
      <c r="I26" s="29" t="n"/>
    </row>
    <row r="27" ht="18" customHeight="1" s="149">
      <c r="A27" s="32" t="n">
        <v>24</v>
      </c>
      <c r="B27" s="32" t="inlineStr">
        <is>
          <t>2026-03-14</t>
        </is>
      </c>
      <c r="C27" s="32" t="inlineStr">
        <is>
          <t>Ares Ramos</t>
        </is>
      </c>
      <c r="D27" s="32" t="inlineStr">
        <is>
          <t>baño pequeño premium</t>
        </is>
      </c>
      <c r="E27" s="32" t="inlineStr">
        <is>
          <t>Grooming</t>
        </is>
      </c>
      <c r="F27" s="33" t="n">
        <v>1040</v>
      </c>
      <c r="G27" s="32" t="n"/>
      <c r="H27" s="32" t="inlineStr">
        <is>
          <t>Victor I.</t>
        </is>
      </c>
      <c r="I27" s="32" t="n"/>
    </row>
    <row r="28" ht="18" customHeight="1" s="149">
      <c r="A28" s="29" t="n">
        <v>25</v>
      </c>
      <c r="B28" s="29" t="inlineStr">
        <is>
          <t>2026-03-14</t>
        </is>
      </c>
      <c r="C28" s="29" t="inlineStr">
        <is>
          <t>Chestnit</t>
        </is>
      </c>
      <c r="D28" s="29" t="inlineStr">
        <is>
          <t>efectivo</t>
        </is>
      </c>
      <c r="E28" s="29" t="inlineStr">
        <is>
          <t>Farmacia/Shop</t>
        </is>
      </c>
      <c r="F28" s="31" t="n">
        <v>2000</v>
      </c>
      <c r="G28" s="29" t="n"/>
      <c r="H28" s="29" t="n"/>
      <c r="I28" s="29" t="n"/>
    </row>
    <row r="29" ht="18" customHeight="1" s="149">
      <c r="A29" s="32" t="n">
        <v>26</v>
      </c>
      <c r="B29" s="32" t="inlineStr">
        <is>
          <t>2026-03-13</t>
        </is>
      </c>
      <c r="C29" s="32" t="inlineStr">
        <is>
          <t>Lucho</t>
        </is>
      </c>
      <c r="D29" s="32" t="inlineStr">
        <is>
          <t>Consulta ($1500) Diagnostico ($1200)</t>
        </is>
      </c>
      <c r="E29" s="32" t="inlineStr">
        <is>
          <t>Veterinaria</t>
        </is>
      </c>
      <c r="F29" s="33" t="n">
        <v>2700</v>
      </c>
      <c r="G29" s="32" t="n"/>
      <c r="H29" s="32" t="n"/>
      <c r="I29" s="32" t="n"/>
    </row>
    <row r="30" ht="18" customHeight="1" s="149">
      <c r="A30" s="7" t="n">
        <v>27</v>
      </c>
      <c r="B30" s="7" t="inlineStr">
        <is>
          <t>2026-03-13</t>
        </is>
      </c>
      <c r="C30" s="7" t="inlineStr">
        <is>
          <t>Lucho</t>
        </is>
      </c>
      <c r="D30" s="7" t="inlineStr">
        <is>
          <t>baño pequeño</t>
        </is>
      </c>
      <c r="E30" s="7" t="inlineStr">
        <is>
          <t>Grooming</t>
        </is>
      </c>
      <c r="F30" s="35" t="n">
        <v>799</v>
      </c>
      <c r="G30" s="7" t="inlineStr">
        <is>
          <t>efectivo</t>
        </is>
      </c>
      <c r="H30" s="7" t="inlineStr">
        <is>
          <t>Leydeli</t>
        </is>
      </c>
      <c r="I30" s="7" t="inlineStr">
        <is>
          <t>La Doctora Valentina  y Leydeli  bañaron al gato</t>
        </is>
      </c>
    </row>
    <row r="31" ht="18" customHeight="1" s="149">
      <c r="A31" s="32" t="n">
        <v>28</v>
      </c>
      <c r="B31" s="32" t="inlineStr">
        <is>
          <t>2026-03-13</t>
        </is>
      </c>
      <c r="C31" s="32" t="inlineStr">
        <is>
          <t>Bella  Mena</t>
        </is>
      </c>
      <c r="D31" s="32" t="inlineStr">
        <is>
          <t>baño pequeño+corte higuenico+desenrrede</t>
        </is>
      </c>
      <c r="E31" s="32" t="inlineStr">
        <is>
          <t>Grooming</t>
        </is>
      </c>
      <c r="F31" s="33" t="n">
        <v>1979</v>
      </c>
      <c r="G31" s="32" t="inlineStr">
        <is>
          <t>banresevas</t>
        </is>
      </c>
      <c r="H31" s="32" t="inlineStr">
        <is>
          <t>Leydeli</t>
        </is>
      </c>
      <c r="I31" s="32" t="inlineStr">
        <is>
          <t>venta de Shed-x   suplemento para el pelaje</t>
        </is>
      </c>
    </row>
    <row r="32" ht="18" customHeight="1" s="149">
      <c r="A32" s="29" t="n">
        <v>29</v>
      </c>
      <c r="B32" s="29" t="inlineStr">
        <is>
          <t>2026-03-13</t>
        </is>
      </c>
      <c r="C32" s="29" t="inlineStr">
        <is>
          <t>Bella  Mena</t>
        </is>
      </c>
      <c r="D32" s="29" t="inlineStr">
        <is>
          <t>efectivo</t>
        </is>
      </c>
      <c r="E32" s="29" t="inlineStr">
        <is>
          <t>Farmacia/Shop</t>
        </is>
      </c>
      <c r="F32" s="31" t="n">
        <v>1300</v>
      </c>
      <c r="G32" s="29" t="n"/>
      <c r="H32" s="29" t="n"/>
      <c r="I32" s="29" t="n"/>
    </row>
    <row r="33" ht="18" customHeight="1" s="149">
      <c r="A33" s="32" t="n">
        <v>30</v>
      </c>
      <c r="B33" s="32" t="inlineStr">
        <is>
          <t>2026-03-13</t>
        </is>
      </c>
      <c r="C33" s="32" t="inlineStr">
        <is>
          <t>Kiki Doll</t>
        </is>
      </c>
      <c r="D33" s="32" t="inlineStr">
        <is>
          <t>banreservas</t>
        </is>
      </c>
      <c r="E33" s="32" t="inlineStr">
        <is>
          <t>Farmacia/Shop</t>
        </is>
      </c>
      <c r="F33" s="33" t="n">
        <v>1575</v>
      </c>
      <c r="G33" s="32" t="n"/>
      <c r="H33" s="32" t="n"/>
      <c r="I33" s="32" t="n"/>
    </row>
    <row r="34" ht="18" customHeight="1" s="149">
      <c r="A34" s="7" t="n">
        <v>31</v>
      </c>
      <c r="B34" s="7" t="inlineStr">
        <is>
          <t>2026-03-13</t>
        </is>
      </c>
      <c r="C34" s="7" t="inlineStr">
        <is>
          <t>Brownie Matias Lopez</t>
        </is>
      </c>
      <c r="D34" s="7" t="inlineStr">
        <is>
          <t>baño medicado + corte completo</t>
        </is>
      </c>
      <c r="E34" s="7" t="inlineStr">
        <is>
          <t>Grooming</t>
        </is>
      </c>
      <c r="F34" s="35" t="n">
        <v>1749</v>
      </c>
      <c r="G34" s="7" t="inlineStr">
        <is>
          <t>banreservas</t>
        </is>
      </c>
      <c r="H34" s="7" t="inlineStr">
        <is>
          <t>Leydeli</t>
        </is>
      </c>
      <c r="I34" s="7" t="n"/>
    </row>
    <row r="35" ht="18" customHeight="1" s="149">
      <c r="A35" s="32" t="n">
        <v>32</v>
      </c>
      <c r="B35" s="32" t="inlineStr">
        <is>
          <t>2026-03-13</t>
        </is>
      </c>
      <c r="C35" s="32" t="inlineStr">
        <is>
          <t>Blondie Lopez</t>
        </is>
      </c>
      <c r="D35" s="32" t="inlineStr">
        <is>
          <t>corte de uñas</t>
        </is>
      </c>
      <c r="E35" s="32" t="inlineStr">
        <is>
          <t>Grooming</t>
        </is>
      </c>
      <c r="F35" s="33" t="n">
        <v>300</v>
      </c>
      <c r="G35" s="32" t="inlineStr">
        <is>
          <t>banreservas</t>
        </is>
      </c>
      <c r="H35" s="32" t="inlineStr">
        <is>
          <t>Leydeli</t>
        </is>
      </c>
      <c r="I35" s="32" t="n"/>
    </row>
    <row r="36" ht="18" customHeight="1" s="149">
      <c r="A36" s="7" t="n">
        <v>33</v>
      </c>
      <c r="B36" s="7" t="inlineStr">
        <is>
          <t>2026-03-13</t>
        </is>
      </c>
      <c r="C36" s="7" t="inlineStr">
        <is>
          <t>Luna Roman</t>
        </is>
      </c>
      <c r="D36" s="7" t="inlineStr">
        <is>
          <t>baño pequeño+corte completo</t>
        </is>
      </c>
      <c r="E36" s="7" t="inlineStr">
        <is>
          <t>Grooming</t>
        </is>
      </c>
      <c r="F36" s="35" t="n">
        <v>1548</v>
      </c>
      <c r="G36" s="7" t="inlineStr">
        <is>
          <t>popular</t>
        </is>
      </c>
      <c r="H36" s="7" t="inlineStr">
        <is>
          <t>Leydeli</t>
        </is>
      </c>
      <c r="I36" s="7" t="inlineStr">
        <is>
          <t>venta de shed-x suplemento para el pelaje</t>
        </is>
      </c>
    </row>
    <row r="37" ht="18" customHeight="1" s="149">
      <c r="A37" s="32" t="n">
        <v>34</v>
      </c>
      <c r="B37" s="32" t="inlineStr">
        <is>
          <t>2026-03-13</t>
        </is>
      </c>
      <c r="C37" s="32" t="inlineStr">
        <is>
          <t>Luna Roman</t>
        </is>
      </c>
      <c r="D37" s="32" t="inlineStr">
        <is>
          <t>popular</t>
        </is>
      </c>
      <c r="E37" s="32" t="inlineStr">
        <is>
          <t>Farmacia/Shop</t>
        </is>
      </c>
      <c r="F37" s="33" t="n">
        <v>960</v>
      </c>
      <c r="G37" s="32" t="n"/>
      <c r="H37" s="32" t="n"/>
      <c r="I37" s="32" t="n"/>
    </row>
    <row r="38" ht="18" customHeight="1" s="149">
      <c r="A38" s="7" t="n">
        <v>35</v>
      </c>
      <c r="B38" s="7" t="inlineStr">
        <is>
          <t>2026-03-13</t>
        </is>
      </c>
      <c r="C38" s="7" t="inlineStr">
        <is>
          <t>Mila Belliard</t>
        </is>
      </c>
      <c r="D38" s="7" t="inlineStr">
        <is>
          <t>baño mediano</t>
        </is>
      </c>
      <c r="E38" s="7" t="inlineStr">
        <is>
          <t>Grooming</t>
        </is>
      </c>
      <c r="F38" s="35" t="n">
        <v>949</v>
      </c>
      <c r="G38" s="7" t="inlineStr">
        <is>
          <t>popular</t>
        </is>
      </c>
      <c r="H38" s="7" t="inlineStr">
        <is>
          <t>Leydeli</t>
        </is>
      </c>
      <c r="I38" s="7" t="n"/>
    </row>
    <row r="39" ht="18" customHeight="1" s="149">
      <c r="A39" s="32" t="n">
        <v>36</v>
      </c>
      <c r="B39" s="32" t="inlineStr">
        <is>
          <t>2026-03-12</t>
        </is>
      </c>
      <c r="C39" s="32" t="inlineStr">
        <is>
          <t>Blue Rosario</t>
        </is>
      </c>
      <c r="D39" s="32" t="inlineStr">
        <is>
          <t>baño pequeño+corte higuienico</t>
        </is>
      </c>
      <c r="E39" s="32" t="inlineStr">
        <is>
          <t>Grooming</t>
        </is>
      </c>
      <c r="F39" s="33" t="n">
        <v>1289</v>
      </c>
      <c r="G39" s="32" t="inlineStr">
        <is>
          <t>efectivo</t>
        </is>
      </c>
      <c r="H39" s="32" t="inlineStr">
        <is>
          <t>Victor I.</t>
        </is>
      </c>
      <c r="I39" s="32" t="n"/>
    </row>
    <row r="40" ht="18" customHeight="1" s="149">
      <c r="A40" s="29" t="n">
        <v>37</v>
      </c>
      <c r="B40" s="29" t="inlineStr">
        <is>
          <t>2026-03-12</t>
        </is>
      </c>
      <c r="C40" s="29" t="inlineStr">
        <is>
          <t>Cliente ambulatorio</t>
        </is>
      </c>
      <c r="D40" s="29" t="inlineStr">
        <is>
          <t>efectivo</t>
        </is>
      </c>
      <c r="E40" s="29" t="inlineStr">
        <is>
          <t>Farmacia/Shop</t>
        </is>
      </c>
      <c r="F40" s="31" t="n">
        <v>600</v>
      </c>
      <c r="G40" s="29" t="n"/>
      <c r="H40" s="29" t="n"/>
      <c r="I40" s="29" t="n"/>
    </row>
    <row r="41" ht="18" customHeight="1" s="149">
      <c r="A41" s="32" t="n">
        <v>38</v>
      </c>
      <c r="B41" s="32" t="inlineStr">
        <is>
          <t>2026-03-12</t>
        </is>
      </c>
      <c r="C41" s="32" t="inlineStr">
        <is>
          <t>Thor  o Flash</t>
        </is>
      </c>
      <c r="D41" s="32" t="inlineStr">
        <is>
          <t>popular</t>
        </is>
      </c>
      <c r="E41" s="32" t="inlineStr">
        <is>
          <t>Farmacia/Shop</t>
        </is>
      </c>
      <c r="F41" s="33" t="n">
        <v>1475</v>
      </c>
      <c r="G41" s="32" t="n"/>
      <c r="H41" s="32" t="n"/>
      <c r="I41" s="32" t="n"/>
    </row>
    <row r="42" ht="18" customHeight="1" s="149">
      <c r="A42" s="7" t="n">
        <v>39</v>
      </c>
      <c r="B42" s="7" t="inlineStr">
        <is>
          <t>2026-03-12</t>
        </is>
      </c>
      <c r="C42" s="7" t="inlineStr">
        <is>
          <t>Thor  o Flash</t>
        </is>
      </c>
      <c r="D42" s="7" t="inlineStr">
        <is>
          <t>baño pequeño</t>
        </is>
      </c>
      <c r="E42" s="7" t="inlineStr">
        <is>
          <t>Grooming</t>
        </is>
      </c>
      <c r="F42" s="35" t="n">
        <v>799</v>
      </c>
      <c r="G42" s="7" t="inlineStr">
        <is>
          <t>popular</t>
        </is>
      </c>
      <c r="H42" s="7" t="inlineStr">
        <is>
          <t>Leydeli</t>
        </is>
      </c>
      <c r="I42" s="7" t="inlineStr">
        <is>
          <t>nexgard spectra 3,6-7,5kg</t>
        </is>
      </c>
    </row>
    <row r="43" ht="18" customHeight="1" s="149">
      <c r="A43" s="32" t="n">
        <v>40</v>
      </c>
      <c r="B43" s="32" t="inlineStr">
        <is>
          <t>2026-03-12</t>
        </is>
      </c>
      <c r="C43" s="32" t="inlineStr">
        <is>
          <t>Brownie</t>
        </is>
      </c>
      <c r="D43" s="32" t="inlineStr">
        <is>
          <t>baño pequeño</t>
        </is>
      </c>
      <c r="E43" s="32" t="inlineStr">
        <is>
          <t>Grooming</t>
        </is>
      </c>
      <c r="F43" s="33" t="n">
        <v>799</v>
      </c>
      <c r="G43" s="32" t="inlineStr">
        <is>
          <t>efectivo</t>
        </is>
      </c>
      <c r="H43" s="32" t="inlineStr">
        <is>
          <t>Victor I.</t>
        </is>
      </c>
      <c r="I43" s="32" t="n"/>
    </row>
    <row r="44" ht="18" customHeight="1" s="149">
      <c r="A44" s="7" t="n">
        <v>41</v>
      </c>
      <c r="B44" s="7" t="inlineStr">
        <is>
          <t>2026-03-12</t>
        </is>
      </c>
      <c r="C44" s="7" t="inlineStr">
        <is>
          <t>Bella Cosme</t>
        </is>
      </c>
      <c r="D44" s="7" t="inlineStr">
        <is>
          <t>baño pequeño</t>
        </is>
      </c>
      <c r="E44" s="7" t="inlineStr">
        <is>
          <t>Grooming</t>
        </is>
      </c>
      <c r="F44" s="35" t="n">
        <v>799</v>
      </c>
      <c r="G44" s="7" t="inlineStr">
        <is>
          <t>efectivo</t>
        </is>
      </c>
      <c r="H44" s="7" t="inlineStr">
        <is>
          <t>Victor I.</t>
        </is>
      </c>
      <c r="I44" s="7" t="n"/>
    </row>
    <row r="45" ht="18" customHeight="1" s="149">
      <c r="A45" s="32" t="n">
        <v>42</v>
      </c>
      <c r="B45" s="32" t="inlineStr">
        <is>
          <t>2026-03-11</t>
        </is>
      </c>
      <c r="C45" s="32" t="inlineStr">
        <is>
          <t>Rio Cabral</t>
        </is>
      </c>
      <c r="D45" s="32" t="inlineStr">
        <is>
          <t>baño pequeño primiun +corte higuienico+ desenrrede</t>
        </is>
      </c>
      <c r="E45" s="32" t="inlineStr">
        <is>
          <t>Grooming</t>
        </is>
      </c>
      <c r="F45" s="33" t="n">
        <v>1530</v>
      </c>
      <c r="G45" s="32" t="inlineStr">
        <is>
          <t>Popular</t>
        </is>
      </c>
      <c r="H45" s="32" t="inlineStr">
        <is>
          <t>Alexander</t>
        </is>
      </c>
      <c r="I45" s="32" t="inlineStr">
        <is>
          <t>tengo que darle a Laura ($690), porque no  le cobre al cliente el deserrede</t>
        </is>
      </c>
    </row>
    <row r="46" ht="18" customHeight="1" s="149">
      <c r="A46" s="29" t="n">
        <v>43</v>
      </c>
      <c r="B46" s="29" t="inlineStr">
        <is>
          <t>2026-03-11</t>
        </is>
      </c>
      <c r="C46" s="29" t="inlineStr">
        <is>
          <t>Max Perez</t>
        </is>
      </c>
      <c r="D46" s="29" t="inlineStr">
        <is>
          <t>efectivo</t>
        </is>
      </c>
      <c r="E46" s="29" t="inlineStr">
        <is>
          <t>Farmacia/Shop</t>
        </is>
      </c>
      <c r="F46" s="31" t="n">
        <v>3165</v>
      </c>
      <c r="G46" s="29" t="n"/>
      <c r="H46" s="29" t="n"/>
      <c r="I46" s="29" t="n"/>
    </row>
    <row r="47" ht="18" customHeight="1" s="149">
      <c r="A47" s="32" t="n">
        <v>44</v>
      </c>
      <c r="B47" s="32" t="inlineStr">
        <is>
          <t>2026-03-11</t>
        </is>
      </c>
      <c r="C47" s="32" t="inlineStr">
        <is>
          <t>Milo Suscar</t>
        </is>
      </c>
      <c r="D47" s="32" t="inlineStr">
        <is>
          <t>consulta ($1500) albendazol ($300)</t>
        </is>
      </c>
      <c r="E47" s="32" t="inlineStr">
        <is>
          <t>Veterinaria</t>
        </is>
      </c>
      <c r="F47" s="33" t="n">
        <v>1800</v>
      </c>
      <c r="G47" s="32" t="n"/>
      <c r="H47" s="32" t="n"/>
      <c r="I47" s="32" t="n"/>
    </row>
    <row r="48" ht="18" customHeight="1" s="149">
      <c r="A48" s="29" t="n">
        <v>45</v>
      </c>
      <c r="B48" s="29" t="inlineStr">
        <is>
          <t>2026-03-11</t>
        </is>
      </c>
      <c r="C48" s="29" t="inlineStr">
        <is>
          <t>Milo Suscar</t>
        </is>
      </c>
      <c r="D48" s="29" t="inlineStr">
        <is>
          <t>banreservas</t>
        </is>
      </c>
      <c r="E48" s="29" t="inlineStr">
        <is>
          <t>Farmacia/Shop</t>
        </is>
      </c>
      <c r="F48" s="31" t="n">
        <v>1685</v>
      </c>
      <c r="G48" s="29" t="n"/>
      <c r="H48" s="29" t="n"/>
      <c r="I48" s="29" t="n"/>
    </row>
    <row r="49" ht="18" customHeight="1" s="149">
      <c r="A49" s="32" t="n">
        <v>46</v>
      </c>
      <c r="B49" s="32" t="inlineStr">
        <is>
          <t>2026-03-11</t>
        </is>
      </c>
      <c r="C49" s="32" t="inlineStr">
        <is>
          <t>Milo Suscar</t>
        </is>
      </c>
      <c r="D49" s="32" t="inlineStr">
        <is>
          <t>baño pequeño+corte completo</t>
        </is>
      </c>
      <c r="E49" s="32" t="inlineStr">
        <is>
          <t>Grooming</t>
        </is>
      </c>
      <c r="F49" s="33" t="n">
        <v>1548</v>
      </c>
      <c r="G49" s="32" t="inlineStr">
        <is>
          <t>banresevas</t>
        </is>
      </c>
      <c r="H49" s="32" t="inlineStr">
        <is>
          <t>Leydeli</t>
        </is>
      </c>
      <c r="I49" s="32" t="inlineStr">
        <is>
          <t>nexgard 2-4 kg ($1145) primer cookie ($540)</t>
        </is>
      </c>
    </row>
    <row r="50" ht="18" customHeight="1" s="149">
      <c r="A50" s="7" t="n">
        <v>47</v>
      </c>
      <c r="B50" s="7" t="inlineStr">
        <is>
          <t>2026-03-11</t>
        </is>
      </c>
      <c r="C50" s="7" t="inlineStr">
        <is>
          <t>Poppy Aquino</t>
        </is>
      </c>
      <c r="D50" s="7" t="inlineStr">
        <is>
          <t>baño pequeño + corte completo</t>
        </is>
      </c>
      <c r="E50" s="7" t="inlineStr">
        <is>
          <t>Grooming</t>
        </is>
      </c>
      <c r="F50" s="35" t="n">
        <v>1548</v>
      </c>
      <c r="G50" s="7" t="inlineStr">
        <is>
          <t>banreservas</t>
        </is>
      </c>
      <c r="H50" s="7" t="inlineStr">
        <is>
          <t>Leydeli</t>
        </is>
      </c>
      <c r="I50" s="7" t="n"/>
    </row>
    <row r="51" ht="18" customHeight="1" s="149">
      <c r="A51" s="32" t="n">
        <v>48</v>
      </c>
      <c r="B51" s="32" t="inlineStr">
        <is>
          <t>2026-03-11</t>
        </is>
      </c>
      <c r="C51" s="32" t="inlineStr">
        <is>
          <t>Chiki Acevedo</t>
        </is>
      </c>
      <c r="D51" s="32" t="inlineStr">
        <is>
          <t>baño pequeño + corte completo</t>
        </is>
      </c>
      <c r="E51" s="32" t="inlineStr">
        <is>
          <t>Grooming</t>
        </is>
      </c>
      <c r="F51" s="33" t="n">
        <v>1548</v>
      </c>
      <c r="G51" s="32" t="inlineStr">
        <is>
          <t>santa cruz</t>
        </is>
      </c>
      <c r="H51" s="32" t="inlineStr">
        <is>
          <t>Leydeli</t>
        </is>
      </c>
      <c r="I51" s="32" t="n"/>
    </row>
    <row r="52" ht="18" customHeight="1" s="149">
      <c r="A52" s="29" t="n">
        <v>49</v>
      </c>
      <c r="B52" s="29" t="inlineStr">
        <is>
          <t>2026-03-11</t>
        </is>
      </c>
      <c r="C52" s="29" t="inlineStr">
        <is>
          <t>Nicky De Los Santos</t>
        </is>
      </c>
      <c r="D52" s="29" t="inlineStr">
        <is>
          <t>efectivo</t>
        </is>
      </c>
      <c r="E52" s="29" t="inlineStr">
        <is>
          <t>Farmacia/Shop</t>
        </is>
      </c>
      <c r="F52" s="31" t="n">
        <v>150</v>
      </c>
      <c r="G52" s="29" t="n"/>
      <c r="H52" s="29" t="n"/>
      <c r="I52" s="29" t="n"/>
    </row>
    <row r="53" ht="18" customHeight="1" s="149">
      <c r="A53" s="32" t="n">
        <v>50</v>
      </c>
      <c r="B53" s="32" t="inlineStr">
        <is>
          <t>2026-03-11</t>
        </is>
      </c>
      <c r="C53" s="32" t="inlineStr">
        <is>
          <t>Gucci  Rodriguez</t>
        </is>
      </c>
      <c r="D53" s="32" t="inlineStr">
        <is>
          <t>Baño Pequeño primium</t>
        </is>
      </c>
      <c r="E53" s="32" t="inlineStr">
        <is>
          <t>Grooming</t>
        </is>
      </c>
      <c r="F53" s="33" t="n">
        <v>1040</v>
      </c>
      <c r="G53" s="32" t="inlineStr">
        <is>
          <t>banreservas</t>
        </is>
      </c>
      <c r="H53" s="32" t="inlineStr">
        <is>
          <t>Leydeli</t>
        </is>
      </c>
      <c r="I53" s="32" t="n"/>
    </row>
    <row r="54" ht="18" customHeight="1" s="149">
      <c r="A54" s="7" t="n">
        <v>51</v>
      </c>
      <c r="B54" s="7" t="inlineStr">
        <is>
          <t>2026-03-11</t>
        </is>
      </c>
      <c r="C54" s="7" t="inlineStr">
        <is>
          <t>Kira</t>
        </is>
      </c>
      <c r="D54" s="7" t="inlineStr">
        <is>
          <t>Baño Pequeño</t>
        </is>
      </c>
      <c r="E54" s="7" t="inlineStr">
        <is>
          <t>Grooming</t>
        </is>
      </c>
      <c r="F54" s="35" t="n">
        <v>799</v>
      </c>
      <c r="G54" s="7" t="inlineStr">
        <is>
          <t>popular</t>
        </is>
      </c>
      <c r="H54" s="7" t="inlineStr">
        <is>
          <t>Leydeli</t>
        </is>
      </c>
      <c r="I54" s="7" t="n"/>
    </row>
    <row r="55" ht="18" customHeight="1" s="149">
      <c r="A55" s="32" t="n">
        <v>52</v>
      </c>
      <c r="B55" s="32" t="inlineStr">
        <is>
          <t>2026-03-11</t>
        </is>
      </c>
      <c r="C55" s="32" t="inlineStr">
        <is>
          <t>Niko</t>
        </is>
      </c>
      <c r="D55" s="32" t="inlineStr">
        <is>
          <t>baño Pequeño</t>
        </is>
      </c>
      <c r="E55" s="32" t="inlineStr">
        <is>
          <t>Grooming</t>
        </is>
      </c>
      <c r="F55" s="33" t="n">
        <v>799</v>
      </c>
      <c r="G55" s="32" t="inlineStr">
        <is>
          <t>popular</t>
        </is>
      </c>
      <c r="H55" s="32" t="inlineStr">
        <is>
          <t>Leydeli</t>
        </is>
      </c>
      <c r="I55" s="32" t="n"/>
    </row>
    <row r="56" ht="18" customHeight="1" s="149">
      <c r="A56" s="7" t="n">
        <v>53</v>
      </c>
      <c r="B56" s="7" t="inlineStr">
        <is>
          <t>2026-03-11</t>
        </is>
      </c>
      <c r="C56" s="7" t="inlineStr">
        <is>
          <t>Luna Juliao</t>
        </is>
      </c>
      <c r="D56" s="7" t="inlineStr">
        <is>
          <t>baño Pequeño</t>
        </is>
      </c>
      <c r="E56" s="7" t="inlineStr">
        <is>
          <t>Grooming</t>
        </is>
      </c>
      <c r="F56" s="35" t="n">
        <v>799</v>
      </c>
      <c r="G56" s="7" t="inlineStr">
        <is>
          <t>popular</t>
        </is>
      </c>
      <c r="H56" s="7" t="inlineStr">
        <is>
          <t>Leydeli</t>
        </is>
      </c>
      <c r="I56" s="7" t="n"/>
    </row>
    <row r="57" ht="18" customHeight="1" s="149">
      <c r="A57" s="32" t="n">
        <v>54</v>
      </c>
      <c r="B57" s="32" t="inlineStr">
        <is>
          <t>2026-03-10</t>
        </is>
      </c>
      <c r="C57" s="32" t="inlineStr">
        <is>
          <t>Cliente ambulatorio</t>
        </is>
      </c>
      <c r="D57" s="32" t="inlineStr">
        <is>
          <t>banreservas</t>
        </is>
      </c>
      <c r="E57" s="32" t="inlineStr">
        <is>
          <t>Farmacia/Shop</t>
        </is>
      </c>
      <c r="F57" s="33" t="n">
        <v>1475</v>
      </c>
      <c r="G57" s="32" t="n"/>
      <c r="H57" s="32" t="n"/>
      <c r="I57" s="32" t="n"/>
    </row>
    <row r="58" ht="18" customHeight="1" s="149">
      <c r="A58" s="7" t="n">
        <v>55</v>
      </c>
      <c r="B58" s="7" t="inlineStr">
        <is>
          <t>2026-03-09</t>
        </is>
      </c>
      <c r="C58" s="7" t="inlineStr">
        <is>
          <t>Teddy Rodriguez</t>
        </is>
      </c>
      <c r="D58" s="7" t="inlineStr">
        <is>
          <t>baño pequeño  premium</t>
        </is>
      </c>
      <c r="E58" s="7" t="inlineStr">
        <is>
          <t>Grooming</t>
        </is>
      </c>
      <c r="F58" s="35" t="n">
        <v>1040</v>
      </c>
      <c r="G58" s="7" t="inlineStr">
        <is>
          <t>banreservas</t>
        </is>
      </c>
      <c r="H58" s="7" t="inlineStr">
        <is>
          <t>Leydeli</t>
        </is>
      </c>
      <c r="I58" s="7" t="n"/>
    </row>
    <row r="59" ht="18" customHeight="1" s="149">
      <c r="A59" s="32" t="n">
        <v>56</v>
      </c>
      <c r="B59" s="32" t="inlineStr">
        <is>
          <t>2026-03-09</t>
        </is>
      </c>
      <c r="C59" s="32" t="inlineStr">
        <is>
          <t>Noa Garcia</t>
        </is>
      </c>
      <c r="D59" s="32" t="inlineStr">
        <is>
          <t>efectivo</t>
        </is>
      </c>
      <c r="E59" s="32" t="inlineStr">
        <is>
          <t>Farmacia/Shop</t>
        </is>
      </c>
      <c r="F59" s="33" t="n">
        <v>950</v>
      </c>
      <c r="G59" s="32" t="n"/>
      <c r="H59" s="32" t="n"/>
      <c r="I59" s="32" t="n"/>
    </row>
    <row r="60" ht="18" customHeight="1" s="149">
      <c r="A60" s="7" t="n">
        <v>57</v>
      </c>
      <c r="B60" s="7" t="inlineStr">
        <is>
          <t>2026-03-09</t>
        </is>
      </c>
      <c r="C60" s="7" t="inlineStr">
        <is>
          <t>Noah Pujols</t>
        </is>
      </c>
      <c r="D60" s="7" t="inlineStr">
        <is>
          <t>Baño pequeño + Corte Completo</t>
        </is>
      </c>
      <c r="E60" s="7" t="inlineStr">
        <is>
          <t>Grooming</t>
        </is>
      </c>
      <c r="F60" s="35" t="n">
        <v>1548</v>
      </c>
      <c r="G60" s="7" t="inlineStr">
        <is>
          <t>banreservas</t>
        </is>
      </c>
      <c r="H60" s="7" t="inlineStr">
        <is>
          <t>Alexander</t>
        </is>
      </c>
      <c r="I60" s="7" t="n"/>
    </row>
    <row r="61" ht="18" customHeight="1" s="149">
      <c r="A61" s="32" t="n">
        <v>58</v>
      </c>
      <c r="B61" s="32" t="inlineStr">
        <is>
          <t>2026-03-09</t>
        </is>
      </c>
      <c r="C61" s="32" t="inlineStr">
        <is>
          <t>Noa Garcia</t>
        </is>
      </c>
      <c r="D61" s="32" t="inlineStr">
        <is>
          <t>baño pequeño + corte higienico</t>
        </is>
      </c>
      <c r="E61" s="32" t="inlineStr">
        <is>
          <t>Grooming</t>
        </is>
      </c>
      <c r="F61" s="33" t="n">
        <v>1289</v>
      </c>
      <c r="G61" s="32" t="inlineStr">
        <is>
          <t>efectivo</t>
        </is>
      </c>
      <c r="H61" s="32" t="inlineStr">
        <is>
          <t>Leydeli</t>
        </is>
      </c>
      <c r="I61" s="32" t="inlineStr">
        <is>
          <t>venta de 1 blister alermex($250) + 1 ropita para perros($700)</t>
        </is>
      </c>
    </row>
    <row r="62" ht="18" customHeight="1" s="149">
      <c r="A62" s="27" t="n">
        <v>59</v>
      </c>
      <c r="B62" s="27" t="inlineStr">
        <is>
          <t>2026-03-09</t>
        </is>
      </c>
      <c r="C62" s="27" t="inlineStr">
        <is>
          <t>Bongo Bracho</t>
        </is>
      </c>
      <c r="D62" s="27" t="inlineStr">
        <is>
          <t>Consulta (1500) + vacuna bordetella (1400)</t>
        </is>
      </c>
      <c r="E62" s="27" t="inlineStr">
        <is>
          <t>Veterinaria</t>
        </is>
      </c>
      <c r="F62" s="34" t="n">
        <v>2900</v>
      </c>
      <c r="G62" s="27" t="n"/>
      <c r="H62" s="27" t="n"/>
      <c r="I62" s="27" t="n"/>
    </row>
    <row r="63" ht="18" customHeight="1" s="149">
      <c r="A63" s="32" t="n">
        <v>60</v>
      </c>
      <c r="B63" s="32" t="inlineStr">
        <is>
          <t>2026-03-09</t>
        </is>
      </c>
      <c r="C63" s="32" t="inlineStr">
        <is>
          <t>Bongo Bracho</t>
        </is>
      </c>
      <c r="D63" s="32" t="inlineStr">
        <is>
          <t>bareservas</t>
        </is>
      </c>
      <c r="E63" s="32" t="inlineStr">
        <is>
          <t>Farmacia/Shop</t>
        </is>
      </c>
      <c r="F63" s="33" t="n">
        <v>3540</v>
      </c>
      <c r="G63" s="32" t="n"/>
      <c r="H63" s="32" t="n"/>
      <c r="I63" s="32" t="n"/>
    </row>
    <row r="64" ht="18" customHeight="1" s="149">
      <c r="A64" s="7" t="n">
        <v>61</v>
      </c>
      <c r="B64" s="7" t="inlineStr">
        <is>
          <t>2026-03-09</t>
        </is>
      </c>
      <c r="C64" s="7" t="inlineStr">
        <is>
          <t>Bongo Bracho</t>
        </is>
      </c>
      <c r="D64" s="7" t="inlineStr">
        <is>
          <t>baño grande primium</t>
        </is>
      </c>
      <c r="E64" s="7" t="inlineStr">
        <is>
          <t>Grooming</t>
        </is>
      </c>
      <c r="F64" s="35" t="n">
        <v>1349</v>
      </c>
      <c r="G64" s="7" t="inlineStr">
        <is>
          <t>banreservas</t>
        </is>
      </c>
      <c r="H64" s="7" t="inlineStr">
        <is>
          <t>Alexander</t>
        </is>
      </c>
      <c r="I64" s="7" t="inlineStr">
        <is>
          <t>venta de premier cookie ($540)+bravecto ($3000)</t>
        </is>
      </c>
    </row>
    <row r="65" ht="18" customHeight="1" s="149">
      <c r="A65" s="32" t="n">
        <v>62</v>
      </c>
      <c r="B65" s="32" t="inlineStr">
        <is>
          <t>2026-03-08</t>
        </is>
      </c>
      <c r="C65" s="32" t="inlineStr">
        <is>
          <t>Desconocido (sin ficha)</t>
        </is>
      </c>
      <c r="D65" s="32" t="inlineStr">
        <is>
          <t>Corte de uña</t>
        </is>
      </c>
      <c r="E65" s="32" t="inlineStr">
        <is>
          <t>Grooming</t>
        </is>
      </c>
      <c r="F65" s="33" t="n">
        <v>300</v>
      </c>
      <c r="G65" s="32" t="inlineStr">
        <is>
          <t>efectivo</t>
        </is>
      </c>
      <c r="H65" s="32" t="inlineStr">
        <is>
          <t>Aylein</t>
        </is>
      </c>
      <c r="I65" s="32" t="n"/>
    </row>
    <row r="66" ht="18" customHeight="1" s="149">
      <c r="A66" s="7" t="n">
        <v>63</v>
      </c>
      <c r="B66" s="7" t="inlineStr">
        <is>
          <t>2026-03-08</t>
        </is>
      </c>
      <c r="C66" s="7" t="inlineStr">
        <is>
          <t>Teddy Saturria</t>
        </is>
      </c>
      <c r="D66" s="7" t="inlineStr">
        <is>
          <t>baño pequeño y corte completo</t>
        </is>
      </c>
      <c r="E66" s="7" t="inlineStr">
        <is>
          <t>Grooming</t>
        </is>
      </c>
      <c r="F66" s="35" t="n">
        <v>1548</v>
      </c>
      <c r="G66" s="7" t="inlineStr">
        <is>
          <t>popular</t>
        </is>
      </c>
      <c r="H66" s="7" t="inlineStr">
        <is>
          <t>Alexander</t>
        </is>
      </c>
      <c r="I66" s="7" t="n"/>
    </row>
    <row r="67" ht="18" customHeight="1" s="149">
      <c r="A67" s="32" t="n">
        <v>64</v>
      </c>
      <c r="B67" s="32" t="inlineStr">
        <is>
          <t>2026-03-08</t>
        </is>
      </c>
      <c r="C67" s="32" t="inlineStr">
        <is>
          <t>Ruti Severino</t>
        </is>
      </c>
      <c r="D67" s="32" t="inlineStr">
        <is>
          <t>baño pequeño</t>
        </is>
      </c>
      <c r="E67" s="32" t="inlineStr">
        <is>
          <t>Grooming</t>
        </is>
      </c>
      <c r="F67" s="33" t="n">
        <v>800</v>
      </c>
      <c r="G67" s="32" t="inlineStr">
        <is>
          <t>popular</t>
        </is>
      </c>
      <c r="H67" s="32" t="inlineStr">
        <is>
          <t>Aylein</t>
        </is>
      </c>
      <c r="I67" s="32" t="n"/>
    </row>
    <row r="68" ht="18" customHeight="1" s="149">
      <c r="A68" s="7" t="n">
        <v>65</v>
      </c>
      <c r="B68" s="7" t="inlineStr">
        <is>
          <t>2026-03-08</t>
        </is>
      </c>
      <c r="C68" s="7" t="inlineStr">
        <is>
          <t>Bruno Coronado</t>
        </is>
      </c>
      <c r="D68" s="7" t="inlineStr">
        <is>
          <t>Baño y Corte Completo</t>
        </is>
      </c>
      <c r="E68" s="7" t="inlineStr">
        <is>
          <t>Grooming</t>
        </is>
      </c>
      <c r="F68" s="35" t="n">
        <v>1548</v>
      </c>
      <c r="G68" s="7" t="inlineStr">
        <is>
          <t>popular</t>
        </is>
      </c>
      <c r="H68" s="7" t="inlineStr">
        <is>
          <t>Aylein</t>
        </is>
      </c>
      <c r="I68" s="7" t="n"/>
    </row>
    <row r="69" ht="18" customHeight="1" s="149">
      <c r="A69" s="32" t="n">
        <v>66</v>
      </c>
      <c r="B69" s="32" t="inlineStr">
        <is>
          <t>2026-03-08</t>
        </is>
      </c>
      <c r="C69" s="32" t="inlineStr">
        <is>
          <t>Kobe Ortiz</t>
        </is>
      </c>
      <c r="D69" s="32" t="inlineStr">
        <is>
          <t>baño pequeño</t>
        </is>
      </c>
      <c r="E69" s="32" t="inlineStr">
        <is>
          <t>Grooming</t>
        </is>
      </c>
      <c r="F69" s="33" t="n">
        <v>799</v>
      </c>
      <c r="G69" s="32" t="inlineStr">
        <is>
          <t>efectivo</t>
        </is>
      </c>
      <c r="H69" s="32" t="inlineStr">
        <is>
          <t>Aylein</t>
        </is>
      </c>
      <c r="I69" s="32" t="n"/>
    </row>
    <row r="70" ht="18" customHeight="1" s="149">
      <c r="A70" s="7" t="n">
        <v>67</v>
      </c>
      <c r="B70" s="7" t="inlineStr">
        <is>
          <t>2026-03-07</t>
        </is>
      </c>
      <c r="C70" s="7" t="inlineStr">
        <is>
          <t>Tuti  Sanchez</t>
        </is>
      </c>
      <c r="D70" s="7" t="inlineStr">
        <is>
          <t>baño pequeño + corte completo</t>
        </is>
      </c>
      <c r="E70" s="7" t="inlineStr">
        <is>
          <t>Grooming</t>
        </is>
      </c>
      <c r="F70" s="35" t="n">
        <v>1548</v>
      </c>
      <c r="G70" s="7" t="inlineStr">
        <is>
          <t>banreservas</t>
        </is>
      </c>
      <c r="H70" s="7" t="inlineStr">
        <is>
          <t>Victor Ivan</t>
        </is>
      </c>
      <c r="I70" s="7" t="n"/>
    </row>
    <row r="71" ht="18" customHeight="1" s="149">
      <c r="A71" s="32" t="n">
        <v>68</v>
      </c>
      <c r="B71" s="32" t="inlineStr">
        <is>
          <t>2026-03-07</t>
        </is>
      </c>
      <c r="C71" s="32" t="inlineStr">
        <is>
          <t>Karin  Plasencia</t>
        </is>
      </c>
      <c r="D71" s="32" t="inlineStr">
        <is>
          <t>baño pequeño + corte higuienico</t>
        </is>
      </c>
      <c r="E71" s="32" t="inlineStr">
        <is>
          <t>Grooming</t>
        </is>
      </c>
      <c r="F71" s="33" t="n">
        <v>1289</v>
      </c>
      <c r="G71" s="32" t="inlineStr">
        <is>
          <t>banreservas</t>
        </is>
      </c>
      <c r="H71" s="32" t="inlineStr">
        <is>
          <t>Leydeli</t>
        </is>
      </c>
      <c r="I71" s="32" t="inlineStr">
        <is>
          <t>venta de  shampo  Sebolytic</t>
        </is>
      </c>
    </row>
    <row r="72" ht="18" customHeight="1" s="149">
      <c r="A72" s="29" t="n">
        <v>69</v>
      </c>
      <c r="B72" s="29" t="inlineStr">
        <is>
          <t>2026-03-07</t>
        </is>
      </c>
      <c r="C72" s="29" t="inlineStr">
        <is>
          <t>Karin  Plasencia</t>
        </is>
      </c>
      <c r="D72" s="29" t="inlineStr">
        <is>
          <t>reservas</t>
        </is>
      </c>
      <c r="E72" s="29" t="inlineStr">
        <is>
          <t>Farmacia/Shop</t>
        </is>
      </c>
      <c r="F72" s="31" t="n">
        <v>2120</v>
      </c>
      <c r="G72" s="29" t="n"/>
      <c r="H72" s="29" t="n"/>
      <c r="I72" s="29" t="n"/>
    </row>
    <row r="73" ht="18" customHeight="1" s="149">
      <c r="A73" s="32" t="n">
        <v>70</v>
      </c>
      <c r="B73" s="32" t="inlineStr">
        <is>
          <t>2026-03-07</t>
        </is>
      </c>
      <c r="C73" s="32" t="inlineStr">
        <is>
          <t>Peach Cedeño</t>
        </is>
      </c>
      <c r="D73" s="32" t="inlineStr">
        <is>
          <t>baño pequeño + corte higuienico</t>
        </is>
      </c>
      <c r="E73" s="32" t="inlineStr">
        <is>
          <t>Grooming</t>
        </is>
      </c>
      <c r="F73" s="33" t="n">
        <v>1289</v>
      </c>
      <c r="G73" s="32" t="inlineStr">
        <is>
          <t>popular</t>
        </is>
      </c>
      <c r="H73" s="32" t="inlineStr">
        <is>
          <t>Leydeli</t>
        </is>
      </c>
      <c r="I73" s="32" t="n"/>
    </row>
    <row r="74" ht="18" customHeight="1" s="149">
      <c r="A74" s="7" t="n">
        <v>71</v>
      </c>
      <c r="B74" s="7" t="inlineStr">
        <is>
          <t>2026-03-07</t>
        </is>
      </c>
      <c r="C74" s="7" t="inlineStr">
        <is>
          <t>Rey Cedeño</t>
        </is>
      </c>
      <c r="D74" s="7" t="inlineStr">
        <is>
          <t>baño pequeño + corte higuienico</t>
        </is>
      </c>
      <c r="E74" s="7" t="inlineStr">
        <is>
          <t>Grooming</t>
        </is>
      </c>
      <c r="F74" s="35" t="n">
        <v>1289</v>
      </c>
      <c r="G74" s="7" t="inlineStr">
        <is>
          <t>popular</t>
        </is>
      </c>
      <c r="H74" s="7" t="inlineStr">
        <is>
          <t>Leydeli</t>
        </is>
      </c>
      <c r="I74" s="7" t="n"/>
    </row>
    <row r="75" ht="18" customHeight="1" s="149">
      <c r="A75" s="32" t="n">
        <v>72</v>
      </c>
      <c r="B75" s="32" t="inlineStr">
        <is>
          <t>2026-03-07</t>
        </is>
      </c>
      <c r="C75" s="32" t="inlineStr">
        <is>
          <t>Honey Taveras</t>
        </is>
      </c>
      <c r="D75" s="32" t="inlineStr">
        <is>
          <t>baño pequeño</t>
        </is>
      </c>
      <c r="E75" s="32" t="inlineStr">
        <is>
          <t>Grooming</t>
        </is>
      </c>
      <c r="F75" s="33" t="n">
        <v>799</v>
      </c>
      <c r="G75" s="32" t="inlineStr">
        <is>
          <t>banreservas</t>
        </is>
      </c>
      <c r="H75" s="32" t="inlineStr">
        <is>
          <t>Victor Ivan</t>
        </is>
      </c>
      <c r="I75" s="32" t="n"/>
    </row>
    <row r="76" ht="18" customHeight="1" s="149">
      <c r="A76" s="7" t="n">
        <v>73</v>
      </c>
      <c r="B76" s="7" t="inlineStr">
        <is>
          <t>2026-03-07</t>
        </is>
      </c>
      <c r="C76" s="7" t="inlineStr">
        <is>
          <t>Kaky Taveras</t>
        </is>
      </c>
      <c r="D76" s="7" t="inlineStr">
        <is>
          <t>baño pequeño</t>
        </is>
      </c>
      <c r="E76" s="7" t="inlineStr">
        <is>
          <t>Grooming</t>
        </is>
      </c>
      <c r="F76" s="35" t="n">
        <v>799</v>
      </c>
      <c r="G76" s="7" t="inlineStr">
        <is>
          <t>banreservas</t>
        </is>
      </c>
      <c r="H76" s="7" t="inlineStr">
        <is>
          <t>Victor Ivan</t>
        </is>
      </c>
      <c r="I76" s="7" t="n"/>
    </row>
    <row r="77" ht="18" customHeight="1" s="149">
      <c r="A77" s="32" t="n">
        <v>74</v>
      </c>
      <c r="B77" s="32" t="inlineStr">
        <is>
          <t>2026-03-07</t>
        </is>
      </c>
      <c r="C77" s="32" t="inlineStr">
        <is>
          <t>Popy  Rodriguez</t>
        </is>
      </c>
      <c r="D77" s="32" t="inlineStr">
        <is>
          <t>banreservas</t>
        </is>
      </c>
      <c r="E77" s="32" t="inlineStr">
        <is>
          <t>Farmacia/Shop</t>
        </is>
      </c>
      <c r="F77" s="33" t="n">
        <v>1475</v>
      </c>
      <c r="G77" s="32" t="n"/>
      <c r="H77" s="32" t="n"/>
      <c r="I77" s="32" t="n"/>
    </row>
    <row r="78" ht="18" customHeight="1" s="149">
      <c r="A78" s="7" t="n">
        <v>75</v>
      </c>
      <c r="B78" s="7" t="inlineStr">
        <is>
          <t>2026-03-07</t>
        </is>
      </c>
      <c r="C78" s="7" t="inlineStr">
        <is>
          <t>Doky Villar</t>
        </is>
      </c>
      <c r="D78" s="7" t="inlineStr">
        <is>
          <t>baño pequeño + corte higuienico</t>
        </is>
      </c>
      <c r="E78" s="7" t="inlineStr">
        <is>
          <t>Grooming</t>
        </is>
      </c>
      <c r="F78" s="35" t="n">
        <v>1289</v>
      </c>
      <c r="G78" s="7" t="inlineStr">
        <is>
          <t>popular</t>
        </is>
      </c>
      <c r="H78" s="7" t="inlineStr">
        <is>
          <t>Victor Ivan</t>
        </is>
      </c>
      <c r="I78" s="7" t="n"/>
    </row>
    <row r="79" ht="18" customHeight="1" s="149">
      <c r="A79" s="32" t="n">
        <v>76</v>
      </c>
      <c r="B79" s="32" t="inlineStr">
        <is>
          <t>2026-03-07</t>
        </is>
      </c>
      <c r="C79" s="32" t="inlineStr">
        <is>
          <t>Coco Hernandez</t>
        </is>
      </c>
      <c r="D79" s="32" t="inlineStr">
        <is>
          <t>banreservas</t>
        </is>
      </c>
      <c r="E79" s="32" t="inlineStr">
        <is>
          <t>Farmacia/Shop</t>
        </is>
      </c>
      <c r="F79" s="33" t="n">
        <v>540</v>
      </c>
      <c r="G79" s="32" t="n"/>
      <c r="H79" s="32" t="n"/>
      <c r="I79" s="32" t="n"/>
    </row>
    <row r="80" ht="18" customHeight="1" s="149">
      <c r="A80" s="27" t="n">
        <v>77</v>
      </c>
      <c r="B80" s="27" t="inlineStr">
        <is>
          <t>2026-03-07</t>
        </is>
      </c>
      <c r="C80" s="27" t="inlineStr">
        <is>
          <t>Coco Hernandez</t>
        </is>
      </c>
      <c r="D80" s="27" t="inlineStr">
        <is>
          <t>Consulta (1500)+ vacuna quintuple (1200) + albenzadol 0,4 (300)</t>
        </is>
      </c>
      <c r="E80" s="27" t="inlineStr">
        <is>
          <t>Veterinaria</t>
        </is>
      </c>
      <c r="F80" s="34" t="n">
        <v>3000</v>
      </c>
      <c r="G80" s="27" t="n"/>
      <c r="H80" s="27" t="n"/>
      <c r="I80" s="27" t="n"/>
    </row>
    <row r="81" ht="18" customHeight="1" s="149">
      <c r="A81" s="32" t="n">
        <v>78</v>
      </c>
      <c r="B81" s="32" t="inlineStr">
        <is>
          <t>2026-03-06</t>
        </is>
      </c>
      <c r="C81" s="32" t="inlineStr">
        <is>
          <t>Brownie  Hernandez</t>
        </is>
      </c>
      <c r="D81" s="32" t="inlineStr">
        <is>
          <t>baño pequeño</t>
        </is>
      </c>
      <c r="E81" s="32" t="inlineStr">
        <is>
          <t>Grooming</t>
        </is>
      </c>
      <c r="F81" s="33" t="n">
        <v>799</v>
      </c>
      <c r="G81" s="32" t="inlineStr">
        <is>
          <t>efectivo</t>
        </is>
      </c>
      <c r="H81" s="32" t="inlineStr">
        <is>
          <t>Alexander</t>
        </is>
      </c>
      <c r="I81" s="32" t="n"/>
    </row>
    <row r="82" ht="18" customHeight="1" s="149">
      <c r="A82" s="7" t="n">
        <v>79</v>
      </c>
      <c r="B82" s="7" t="inlineStr">
        <is>
          <t>2026-03-06</t>
        </is>
      </c>
      <c r="C82" s="7" t="inlineStr">
        <is>
          <t>Milo Bordas</t>
        </is>
      </c>
      <c r="D82" s="7" t="inlineStr">
        <is>
          <t>baño pequeño + corte higuienico</t>
        </is>
      </c>
      <c r="E82" s="7" t="inlineStr">
        <is>
          <t>Grooming</t>
        </is>
      </c>
      <c r="F82" s="35" t="n">
        <v>1289</v>
      </c>
      <c r="G82" s="7" t="inlineStr">
        <is>
          <t>popular</t>
        </is>
      </c>
      <c r="H82" s="7" t="inlineStr">
        <is>
          <t>Leydeli</t>
        </is>
      </c>
      <c r="I82" s="7" t="n"/>
    </row>
    <row r="83" ht="18" customHeight="1" s="149">
      <c r="A83" s="32" t="n">
        <v>80</v>
      </c>
      <c r="B83" s="32" t="inlineStr">
        <is>
          <t>2026-03-06</t>
        </is>
      </c>
      <c r="C83" s="32" t="inlineStr">
        <is>
          <t>Benji Sanchez</t>
        </is>
      </c>
      <c r="D83" s="32" t="inlineStr">
        <is>
          <t>baño pequeño + corte higuienico</t>
        </is>
      </c>
      <c r="E83" s="32" t="inlineStr">
        <is>
          <t>Grooming</t>
        </is>
      </c>
      <c r="F83" s="33" t="n">
        <v>1289</v>
      </c>
      <c r="G83" s="32" t="inlineStr">
        <is>
          <t>banreservas</t>
        </is>
      </c>
      <c r="H83" s="32" t="inlineStr">
        <is>
          <t>Leydeli</t>
        </is>
      </c>
      <c r="I83" s="32" t="n"/>
    </row>
    <row r="84" ht="18" customHeight="1" s="149">
      <c r="A84" s="7" t="n">
        <v>81</v>
      </c>
      <c r="B84" s="7" t="inlineStr">
        <is>
          <t>2026-03-06</t>
        </is>
      </c>
      <c r="C84" s="7" t="inlineStr">
        <is>
          <t>Luna Campos</t>
        </is>
      </c>
      <c r="D84" s="7" t="inlineStr">
        <is>
          <t>baño pequeño + corte higuienico</t>
        </is>
      </c>
      <c r="E84" s="7" t="inlineStr">
        <is>
          <t>Grooming</t>
        </is>
      </c>
      <c r="F84" s="35" t="n">
        <v>1289</v>
      </c>
      <c r="G84" s="7" t="inlineStr">
        <is>
          <t>efectivo</t>
        </is>
      </c>
      <c r="H84" s="7" t="inlineStr">
        <is>
          <t>Leydeli</t>
        </is>
      </c>
      <c r="I84" s="7" t="n"/>
    </row>
    <row r="85" ht="18" customHeight="1" s="149">
      <c r="A85" s="32" t="n">
        <v>82</v>
      </c>
      <c r="B85" s="32" t="inlineStr">
        <is>
          <t>2026-03-06</t>
        </is>
      </c>
      <c r="C85" s="32" t="inlineStr">
        <is>
          <t>Benji Diaz</t>
        </is>
      </c>
      <c r="D85" s="32" t="inlineStr">
        <is>
          <t>Producto farmacia</t>
        </is>
      </c>
      <c r="E85" s="32" t="inlineStr">
        <is>
          <t>Farmacia/Shop</t>
        </is>
      </c>
      <c r="F85" s="33" t="n">
        <v>1289</v>
      </c>
      <c r="G85" s="32" t="n"/>
      <c r="H85" s="32" t="n"/>
      <c r="I85" s="32" t="n"/>
    </row>
    <row r="86" ht="18" customHeight="1" s="149">
      <c r="A86" s="7" t="n">
        <v>83</v>
      </c>
      <c r="B86" s="7" t="inlineStr">
        <is>
          <t>2026-03-06</t>
        </is>
      </c>
      <c r="C86" s="7" t="inlineStr">
        <is>
          <t>Benji Diaz</t>
        </is>
      </c>
      <c r="D86" s="7" t="inlineStr">
        <is>
          <t>baño pequeño + corte higuienico</t>
        </is>
      </c>
      <c r="E86" s="7" t="inlineStr">
        <is>
          <t>Grooming</t>
        </is>
      </c>
      <c r="F86" s="35" t="n">
        <v>1289</v>
      </c>
      <c r="G86" s="7" t="inlineStr">
        <is>
          <t>popular</t>
        </is>
      </c>
      <c r="H86" s="7" t="inlineStr">
        <is>
          <t>Leydeli</t>
        </is>
      </c>
      <c r="I86" s="7" t="inlineStr">
        <is>
          <t>Pagó ademas 1289 que tenia pendiente desde el 30/12/26</t>
        </is>
      </c>
    </row>
    <row r="87" ht="18" customHeight="1" s="149">
      <c r="A87" s="32" t="n">
        <v>84</v>
      </c>
      <c r="B87" s="32" t="inlineStr">
        <is>
          <t>2026-03-05</t>
        </is>
      </c>
      <c r="C87" s="32" t="inlineStr">
        <is>
          <t>Shadow Felipe</t>
        </is>
      </c>
      <c r="D87" s="32" t="inlineStr">
        <is>
          <t>baño grande</t>
        </is>
      </c>
      <c r="E87" s="32" t="inlineStr">
        <is>
          <t>Grooming</t>
        </is>
      </c>
      <c r="F87" s="33" t="n">
        <v>1080</v>
      </c>
      <c r="G87" s="32" t="inlineStr">
        <is>
          <t>popular</t>
        </is>
      </c>
      <c r="H87" s="32" t="inlineStr">
        <is>
          <t>Leydeli</t>
        </is>
      </c>
      <c r="I87" s="32" t="n"/>
    </row>
    <row r="88" ht="18" customHeight="1" s="149">
      <c r="A88" s="7" t="n">
        <v>85</v>
      </c>
      <c r="B88" s="7" t="inlineStr">
        <is>
          <t>2026-03-05</t>
        </is>
      </c>
      <c r="C88" s="7" t="inlineStr">
        <is>
          <t>Lucky Sanchez</t>
        </is>
      </c>
      <c r="D88" s="7" t="inlineStr">
        <is>
          <t>baño pequeño + corte completo</t>
        </is>
      </c>
      <c r="E88" s="7" t="inlineStr">
        <is>
          <t>Grooming</t>
        </is>
      </c>
      <c r="F88" s="35" t="n">
        <v>1548</v>
      </c>
      <c r="G88" s="7" t="inlineStr">
        <is>
          <t>reservas</t>
        </is>
      </c>
      <c r="H88" s="7" t="inlineStr">
        <is>
          <t>Leydeli</t>
        </is>
      </c>
      <c r="I88" s="7" t="n"/>
    </row>
    <row r="89" ht="18" customHeight="1" s="149">
      <c r="A89" s="32" t="n">
        <v>86</v>
      </c>
      <c r="B89" s="32" t="inlineStr">
        <is>
          <t>2026-03-04</t>
        </is>
      </c>
      <c r="C89" s="32" t="inlineStr">
        <is>
          <t>Lucky Bautista</t>
        </is>
      </c>
      <c r="D89" s="32" t="inlineStr">
        <is>
          <t>baño pequeño + corte completo</t>
        </is>
      </c>
      <c r="E89" s="32" t="inlineStr">
        <is>
          <t>Grooming</t>
        </is>
      </c>
      <c r="F89" s="33" t="n">
        <v>1548</v>
      </c>
      <c r="G89" s="32" t="inlineStr">
        <is>
          <t>efectivo</t>
        </is>
      </c>
      <c r="H89" s="32" t="inlineStr">
        <is>
          <t>Leydeli</t>
        </is>
      </c>
      <c r="I89" s="32" t="n"/>
    </row>
    <row r="90" ht="18" customHeight="1" s="149">
      <c r="A90" s="7" t="n">
        <v>87</v>
      </c>
      <c r="B90" s="7" t="inlineStr">
        <is>
          <t>2026-03-02</t>
        </is>
      </c>
      <c r="C90" s="7" t="inlineStr">
        <is>
          <t>Doky Melendez</t>
        </is>
      </c>
      <c r="D90" s="7" t="inlineStr">
        <is>
          <t>baño pequeño + corte higuienico</t>
        </is>
      </c>
      <c r="E90" s="7" t="inlineStr">
        <is>
          <t>Grooming</t>
        </is>
      </c>
      <c r="F90" s="35" t="n">
        <v>1289</v>
      </c>
      <c r="G90" s="7" t="inlineStr">
        <is>
          <t>efectivo</t>
        </is>
      </c>
      <c r="H90" s="7" t="inlineStr">
        <is>
          <t>Leydeli</t>
        </is>
      </c>
      <c r="I90" s="7" t="n"/>
    </row>
    <row r="91" ht="18" customHeight="1" s="149">
      <c r="A91" s="32" t="n">
        <v>88</v>
      </c>
      <c r="B91" s="32" t="inlineStr">
        <is>
          <t>2026-03-01</t>
        </is>
      </c>
      <c r="C91" s="32" t="inlineStr">
        <is>
          <t>Shayna  Sanchez</t>
        </is>
      </c>
      <c r="D91" s="32" t="inlineStr">
        <is>
          <t>baño medicado + desganado</t>
        </is>
      </c>
      <c r="E91" s="32" t="inlineStr">
        <is>
          <t>Grooming</t>
        </is>
      </c>
      <c r="F91" s="33" t="n">
        <v>1890</v>
      </c>
      <c r="G91" s="32" t="inlineStr">
        <is>
          <t>banreservas</t>
        </is>
      </c>
      <c r="H91" s="32" t="inlineStr">
        <is>
          <t>Leydeli</t>
        </is>
      </c>
      <c r="I91" s="32" t="n"/>
    </row>
    <row r="92" ht="18" customHeight="1" s="149">
      <c r="A92" s="29" t="n">
        <v>89</v>
      </c>
      <c r="B92" s="29" t="inlineStr">
        <is>
          <t>2026-03-01</t>
        </is>
      </c>
      <c r="C92" s="29" t="inlineStr">
        <is>
          <t>Popy Rodriguez</t>
        </is>
      </c>
      <c r="D92" s="29" t="inlineStr">
        <is>
          <t>reservas</t>
        </is>
      </c>
      <c r="E92" s="29" t="inlineStr">
        <is>
          <t>Farmacia/Shop</t>
        </is>
      </c>
      <c r="F92" s="31" t="n">
        <v>180</v>
      </c>
      <c r="G92" s="29" t="n"/>
      <c r="H92" s="29" t="n"/>
      <c r="I92" s="29" t="n"/>
    </row>
    <row r="93" ht="18" customHeight="1" s="149">
      <c r="A93" s="32" t="n">
        <v>90</v>
      </c>
      <c r="B93" s="32" t="inlineStr">
        <is>
          <t>2026-03-01</t>
        </is>
      </c>
      <c r="C93" s="32" t="inlineStr">
        <is>
          <t>Cloe Romero</t>
        </is>
      </c>
      <c r="D93" s="32" t="inlineStr">
        <is>
          <t>baño  pequeño + corte completo</t>
        </is>
      </c>
      <c r="E93" s="32" t="inlineStr">
        <is>
          <t>Grooming</t>
        </is>
      </c>
      <c r="F93" s="33" t="n">
        <v>1548</v>
      </c>
      <c r="G93" s="32" t="inlineStr">
        <is>
          <t>efectivo</t>
        </is>
      </c>
      <c r="H93" s="32" t="inlineStr">
        <is>
          <t>Leydeli</t>
        </is>
      </c>
      <c r="I93" s="32" t="n"/>
    </row>
    <row r="94" ht="18" customHeight="1" s="149">
      <c r="A94" s="27" t="n">
        <v>91</v>
      </c>
      <c r="B94" s="27" t="inlineStr">
        <is>
          <t>2026-03-01</t>
        </is>
      </c>
      <c r="C94" s="27" t="inlineStr">
        <is>
          <t>Riky  Alis</t>
        </is>
      </c>
      <c r="D94" s="27" t="inlineStr">
        <is>
          <t>Consulta</t>
        </is>
      </c>
      <c r="E94" s="27" t="inlineStr">
        <is>
          <t>Veterinaria</t>
        </is>
      </c>
      <c r="F94" s="34" t="n">
        <v>1200</v>
      </c>
      <c r="G94" s="27" t="n"/>
      <c r="H94" s="27" t="n"/>
      <c r="I94" s="27" t="n"/>
    </row>
    <row r="95" ht="18" customHeight="1" s="149">
      <c r="A95" s="32" t="n">
        <v>92</v>
      </c>
      <c r="B95" s="32" t="inlineStr">
        <is>
          <t>2026-03-01</t>
        </is>
      </c>
      <c r="C95" s="32" t="inlineStr">
        <is>
          <t>Riky  Alis</t>
        </is>
      </c>
      <c r="D95" s="32" t="inlineStr">
        <is>
          <t>efectivo</t>
        </is>
      </c>
      <c r="E95" s="32" t="inlineStr">
        <is>
          <t>Farmacia/Shop</t>
        </is>
      </c>
      <c r="F95" s="33" t="n">
        <v>200</v>
      </c>
      <c r="G95" s="32" t="n"/>
      <c r="H95" s="32" t="n"/>
      <c r="I95" s="32" t="n"/>
    </row>
    <row r="96" ht="18" customHeight="1" s="149">
      <c r="A96" s="7" t="n">
        <v>93</v>
      </c>
      <c r="B96" s="7" t="inlineStr">
        <is>
          <t>2026-03-01</t>
        </is>
      </c>
      <c r="C96" s="7" t="inlineStr">
        <is>
          <t>Riky  Alis</t>
        </is>
      </c>
      <c r="D96" s="7" t="inlineStr">
        <is>
          <t>baño mediano + corte completo</t>
        </is>
      </c>
      <c r="E96" s="7" t="inlineStr">
        <is>
          <t>Grooming</t>
        </is>
      </c>
      <c r="F96" s="35" t="n">
        <v>1698</v>
      </c>
      <c r="G96" s="7" t="inlineStr">
        <is>
          <t>efectivo</t>
        </is>
      </c>
      <c r="H96" s="7" t="inlineStr">
        <is>
          <t>Leydeli</t>
        </is>
      </c>
      <c r="I96" s="7" t="inlineStr">
        <is>
          <t>compra de spray garrapaticida</t>
        </is>
      </c>
    </row>
    <row r="97" ht="18" customHeight="1" s="149">
      <c r="A97" s="32" t="n">
        <v>94</v>
      </c>
      <c r="B97" s="32" t="inlineStr">
        <is>
          <t>2026-03-01</t>
        </is>
      </c>
      <c r="C97" s="32" t="inlineStr">
        <is>
          <t>Copito Perez</t>
        </is>
      </c>
      <c r="D97" s="32" t="inlineStr">
        <is>
          <t>baño Medicado + corte higuienico</t>
        </is>
      </c>
      <c r="E97" s="32" t="inlineStr">
        <is>
          <t>Grooming</t>
        </is>
      </c>
      <c r="F97" s="33" t="n">
        <v>1490</v>
      </c>
      <c r="G97" s="32" t="inlineStr">
        <is>
          <t>banreservas</t>
        </is>
      </c>
      <c r="H97" s="32" t="inlineStr">
        <is>
          <t>Leydeli</t>
        </is>
      </c>
      <c r="I97" s="32" t="n"/>
    </row>
    <row r="98" ht="18" customHeight="1" s="149">
      <c r="A98" s="7" t="n">
        <v>95</v>
      </c>
      <c r="B98" s="7" t="inlineStr">
        <is>
          <t>2026-03-01</t>
        </is>
      </c>
      <c r="C98" s="7" t="inlineStr">
        <is>
          <t>Popy Rodriguez</t>
        </is>
      </c>
      <c r="D98" s="7" t="inlineStr">
        <is>
          <t>baño pequeño + corte higuienico</t>
        </is>
      </c>
      <c r="E98" s="7" t="inlineStr">
        <is>
          <t>Grooming</t>
        </is>
      </c>
      <c r="F98" s="35" t="n">
        <v>1289</v>
      </c>
      <c r="G98" s="7" t="inlineStr">
        <is>
          <t>banreservas</t>
        </is>
      </c>
      <c r="H98" s="7" t="inlineStr">
        <is>
          <t>Leydeli</t>
        </is>
      </c>
      <c r="I98" s="7" t="inlineStr">
        <is>
          <t>venta de juguete ( pelota)</t>
        </is>
      </c>
    </row>
    <row r="99" ht="18" customHeight="1" s="149">
      <c r="A99" s="32" t="n">
        <v>96</v>
      </c>
      <c r="B99" s="32" t="inlineStr">
        <is>
          <t>2026-02-28</t>
        </is>
      </c>
      <c r="C99" s="32" t="inlineStr">
        <is>
          <t>Ares</t>
        </is>
      </c>
      <c r="D99" s="32" t="inlineStr">
        <is>
          <t>baño pequeño</t>
        </is>
      </c>
      <c r="E99" s="32" t="inlineStr">
        <is>
          <t>Grooming</t>
        </is>
      </c>
      <c r="F99" s="33" t="n">
        <v>700</v>
      </c>
      <c r="G99" s="32" t="inlineStr">
        <is>
          <t>popular</t>
        </is>
      </c>
      <c r="H99" s="32" t="inlineStr">
        <is>
          <t>Leydeli</t>
        </is>
      </c>
      <c r="I99" s="32" t="n"/>
    </row>
    <row r="100" ht="18" customHeight="1" s="149">
      <c r="A100" s="29" t="n">
        <v>97</v>
      </c>
      <c r="B100" s="29" t="inlineStr">
        <is>
          <t>2026-02-28</t>
        </is>
      </c>
      <c r="C100" s="29" t="inlineStr">
        <is>
          <t>Bongo Bracho</t>
        </is>
      </c>
      <c r="D100" s="29" t="inlineStr">
        <is>
          <t>banreservas</t>
        </is>
      </c>
      <c r="E100" s="29" t="inlineStr">
        <is>
          <t>Farmacia/Shop</t>
        </is>
      </c>
      <c r="F100" s="31" t="n">
        <v>320</v>
      </c>
      <c r="G100" s="29" t="n"/>
      <c r="H100" s="29" t="n"/>
      <c r="I100" s="29" t="n"/>
    </row>
    <row r="101" ht="18" customHeight="1" s="149">
      <c r="A101" s="32" t="n">
        <v>98</v>
      </c>
      <c r="B101" s="32" t="inlineStr">
        <is>
          <t>2026-02-28</t>
        </is>
      </c>
      <c r="C101" s="32" t="inlineStr">
        <is>
          <t>Oliver Matos</t>
        </is>
      </c>
      <c r="D101" s="32" t="inlineStr">
        <is>
          <t>baño pequeño +corte completo</t>
        </is>
      </c>
      <c r="E101" s="32" t="inlineStr">
        <is>
          <t>Grooming</t>
        </is>
      </c>
      <c r="F101" s="33" t="n">
        <v>1548</v>
      </c>
      <c r="G101" s="32" t="inlineStr">
        <is>
          <t>efectivo</t>
        </is>
      </c>
      <c r="H101" s="32" t="inlineStr">
        <is>
          <t>Leydeli</t>
        </is>
      </c>
      <c r="I101" s="32" t="n"/>
    </row>
    <row r="102" ht="18" customHeight="1" s="149">
      <c r="A102" s="7" t="n">
        <v>99</v>
      </c>
      <c r="B102" s="7" t="inlineStr">
        <is>
          <t>2026-02-28</t>
        </is>
      </c>
      <c r="C102" s="7" t="inlineStr">
        <is>
          <t>Kaky Taveras</t>
        </is>
      </c>
      <c r="D102" s="7" t="inlineStr">
        <is>
          <t>baño pequeño</t>
        </is>
      </c>
      <c r="E102" s="7" t="inlineStr">
        <is>
          <t>Grooming</t>
        </is>
      </c>
      <c r="F102" s="35" t="n">
        <v>799</v>
      </c>
      <c r="G102" s="7" t="inlineStr">
        <is>
          <t>popular</t>
        </is>
      </c>
      <c r="H102" s="7" t="n"/>
      <c r="I102" s="7" t="n"/>
    </row>
    <row r="103" ht="18" customHeight="1" s="149">
      <c r="A103" s="32" t="n">
        <v>100</v>
      </c>
      <c r="B103" s="32" t="inlineStr">
        <is>
          <t>2026-02-28</t>
        </is>
      </c>
      <c r="C103" s="32" t="inlineStr">
        <is>
          <t>Honey Taveras</t>
        </is>
      </c>
      <c r="D103" s="32" t="inlineStr">
        <is>
          <t>baño pequeño</t>
        </is>
      </c>
      <c r="E103" s="32" t="inlineStr">
        <is>
          <t>Grooming</t>
        </is>
      </c>
      <c r="F103" s="33" t="n">
        <v>799</v>
      </c>
      <c r="G103" s="32" t="inlineStr">
        <is>
          <t>popular</t>
        </is>
      </c>
      <c r="H103" s="32" t="n"/>
      <c r="I103" s="32" t="n"/>
    </row>
    <row r="104" ht="18" customHeight="1" s="149">
      <c r="A104" s="29" t="n">
        <v>101</v>
      </c>
      <c r="B104" s="29" t="inlineStr">
        <is>
          <t>2026-02-28</t>
        </is>
      </c>
      <c r="C104" s="29" t="inlineStr">
        <is>
          <t>Riky Alis</t>
        </is>
      </c>
      <c r="D104" s="29" t="inlineStr">
        <is>
          <t>efectivo</t>
        </is>
      </c>
      <c r="E104" s="29" t="inlineStr">
        <is>
          <t>Farmacia/Shop</t>
        </is>
      </c>
      <c r="F104" s="31" t="n">
        <v>2000</v>
      </c>
      <c r="G104" s="29" t="n"/>
      <c r="H104" s="29" t="n"/>
      <c r="I104" s="29" t="n"/>
    </row>
    <row r="105" ht="18" customHeight="1" s="149">
      <c r="A105" s="32" t="n">
        <v>102</v>
      </c>
      <c r="B105" s="32" t="inlineStr">
        <is>
          <t>2026-02-28</t>
        </is>
      </c>
      <c r="C105" s="32" t="inlineStr">
        <is>
          <t>Chestnit Ansesio</t>
        </is>
      </c>
      <c r="D105" s="32" t="inlineStr">
        <is>
          <t>baño pequeño + corte completo</t>
        </is>
      </c>
      <c r="E105" s="32" t="inlineStr">
        <is>
          <t>Grooming</t>
        </is>
      </c>
      <c r="F105" s="33" t="n">
        <v>1548</v>
      </c>
      <c r="G105" s="32" t="inlineStr">
        <is>
          <t>Popular</t>
        </is>
      </c>
      <c r="H105" s="32" t="n"/>
      <c r="I105" s="32" t="n"/>
    </row>
    <row r="106" ht="18" customHeight="1" s="149">
      <c r="A106" s="7" t="n">
        <v>103</v>
      </c>
      <c r="B106" s="7" t="inlineStr">
        <is>
          <t>2026-02-28</t>
        </is>
      </c>
      <c r="C106" s="7" t="inlineStr">
        <is>
          <t>Mini Nin</t>
        </is>
      </c>
      <c r="D106" s="7" t="inlineStr">
        <is>
          <t>baño pequeño con linea + corte completo</t>
        </is>
      </c>
      <c r="E106" s="7" t="inlineStr">
        <is>
          <t>Grooming</t>
        </is>
      </c>
      <c r="F106" s="35" t="n">
        <v>1748</v>
      </c>
      <c r="G106" s="7" t="inlineStr">
        <is>
          <t>efectivo</t>
        </is>
      </c>
      <c r="H106" s="7" t="n"/>
      <c r="I106" s="7" t="n"/>
    </row>
    <row r="107" ht="18" customHeight="1" s="149">
      <c r="A107" s="32" t="n">
        <v>104</v>
      </c>
      <c r="B107" s="32" t="inlineStr">
        <is>
          <t>2026-02-26</t>
        </is>
      </c>
      <c r="C107" s="32" t="inlineStr">
        <is>
          <t>Rocco Liz</t>
        </is>
      </c>
      <c r="D107" s="32" t="inlineStr">
        <is>
          <t>popular</t>
        </is>
      </c>
      <c r="E107" s="32" t="inlineStr">
        <is>
          <t>Farmacia/Shop</t>
        </is>
      </c>
      <c r="F107" s="33" t="n">
        <v>2000</v>
      </c>
      <c r="G107" s="32" t="n"/>
      <c r="H107" s="32" t="n"/>
      <c r="I107" s="32" t="n"/>
    </row>
    <row r="108" ht="18" customHeight="1" s="149">
      <c r="A108" s="7" t="n">
        <v>105</v>
      </c>
      <c r="B108" s="7" t="inlineStr">
        <is>
          <t>2026-02-26</t>
        </is>
      </c>
      <c r="C108" s="7" t="inlineStr">
        <is>
          <t>Blacky Marcos</t>
        </is>
      </c>
      <c r="D108" s="7" t="inlineStr">
        <is>
          <t>baño grande con linea+ deslanado</t>
        </is>
      </c>
      <c r="E108" s="7" t="inlineStr">
        <is>
          <t>Grooming</t>
        </is>
      </c>
      <c r="F108" s="35" t="n">
        <v>2239</v>
      </c>
      <c r="G108" s="7" t="inlineStr">
        <is>
          <t>efectivo</t>
        </is>
      </c>
      <c r="H108" s="7" t="inlineStr">
        <is>
          <t>Leydeli</t>
        </is>
      </c>
      <c r="I108" s="7" t="inlineStr">
        <is>
          <t>venta de pamper</t>
        </is>
      </c>
    </row>
    <row r="109" ht="18" customHeight="1" s="149">
      <c r="A109" s="32" t="n">
        <v>106</v>
      </c>
      <c r="B109" s="32" t="inlineStr">
        <is>
          <t>2026-02-26</t>
        </is>
      </c>
      <c r="C109" s="32" t="inlineStr">
        <is>
          <t>Rocco Liz</t>
        </is>
      </c>
      <c r="D109" s="32" t="inlineStr">
        <is>
          <t>baño pequeño+ corte completo</t>
        </is>
      </c>
      <c r="E109" s="32" t="inlineStr">
        <is>
          <t>Grooming</t>
        </is>
      </c>
      <c r="F109" s="33" t="n">
        <v>1548</v>
      </c>
      <c r="G109" s="32" t="inlineStr">
        <is>
          <t>popular</t>
        </is>
      </c>
      <c r="H109" s="32" t="inlineStr">
        <is>
          <t>Leydeli</t>
        </is>
      </c>
      <c r="I109" s="32" t="inlineStr">
        <is>
          <t>Nexgard Spectra 15,1 (mitad)</t>
        </is>
      </c>
    </row>
    <row r="110" ht="18" customHeight="1" s="149">
      <c r="A110" s="29" t="n">
        <v>107</v>
      </c>
      <c r="B110" s="29" t="inlineStr">
        <is>
          <t>2026-02-26</t>
        </is>
      </c>
      <c r="C110" s="29" t="inlineStr">
        <is>
          <t>Ruthy Severino</t>
        </is>
      </c>
      <c r="D110" s="29" t="inlineStr">
        <is>
          <t>efectivo</t>
        </is>
      </c>
      <c r="E110" s="29" t="inlineStr">
        <is>
          <t>Farmacia/Shop</t>
        </is>
      </c>
      <c r="F110" s="31" t="n">
        <v>800</v>
      </c>
      <c r="G110" s="29" t="n"/>
      <c r="H110" s="29" t="n"/>
      <c r="I110" s="29" t="n"/>
    </row>
    <row r="111" ht="18" customHeight="1" s="149">
      <c r="A111" s="32" t="n">
        <v>108</v>
      </c>
      <c r="B111" s="32" t="inlineStr">
        <is>
          <t>2026-02-26</t>
        </is>
      </c>
      <c r="C111" s="32" t="inlineStr">
        <is>
          <t>Blacky Marcos</t>
        </is>
      </c>
      <c r="D111" s="32" t="inlineStr">
        <is>
          <t>efectivo</t>
        </is>
      </c>
      <c r="E111" s="32" t="inlineStr">
        <is>
          <t>Farmacia/Shop</t>
        </is>
      </c>
      <c r="F111" s="33" t="n">
        <v>695</v>
      </c>
      <c r="G111" s="32" t="n"/>
      <c r="H111" s="32" t="n"/>
      <c r="I111" s="32" t="n"/>
    </row>
    <row r="112" ht="18" customHeight="1" s="149">
      <c r="A112" s="29" t="n">
        <v>109</v>
      </c>
      <c r="B112" s="29" t="inlineStr">
        <is>
          <t>2026-02-26</t>
        </is>
      </c>
      <c r="C112" s="29" t="inlineStr">
        <is>
          <t>Mini Nin</t>
        </is>
      </c>
      <c r="D112" s="29" t="inlineStr">
        <is>
          <t>banresevas</t>
        </is>
      </c>
      <c r="E112" s="29" t="inlineStr">
        <is>
          <t>Farmacia/Shop</t>
        </is>
      </c>
      <c r="F112" s="31" t="n">
        <v>1745</v>
      </c>
      <c r="G112" s="29" t="n"/>
      <c r="H112" s="29" t="n"/>
      <c r="I112" s="29" t="n"/>
    </row>
    <row r="113" ht="18" customHeight="1" s="149">
      <c r="A113" s="32" t="n">
        <v>110</v>
      </c>
      <c r="B113" s="32" t="inlineStr">
        <is>
          <t>2026-02-25</t>
        </is>
      </c>
      <c r="C113" s="32" t="inlineStr">
        <is>
          <t>Popy De Leon</t>
        </is>
      </c>
      <c r="D113" s="32" t="inlineStr">
        <is>
          <t>popular</t>
        </is>
      </c>
      <c r="E113" s="32" t="inlineStr">
        <is>
          <t>Farmacia/Shop</t>
        </is>
      </c>
      <c r="F113" s="33" t="n">
        <v>200</v>
      </c>
      <c r="G113" s="32" t="n"/>
      <c r="H113" s="32" t="n"/>
      <c r="I113" s="32" t="n"/>
    </row>
    <row r="114" ht="18" customHeight="1" s="149">
      <c r="A114" s="29" t="n">
        <v>111</v>
      </c>
      <c r="B114" s="29" t="inlineStr">
        <is>
          <t>2026-02-25</t>
        </is>
      </c>
      <c r="C114" s="29" t="inlineStr">
        <is>
          <t>Aria Luna  Martinez</t>
        </is>
      </c>
      <c r="D114" s="29" t="inlineStr">
        <is>
          <t>popular</t>
        </is>
      </c>
      <c r="E114" s="29" t="inlineStr">
        <is>
          <t>Farmacia/Shop</t>
        </is>
      </c>
      <c r="F114" s="31" t="n">
        <v>200</v>
      </c>
      <c r="G114" s="29" t="n"/>
      <c r="H114" s="29" t="n"/>
      <c r="I114" s="29" t="n"/>
    </row>
    <row r="115" ht="18" customHeight="1" s="149">
      <c r="A115" s="32" t="n">
        <v>112</v>
      </c>
      <c r="B115" s="32" t="inlineStr">
        <is>
          <t>2026-02-25</t>
        </is>
      </c>
      <c r="C115" s="32" t="inlineStr">
        <is>
          <t>Aria Luna  Martinez</t>
        </is>
      </c>
      <c r="D115" s="32" t="inlineStr">
        <is>
          <t>baño pequeño con linea + corte completo</t>
        </is>
      </c>
      <c r="E115" s="32" t="inlineStr">
        <is>
          <t>Grooming</t>
        </is>
      </c>
      <c r="F115" s="33" t="n">
        <v>1749</v>
      </c>
      <c r="G115" s="32" t="inlineStr">
        <is>
          <t>popular</t>
        </is>
      </c>
      <c r="H115" s="32" t="inlineStr">
        <is>
          <t>Leydeli</t>
        </is>
      </c>
      <c r="I115" s="32" t="inlineStr">
        <is>
          <t>transporte</t>
        </is>
      </c>
    </row>
    <row r="116" ht="18" customHeight="1" s="149">
      <c r="A116" s="29" t="n">
        <v>113</v>
      </c>
      <c r="B116" s="29" t="inlineStr">
        <is>
          <t>2026-02-25</t>
        </is>
      </c>
      <c r="C116" s="29" t="inlineStr">
        <is>
          <t>Nicky  De Los Santos</t>
        </is>
      </c>
      <c r="D116" s="29" t="inlineStr">
        <is>
          <t>efectivo y banreservas</t>
        </is>
      </c>
      <c r="E116" s="29" t="inlineStr">
        <is>
          <t>Farmacia/Shop</t>
        </is>
      </c>
      <c r="F116" s="31" t="n">
        <v>2675</v>
      </c>
      <c r="G116" s="29" t="n"/>
      <c r="H116" s="29" t="n"/>
      <c r="I116" s="29" t="n"/>
    </row>
    <row r="117" ht="18" customHeight="1" s="149">
      <c r="A117" s="32" t="n">
        <v>114</v>
      </c>
      <c r="B117" s="32" t="inlineStr">
        <is>
          <t>2026-02-25</t>
        </is>
      </c>
      <c r="C117" s="32" t="inlineStr">
        <is>
          <t>Nicky  De Los Santos</t>
        </is>
      </c>
      <c r="D117" s="32" t="inlineStr">
        <is>
          <t>baño  pequeño con linea</t>
        </is>
      </c>
      <c r="E117" s="32" t="inlineStr">
        <is>
          <t>Grooming</t>
        </is>
      </c>
      <c r="F117" s="33" t="n">
        <v>1000</v>
      </c>
      <c r="G117" s="32" t="inlineStr">
        <is>
          <t>efectivo</t>
        </is>
      </c>
      <c r="H117" s="32" t="inlineStr">
        <is>
          <t>Leydeli</t>
        </is>
      </c>
      <c r="I117" s="32" t="inlineStr">
        <is>
          <t>venta de nexgard spectra + comida dalgog  adulto</t>
        </is>
      </c>
    </row>
    <row r="118" ht="18" customHeight="1" s="149">
      <c r="A118" s="7" t="n">
        <v>115</v>
      </c>
      <c r="B118" s="7" t="inlineStr">
        <is>
          <t>2026-02-25</t>
        </is>
      </c>
      <c r="C118" s="7" t="inlineStr">
        <is>
          <t>Popy De Leon</t>
        </is>
      </c>
      <c r="D118" s="7" t="inlineStr">
        <is>
          <t>baño pequeño con linea + corte completo</t>
        </is>
      </c>
      <c r="E118" s="7" t="inlineStr">
        <is>
          <t>Grooming</t>
        </is>
      </c>
      <c r="F118" s="35" t="n">
        <v>1749</v>
      </c>
      <c r="G118" s="7" t="inlineStr">
        <is>
          <t>popular</t>
        </is>
      </c>
      <c r="H118" s="7" t="inlineStr">
        <is>
          <t>Leydeli</t>
        </is>
      </c>
      <c r="I118" s="7" t="inlineStr">
        <is>
          <t>transporte</t>
        </is>
      </c>
    </row>
    <row r="119" ht="18" customHeight="1" s="149">
      <c r="A119" s="32" t="n">
        <v>116</v>
      </c>
      <c r="B119" s="32" t="inlineStr">
        <is>
          <t>2026-02-23</t>
        </is>
      </c>
      <c r="C119" s="32" t="inlineStr">
        <is>
          <t>Nieves Ramirez</t>
        </is>
      </c>
      <c r="D119" s="32" t="inlineStr">
        <is>
          <t>baño  pequeño + corte completo</t>
        </is>
      </c>
      <c r="E119" s="32" t="inlineStr">
        <is>
          <t>Grooming</t>
        </is>
      </c>
      <c r="F119" s="33" t="n">
        <v>1548</v>
      </c>
      <c r="G119" s="32" t="inlineStr">
        <is>
          <t>efectivo</t>
        </is>
      </c>
      <c r="H119" s="32" t="inlineStr">
        <is>
          <t>Alexander</t>
        </is>
      </c>
      <c r="I119" s="32" t="n"/>
    </row>
    <row r="120" ht="18" customHeight="1" s="149">
      <c r="A120" s="7" t="n">
        <v>117</v>
      </c>
      <c r="B120" s="7" t="inlineStr">
        <is>
          <t>2026-02-22</t>
        </is>
      </c>
      <c r="C120" s="7" t="inlineStr">
        <is>
          <t>Honey Mendez</t>
        </is>
      </c>
      <c r="D120" s="7" t="inlineStr">
        <is>
          <t>baño  pequeño + corte completo</t>
        </is>
      </c>
      <c r="E120" s="7" t="inlineStr">
        <is>
          <t>Grooming</t>
        </is>
      </c>
      <c r="F120" s="35" t="n">
        <v>1393</v>
      </c>
      <c r="G120" s="7" t="inlineStr">
        <is>
          <t>popular</t>
        </is>
      </c>
      <c r="H120" s="7" t="n"/>
      <c r="I120" s="7" t="inlineStr">
        <is>
          <t>Venta Pampers Comfort size 2 (10% OFF)</t>
        </is>
      </c>
    </row>
    <row r="121" ht="18" customHeight="1" s="149">
      <c r="A121" s="32" t="n">
        <v>118</v>
      </c>
      <c r="B121" s="32" t="inlineStr">
        <is>
          <t>2026-02-22</t>
        </is>
      </c>
      <c r="C121" s="32" t="inlineStr">
        <is>
          <t>Rubio Polanco</t>
        </is>
      </c>
      <c r="D121" s="32" t="inlineStr">
        <is>
          <t>Consulta ($1,500)</t>
        </is>
      </c>
      <c r="E121" s="32" t="inlineStr">
        <is>
          <t>Veterinaria</t>
        </is>
      </c>
      <c r="F121" s="33" t="n">
        <v>1500</v>
      </c>
      <c r="G121" s="32" t="n"/>
      <c r="H121" s="32" t="n"/>
      <c r="I121" s="32" t="n"/>
    </row>
    <row r="122" ht="18" customHeight="1" s="149">
      <c r="A122" s="29" t="n">
        <v>119</v>
      </c>
      <c r="B122" s="29" t="inlineStr">
        <is>
          <t>2026-02-22</t>
        </is>
      </c>
      <c r="C122" s="29" t="inlineStr">
        <is>
          <t>Honey Mendez</t>
        </is>
      </c>
      <c r="D122" s="29" t="inlineStr">
        <is>
          <t>popular</t>
        </is>
      </c>
      <c r="E122" s="29" t="inlineStr">
        <is>
          <t>Farmacia/Shop</t>
        </is>
      </c>
      <c r="F122" s="31" t="n">
        <v>625</v>
      </c>
      <c r="G122" s="29" t="n"/>
      <c r="H122" s="29" t="n"/>
      <c r="I122" s="29" t="n"/>
    </row>
    <row r="123" ht="18" customHeight="1" s="149">
      <c r="A123" s="32" t="n">
        <v>120</v>
      </c>
      <c r="B123" s="32" t="inlineStr">
        <is>
          <t>2026-02-21</t>
        </is>
      </c>
      <c r="C123" s="32" t="inlineStr">
        <is>
          <t>Luna Juliao</t>
        </is>
      </c>
      <c r="D123" s="32" t="inlineStr">
        <is>
          <t>baño pequeño + corte completo</t>
        </is>
      </c>
      <c r="E123" s="32" t="inlineStr">
        <is>
          <t>Grooming</t>
        </is>
      </c>
      <c r="F123" s="33" t="n">
        <v>1548</v>
      </c>
      <c r="G123" s="32" t="n"/>
      <c r="H123" s="32" t="n"/>
      <c r="I123" s="32" t="n"/>
    </row>
    <row r="124" ht="18" customHeight="1" s="149">
      <c r="A124" s="29" t="n">
        <v>121</v>
      </c>
      <c r="B124" s="29" t="inlineStr">
        <is>
          <t>2026-02-21</t>
        </is>
      </c>
      <c r="C124" s="29" t="inlineStr">
        <is>
          <t>Manguito</t>
        </is>
      </c>
      <c r="D124" s="29" t="inlineStr">
        <is>
          <t>efectivo</t>
        </is>
      </c>
      <c r="E124" s="29" t="inlineStr">
        <is>
          <t>Farmacia/Shop</t>
        </is>
      </c>
      <c r="F124" s="31" t="n">
        <v>140</v>
      </c>
      <c r="G124" s="29" t="n"/>
      <c r="H124" s="29" t="n"/>
      <c r="I124" s="29" t="n"/>
    </row>
    <row r="125" ht="18" customHeight="1" s="149">
      <c r="A125" s="32" t="n">
        <v>122</v>
      </c>
      <c r="B125" s="32" t="inlineStr">
        <is>
          <t>2026-02-21</t>
        </is>
      </c>
      <c r="C125" s="32" t="inlineStr">
        <is>
          <t>Manguito</t>
        </is>
      </c>
      <c r="D125" s="32" t="inlineStr">
        <is>
          <t>baño pequeño</t>
        </is>
      </c>
      <c r="E125" s="32" t="inlineStr">
        <is>
          <t>Grooming</t>
        </is>
      </c>
      <c r="F125" s="33" t="n">
        <v>799</v>
      </c>
      <c r="G125" s="32" t="inlineStr">
        <is>
          <t>efectivo</t>
        </is>
      </c>
      <c r="H125" s="32" t="inlineStr">
        <is>
          <t>Laura</t>
        </is>
      </c>
      <c r="I125" s="32" t="inlineStr">
        <is>
          <t>Hueso para perro . (Dejó $61 en fondo)</t>
        </is>
      </c>
    </row>
    <row r="126" ht="18" customHeight="1" s="149">
      <c r="A126" s="7" t="n">
        <v>123</v>
      </c>
      <c r="B126" s="7" t="inlineStr">
        <is>
          <t>2026-02-21</t>
        </is>
      </c>
      <c r="C126" s="7" t="inlineStr">
        <is>
          <t>Doky Torres</t>
        </is>
      </c>
      <c r="D126" s="7" t="inlineStr">
        <is>
          <t>baño pequeño + corte higienico</t>
        </is>
      </c>
      <c r="E126" s="7" t="inlineStr">
        <is>
          <t>Grooming</t>
        </is>
      </c>
      <c r="F126" s="35" t="n">
        <v>1289</v>
      </c>
      <c r="G126" s="7" t="inlineStr">
        <is>
          <t>efectivo</t>
        </is>
      </c>
      <c r="H126" s="7" t="inlineStr">
        <is>
          <t>Laura</t>
        </is>
      </c>
      <c r="I126" s="7" t="n"/>
    </row>
    <row r="127" ht="18" customHeight="1" s="149">
      <c r="A127" s="32" t="n">
        <v>124</v>
      </c>
      <c r="B127" s="32" t="inlineStr">
        <is>
          <t>2026-02-20</t>
        </is>
      </c>
      <c r="C127" s="32" t="inlineStr">
        <is>
          <t>Marcos (Max)</t>
        </is>
      </c>
      <c r="D127" s="32" t="inlineStr">
        <is>
          <t>Producto farmacia</t>
        </is>
      </c>
      <c r="E127" s="32" t="inlineStr">
        <is>
          <t>Farmacia/Shop</t>
        </is>
      </c>
      <c r="F127" s="33" t="n">
        <v>1143</v>
      </c>
      <c r="G127" s="32" t="n"/>
      <c r="H127" s="32" t="n"/>
      <c r="I127" s="32" t="n"/>
    </row>
    <row r="128" ht="18" customHeight="1" s="149">
      <c r="A128" s="7" t="n">
        <v>125</v>
      </c>
      <c r="B128" s="7" t="inlineStr">
        <is>
          <t>2026-02-20</t>
        </is>
      </c>
      <c r="C128" s="7" t="inlineStr">
        <is>
          <t>Marcos (Max)</t>
        </is>
      </c>
      <c r="D128" s="7" t="inlineStr">
        <is>
          <t>baño pequeño</t>
        </is>
      </c>
      <c r="E128" s="7" t="inlineStr">
        <is>
          <t>Grooming</t>
        </is>
      </c>
      <c r="F128" s="35" t="n">
        <v>719</v>
      </c>
      <c r="G128" s="7" t="n"/>
      <c r="H128" s="7" t="n"/>
      <c r="I128" s="7" t="inlineStr">
        <is>
          <t>Nexgard</t>
        </is>
      </c>
    </row>
    <row r="129" ht="18" customHeight="1" s="149">
      <c r="A129" s="32" t="n">
        <v>126</v>
      </c>
      <c r="B129" s="32" t="inlineStr">
        <is>
          <t>2026-02-20</t>
        </is>
      </c>
      <c r="C129" s="32" t="inlineStr">
        <is>
          <t>Milo Montero</t>
        </is>
      </c>
      <c r="D129" s="32" t="inlineStr">
        <is>
          <t>baño pequeño</t>
        </is>
      </c>
      <c r="E129" s="32" t="inlineStr">
        <is>
          <t>Grooming</t>
        </is>
      </c>
      <c r="F129" s="33" t="n">
        <v>799</v>
      </c>
      <c r="G129" s="32" t="inlineStr">
        <is>
          <t>efectivo</t>
        </is>
      </c>
      <c r="H129" s="32" t="inlineStr">
        <is>
          <t>Laura</t>
        </is>
      </c>
      <c r="I129" s="32" t="n"/>
    </row>
    <row r="130" ht="18" customHeight="1" s="149">
      <c r="A130" s="29" t="n">
        <v>127</v>
      </c>
      <c r="B130" s="29" t="inlineStr">
        <is>
          <t>2026-02-18</t>
        </is>
      </c>
      <c r="C130" s="29" t="inlineStr">
        <is>
          <t>Maia Molta</t>
        </is>
      </c>
      <c r="D130" s="29" t="inlineStr">
        <is>
          <t>popular</t>
        </is>
      </c>
      <c r="E130" s="29" t="inlineStr">
        <is>
          <t>Farmacia/Shop</t>
        </is>
      </c>
      <c r="F130" s="31" t="n">
        <v>532</v>
      </c>
      <c r="G130" s="29" t="n"/>
      <c r="H130" s="29" t="n"/>
      <c r="I130" s="29" t="n"/>
    </row>
    <row r="131" ht="18" customHeight="1" s="149">
      <c r="A131" s="32" t="n">
        <v>128</v>
      </c>
      <c r="B131" s="32" t="inlineStr">
        <is>
          <t>2026-02-18</t>
        </is>
      </c>
      <c r="C131" s="32" t="inlineStr">
        <is>
          <t>Bod Jimenez</t>
        </is>
      </c>
      <c r="D131" s="32" t="inlineStr">
        <is>
          <t>baño pequeño + corte completo</t>
        </is>
      </c>
      <c r="E131" s="32" t="inlineStr">
        <is>
          <t>Grooming</t>
        </is>
      </c>
      <c r="F131" s="33" t="n">
        <v>1548</v>
      </c>
      <c r="G131" s="32" t="inlineStr">
        <is>
          <t>efectivo</t>
        </is>
      </c>
      <c r="H131" s="32" t="inlineStr">
        <is>
          <t>Leydeli</t>
        </is>
      </c>
      <c r="I131" s="32" t="n"/>
    </row>
    <row r="132" ht="18" customHeight="1" s="149">
      <c r="A132" s="7" t="n">
        <v>129</v>
      </c>
      <c r="B132" s="7" t="inlineStr">
        <is>
          <t>2026-02-18</t>
        </is>
      </c>
      <c r="C132" s="7" t="inlineStr">
        <is>
          <t>Maia Molta</t>
        </is>
      </c>
      <c r="D132" s="7" t="inlineStr">
        <is>
          <t>baño pequeño + corte completo</t>
        </is>
      </c>
      <c r="E132" s="7" t="inlineStr">
        <is>
          <t>Grooming</t>
        </is>
      </c>
      <c r="F132" s="35" t="n">
        <v>1548</v>
      </c>
      <c r="G132" s="7" t="inlineStr">
        <is>
          <t>popular</t>
        </is>
      </c>
      <c r="H132" s="7" t="inlineStr">
        <is>
          <t>Leydeli</t>
        </is>
      </c>
      <c r="I132" s="7" t="inlineStr">
        <is>
          <t>Galletas Premier</t>
        </is>
      </c>
    </row>
    <row r="133" ht="18" customHeight="1" s="149">
      <c r="A133" s="32" t="n">
        <v>130</v>
      </c>
      <c r="B133" s="32" t="inlineStr">
        <is>
          <t>2026-02-18</t>
        </is>
      </c>
      <c r="C133" s="32" t="inlineStr">
        <is>
          <t>Chincho Moya</t>
        </is>
      </c>
      <c r="D133" s="32" t="inlineStr">
        <is>
          <t>corte de uñas</t>
        </is>
      </c>
      <c r="E133" s="32" t="inlineStr">
        <is>
          <t>Grooming</t>
        </is>
      </c>
      <c r="F133" s="33" t="n">
        <v>200</v>
      </c>
      <c r="G133" s="32" t="inlineStr">
        <is>
          <t>efectivo</t>
        </is>
      </c>
      <c r="H133" s="32" t="inlineStr">
        <is>
          <t>Leydeli</t>
        </is>
      </c>
      <c r="I133" s="32" t="inlineStr">
        <is>
          <t>$100 de descuento</t>
        </is>
      </c>
    </row>
    <row r="134" ht="18" customHeight="1" s="149">
      <c r="A134" s="27" t="n">
        <v>131</v>
      </c>
      <c r="B134" s="27" t="inlineStr">
        <is>
          <t>2026-02-17</t>
        </is>
      </c>
      <c r="C134" s="27" t="inlineStr">
        <is>
          <t>Dixer Sodek</t>
        </is>
      </c>
      <c r="D134" s="27" t="inlineStr">
        <is>
          <t>Consulta ($1,500) + Vacuna Bordetella ($1,400) + Quintuple ($1,200) + Giardia ($1,450)/ Descuento de $775</t>
        </is>
      </c>
      <c r="E134" s="27" t="inlineStr">
        <is>
          <t>Veterinaria</t>
        </is>
      </c>
      <c r="F134" s="34" t="n">
        <v>4775</v>
      </c>
      <c r="G134" s="27" t="n"/>
      <c r="H134" s="27" t="n"/>
      <c r="I134" s="27" t="n"/>
    </row>
    <row r="135" ht="18" customHeight="1" s="149">
      <c r="A135" s="32" t="n">
        <v>132</v>
      </c>
      <c r="B135" s="32" t="inlineStr">
        <is>
          <t>2026-02-17</t>
        </is>
      </c>
      <c r="C135" s="32" t="inlineStr">
        <is>
          <t>Beano Sodek</t>
        </is>
      </c>
      <c r="D135" s="32" t="inlineStr">
        <is>
          <t>Consulta ($1,500) + Vacuna Bordetella ($1,400) + Quintuple ($1,200) + Giardia ($1,450)/ Descuento de $775</t>
        </is>
      </c>
      <c r="E135" s="32" t="inlineStr">
        <is>
          <t>Veterinaria</t>
        </is>
      </c>
      <c r="F135" s="33" t="n">
        <v>4775</v>
      </c>
      <c r="G135" s="32" t="n"/>
      <c r="H135" s="32" t="n"/>
      <c r="I135" s="32" t="n"/>
    </row>
    <row r="136" ht="18" customHeight="1" s="149">
      <c r="A136" s="29" t="n">
        <v>133</v>
      </c>
      <c r="B136" s="29" t="inlineStr">
        <is>
          <t>2026-02-17</t>
        </is>
      </c>
      <c r="C136" s="29" t="inlineStr">
        <is>
          <t>Beano Sodek</t>
        </is>
      </c>
      <c r="D136" s="29" t="inlineStr">
        <is>
          <t>Producto farmacia</t>
        </is>
      </c>
      <c r="E136" s="29" t="inlineStr">
        <is>
          <t>Farmacia/Shop</t>
        </is>
      </c>
      <c r="F136" s="31" t="n">
        <v>1475</v>
      </c>
      <c r="G136" s="29" t="n"/>
      <c r="H136" s="29" t="n"/>
      <c r="I136" s="29" t="n"/>
    </row>
    <row r="137" ht="18" customHeight="1" s="149">
      <c r="A137" s="32" t="n">
        <v>134</v>
      </c>
      <c r="B137" s="32" t="inlineStr">
        <is>
          <t>2026-02-17</t>
        </is>
      </c>
      <c r="C137" s="32" t="inlineStr">
        <is>
          <t>Dixer Sodek</t>
        </is>
      </c>
      <c r="D137" s="32" t="inlineStr">
        <is>
          <t>Producto farmacia</t>
        </is>
      </c>
      <c r="E137" s="32" t="inlineStr">
        <is>
          <t>Farmacia/Shop</t>
        </is>
      </c>
      <c r="F137" s="33" t="n">
        <v>1475</v>
      </c>
      <c r="G137" s="32" t="n"/>
      <c r="H137" s="32" t="n"/>
      <c r="I137" s="32" t="n"/>
    </row>
    <row r="138" ht="18" customHeight="1" s="149">
      <c r="A138" s="7" t="n">
        <v>135</v>
      </c>
      <c r="B138" s="7" t="inlineStr">
        <is>
          <t>2026-02-17</t>
        </is>
      </c>
      <c r="C138" s="7" t="inlineStr">
        <is>
          <t>Bongo Brocho</t>
        </is>
      </c>
      <c r="D138" s="7" t="inlineStr">
        <is>
          <t>baño grande + corte completo</t>
        </is>
      </c>
      <c r="E138" s="7" t="inlineStr">
        <is>
          <t>Grooming</t>
        </is>
      </c>
      <c r="F138" s="35" t="n">
        <v>1749</v>
      </c>
      <c r="G138" s="7" t="inlineStr">
        <is>
          <t>reservas</t>
        </is>
      </c>
      <c r="H138" s="7" t="inlineStr">
        <is>
          <t>Leydeli</t>
        </is>
      </c>
      <c r="I138" s="7" t="n"/>
    </row>
    <row r="139" ht="18" customHeight="1" s="149">
      <c r="A139" s="32" t="n">
        <v>136</v>
      </c>
      <c r="B139" s="32" t="inlineStr">
        <is>
          <t>2026-02-17</t>
        </is>
      </c>
      <c r="C139" s="32" t="inlineStr">
        <is>
          <t>Odie Ureña</t>
        </is>
      </c>
      <c r="D139" s="32" t="inlineStr">
        <is>
          <t>baño pequeño + corte higienico</t>
        </is>
      </c>
      <c r="E139" s="32" t="inlineStr">
        <is>
          <t>Grooming</t>
        </is>
      </c>
      <c r="F139" s="33" t="n">
        <v>1289</v>
      </c>
      <c r="G139" s="32" t="inlineStr">
        <is>
          <t>popular</t>
        </is>
      </c>
      <c r="H139" s="32" t="inlineStr">
        <is>
          <t>Leydeli</t>
        </is>
      </c>
      <c r="I139" s="32" t="n"/>
    </row>
    <row r="140" ht="18" customHeight="1" s="149">
      <c r="A140" s="7" t="n">
        <v>137</v>
      </c>
      <c r="B140" s="7" t="inlineStr">
        <is>
          <t>2026-02-16</t>
        </is>
      </c>
      <c r="C140" s="7" t="inlineStr">
        <is>
          <t>Gary 600</t>
        </is>
      </c>
      <c r="D140" s="7" t="inlineStr">
        <is>
          <t>baño pequeño</t>
        </is>
      </c>
      <c r="E140" s="7" t="inlineStr">
        <is>
          <t>Grooming</t>
        </is>
      </c>
      <c r="F140" s="35" t="n">
        <v>799</v>
      </c>
      <c r="G140" s="7" t="inlineStr">
        <is>
          <t>reservas</t>
        </is>
      </c>
      <c r="H140" s="7" t="inlineStr">
        <is>
          <t>Leydeli</t>
        </is>
      </c>
      <c r="I140" s="7" t="n"/>
    </row>
    <row r="141" ht="18" customHeight="1" s="149">
      <c r="A141" s="32" t="n">
        <v>138</v>
      </c>
      <c r="B141" s="32" t="inlineStr">
        <is>
          <t>2026-02-16</t>
        </is>
      </c>
      <c r="C141" s="32" t="inlineStr">
        <is>
          <t>Coco Ramirez</t>
        </is>
      </c>
      <c r="D141" s="32" t="inlineStr">
        <is>
          <t>baño con linea</t>
        </is>
      </c>
      <c r="E141" s="32" t="inlineStr">
        <is>
          <t>Grooming</t>
        </is>
      </c>
      <c r="F141" s="33" t="n">
        <v>1000</v>
      </c>
      <c r="G141" s="32" t="inlineStr">
        <is>
          <t>efectivo</t>
        </is>
      </c>
      <c r="H141" s="32" t="inlineStr">
        <is>
          <t>Leydeli</t>
        </is>
      </c>
      <c r="I141" s="32" t="n"/>
    </row>
    <row r="142" ht="18" customHeight="1" s="149">
      <c r="A142" s="7" t="n">
        <v>139</v>
      </c>
      <c r="B142" s="7" t="inlineStr">
        <is>
          <t>2026-02-16</t>
        </is>
      </c>
      <c r="C142" s="7" t="inlineStr">
        <is>
          <t>Oreo Ramirez</t>
        </is>
      </c>
      <c r="D142" s="7" t="inlineStr">
        <is>
          <t>baño con linea + corte completo</t>
        </is>
      </c>
      <c r="E142" s="7" t="inlineStr">
        <is>
          <t>Grooming</t>
        </is>
      </c>
      <c r="F142" s="35" t="n">
        <v>1749</v>
      </c>
      <c r="G142" s="7" t="inlineStr">
        <is>
          <t>reservas</t>
        </is>
      </c>
      <c r="H142" s="7" t="inlineStr">
        <is>
          <t>Leydeli</t>
        </is>
      </c>
      <c r="I142" s="7" t="n"/>
    </row>
    <row r="143" ht="18" customHeight="1" s="149">
      <c r="A143" s="32" t="n">
        <v>140</v>
      </c>
      <c r="B143" s="32" t="inlineStr">
        <is>
          <t>2026-02-16</t>
        </is>
      </c>
      <c r="C143" s="32" t="inlineStr">
        <is>
          <t>Beano Sodek</t>
        </is>
      </c>
      <c r="D143" s="32" t="inlineStr">
        <is>
          <t>baño medicado</t>
        </is>
      </c>
      <c r="E143" s="32" t="inlineStr">
        <is>
          <t>Grooming</t>
        </is>
      </c>
      <c r="F143" s="33" t="n">
        <v>1000</v>
      </c>
      <c r="G143" s="32" t="n"/>
      <c r="H143" s="32" t="n"/>
      <c r="I143" s="32" t="n"/>
    </row>
    <row r="144" ht="18" customHeight="1" s="149">
      <c r="A144" s="29" t="n">
        <v>141</v>
      </c>
      <c r="B144" s="29" t="inlineStr">
        <is>
          <t>2026-02-16</t>
        </is>
      </c>
      <c r="C144" s="29" t="inlineStr">
        <is>
          <t>Dixie Sodek</t>
        </is>
      </c>
      <c r="D144" s="29" t="inlineStr">
        <is>
          <t>efectivo</t>
        </is>
      </c>
      <c r="E144" s="29" t="inlineStr">
        <is>
          <t>Farmacia/Shop</t>
        </is>
      </c>
      <c r="F144" s="31" t="n">
        <v>2100</v>
      </c>
      <c r="G144" s="29" t="n"/>
      <c r="H144" s="29" t="n"/>
      <c r="I144" s="29" t="n"/>
    </row>
    <row r="145" ht="18" customHeight="1" s="149">
      <c r="A145" s="32" t="n">
        <v>142</v>
      </c>
      <c r="B145" s="32" t="inlineStr">
        <is>
          <t>2026-02-16</t>
        </is>
      </c>
      <c r="C145" s="32" t="inlineStr">
        <is>
          <t>Dixie Sodek</t>
        </is>
      </c>
      <c r="D145" s="32" t="inlineStr">
        <is>
          <t>baño medicado</t>
        </is>
      </c>
      <c r="E145" s="32" t="inlineStr">
        <is>
          <t>Grooming</t>
        </is>
      </c>
      <c r="F145" s="33" t="n">
        <v>1000</v>
      </c>
      <c r="G145" s="32" t="inlineStr">
        <is>
          <t>efectivo</t>
        </is>
      </c>
      <c r="H145" s="32" t="inlineStr">
        <is>
          <t>Leydeli</t>
        </is>
      </c>
      <c r="I145" s="32" t="inlineStr">
        <is>
          <t>Venta shampoo medicado VF ($1,300) + Pads de 30 ($800)</t>
        </is>
      </c>
    </row>
    <row r="146" ht="18" customHeight="1" s="149">
      <c r="A146" s="7" t="n">
        <v>143</v>
      </c>
      <c r="B146" s="7" t="inlineStr">
        <is>
          <t>2026-02-16</t>
        </is>
      </c>
      <c r="C146" s="7" t="inlineStr">
        <is>
          <t>Zoe</t>
        </is>
      </c>
      <c r="D146" s="7" t="inlineStr">
        <is>
          <t>baño pequeño</t>
        </is>
      </c>
      <c r="E146" s="7" t="inlineStr">
        <is>
          <t>Grooming</t>
        </is>
      </c>
      <c r="F146" s="35" t="n">
        <v>799</v>
      </c>
      <c r="G146" s="7" t="inlineStr">
        <is>
          <t>reservas</t>
        </is>
      </c>
      <c r="H146" s="7" t="inlineStr">
        <is>
          <t>Leydeli</t>
        </is>
      </c>
      <c r="I146" s="7" t="n"/>
    </row>
    <row r="147" ht="18" customHeight="1" s="149">
      <c r="A147" s="32" t="n">
        <v>144</v>
      </c>
      <c r="B147" s="32" t="inlineStr">
        <is>
          <t>2026-02-15</t>
        </is>
      </c>
      <c r="C147" s="32" t="inlineStr">
        <is>
          <t>Copito Perez</t>
        </is>
      </c>
      <c r="D147" s="32" t="inlineStr">
        <is>
          <t>Consulta ($1,500) + Toma de muestra ($1,200)</t>
        </is>
      </c>
      <c r="E147" s="32" t="inlineStr">
        <is>
          <t>Veterinaria</t>
        </is>
      </c>
      <c r="F147" s="33" t="n">
        <v>2700</v>
      </c>
      <c r="G147" s="32" t="n"/>
      <c r="H147" s="32" t="n"/>
      <c r="I147" s="32" t="n"/>
    </row>
    <row r="148" ht="18" customHeight="1" s="149">
      <c r="A148" s="7" t="n">
        <v>145</v>
      </c>
      <c r="B148" s="7" t="inlineStr">
        <is>
          <t>2026-02-15</t>
        </is>
      </c>
      <c r="C148" s="7" t="inlineStr">
        <is>
          <t>Copito Perez</t>
        </is>
      </c>
      <c r="D148" s="7" t="inlineStr">
        <is>
          <t>baño medicado + corte completo</t>
        </is>
      </c>
      <c r="E148" s="7" t="inlineStr">
        <is>
          <t>Grooming</t>
        </is>
      </c>
      <c r="F148" s="35" t="n">
        <v>1749</v>
      </c>
      <c r="G148" s="7" t="inlineStr">
        <is>
          <t>reservas Victor</t>
        </is>
      </c>
      <c r="H148" s="7" t="inlineStr">
        <is>
          <t>Leydeli</t>
        </is>
      </c>
      <c r="I148" s="7" t="inlineStr">
        <is>
          <t>Venta solucion otica</t>
        </is>
      </c>
    </row>
    <row r="149" ht="18" customHeight="1" s="149">
      <c r="A149" s="32" t="n">
        <v>146</v>
      </c>
      <c r="B149" s="32" t="inlineStr">
        <is>
          <t>2026-02-15</t>
        </is>
      </c>
      <c r="C149" s="32" t="inlineStr">
        <is>
          <t>Copito Perez</t>
        </is>
      </c>
      <c r="D149" s="32" t="inlineStr">
        <is>
          <t>reservas Victor</t>
        </is>
      </c>
      <c r="E149" s="32" t="inlineStr">
        <is>
          <t>Farmacia/Shop</t>
        </is>
      </c>
      <c r="F149" s="33" t="n">
        <v>600</v>
      </c>
      <c r="G149" s="32" t="n"/>
      <c r="H149" s="32" t="n"/>
      <c r="I149" s="32" t="n"/>
    </row>
    <row r="150" ht="18" customHeight="1" s="149">
      <c r="A150" s="7" t="n">
        <v>147</v>
      </c>
      <c r="B150" s="7" t="inlineStr">
        <is>
          <t>2026-02-15</t>
        </is>
      </c>
      <c r="C150" s="7" t="inlineStr">
        <is>
          <t>Niko Nuñez</t>
        </is>
      </c>
      <c r="D150" s="7" t="inlineStr">
        <is>
          <t>corte de uña</t>
        </is>
      </c>
      <c r="E150" s="7" t="inlineStr">
        <is>
          <t>Grooming</t>
        </is>
      </c>
      <c r="F150" s="35" t="n">
        <v>300</v>
      </c>
      <c r="G150" s="7" t="inlineStr">
        <is>
          <t>efectivo</t>
        </is>
      </c>
      <c r="H150" s="7" t="inlineStr">
        <is>
          <t>Leydeli</t>
        </is>
      </c>
      <c r="I150" s="7" t="n"/>
    </row>
    <row r="151" ht="18" customHeight="1" s="149">
      <c r="A151" s="32" t="n">
        <v>148</v>
      </c>
      <c r="B151" s="32" t="inlineStr">
        <is>
          <t>2026-02-15</t>
        </is>
      </c>
      <c r="C151" s="32" t="inlineStr">
        <is>
          <t>Niko Nuñez</t>
        </is>
      </c>
      <c r="D151" s="32" t="inlineStr">
        <is>
          <t>Consulta ($1,500) +Vacuna rabia ($1,500) + Vacuna quintuple ($1,200)</t>
        </is>
      </c>
      <c r="E151" s="32" t="inlineStr">
        <is>
          <t>Veterinaria</t>
        </is>
      </c>
      <c r="F151" s="33" t="n">
        <v>4200</v>
      </c>
      <c r="G151" s="32" t="n"/>
      <c r="H151" s="32" t="n"/>
      <c r="I151" s="32" t="n"/>
    </row>
    <row r="152" ht="18" customHeight="1" s="149">
      <c r="A152" s="7" t="n">
        <v>149</v>
      </c>
      <c r="B152" s="7" t="inlineStr">
        <is>
          <t>2026-02-14</t>
        </is>
      </c>
      <c r="C152" s="7" t="inlineStr">
        <is>
          <t>Shayna Sanchez</t>
        </is>
      </c>
      <c r="D152" s="7" t="inlineStr">
        <is>
          <t>baño medicado</t>
        </is>
      </c>
      <c r="E152" s="7" t="inlineStr">
        <is>
          <t>Grooming</t>
        </is>
      </c>
      <c r="F152" s="35" t="n">
        <v>1000</v>
      </c>
      <c r="G152" s="7" t="inlineStr">
        <is>
          <t>reservas</t>
        </is>
      </c>
      <c r="H152" s="7" t="inlineStr">
        <is>
          <t>Laura</t>
        </is>
      </c>
      <c r="I152" s="7" t="n"/>
    </row>
    <row r="153" ht="18" customHeight="1" s="149">
      <c r="A153" s="32" t="n">
        <v>150</v>
      </c>
      <c r="B153" s="32" t="inlineStr">
        <is>
          <t>2026-02-14</t>
        </is>
      </c>
      <c r="C153" s="32" t="inlineStr">
        <is>
          <t>Cocha</t>
        </is>
      </c>
      <c r="D153" s="32" t="inlineStr">
        <is>
          <t>baño pequeño + corte completo</t>
        </is>
      </c>
      <c r="E153" s="32" t="inlineStr">
        <is>
          <t>Grooming</t>
        </is>
      </c>
      <c r="F153" s="33" t="n">
        <v>1548</v>
      </c>
      <c r="G153" s="32" t="inlineStr">
        <is>
          <t>efectivo</t>
        </is>
      </c>
      <c r="H153" s="32" t="inlineStr">
        <is>
          <t>Leydeli</t>
        </is>
      </c>
      <c r="I153" s="32" t="n"/>
    </row>
    <row r="154" ht="18" customHeight="1" s="149">
      <c r="A154" s="7" t="n">
        <v>151</v>
      </c>
      <c r="B154" s="7" t="inlineStr">
        <is>
          <t>2026-02-14</t>
        </is>
      </c>
      <c r="C154" s="7" t="inlineStr">
        <is>
          <t>Nick Ortiz</t>
        </is>
      </c>
      <c r="D154" s="7" t="inlineStr">
        <is>
          <t>baño pequeño + corte completo</t>
        </is>
      </c>
      <c r="E154" s="7" t="inlineStr">
        <is>
          <t>Grooming</t>
        </is>
      </c>
      <c r="F154" s="35" t="n">
        <v>1393</v>
      </c>
      <c r="G154" s="7" t="inlineStr">
        <is>
          <t>popular</t>
        </is>
      </c>
      <c r="H154" s="7" t="inlineStr">
        <is>
          <t>Laura</t>
        </is>
      </c>
      <c r="I154" s="7" t="inlineStr">
        <is>
          <t>10% OFF/ $200 PROPINA ALEXANDER</t>
        </is>
      </c>
    </row>
    <row r="155" ht="18" customHeight="1" s="149">
      <c r="A155" s="32" t="n">
        <v>152</v>
      </c>
      <c r="B155" s="32" t="inlineStr">
        <is>
          <t>2026-02-14</t>
        </is>
      </c>
      <c r="C155" s="32" t="inlineStr">
        <is>
          <t>Cleo Martinez</t>
        </is>
      </c>
      <c r="D155" s="32" t="inlineStr">
        <is>
          <t>baño pequeño con linea + corte completo</t>
        </is>
      </c>
      <c r="E155" s="32" t="inlineStr">
        <is>
          <t>Grooming</t>
        </is>
      </c>
      <c r="F155" s="33" t="n">
        <v>1748</v>
      </c>
      <c r="G155" s="32" t="inlineStr">
        <is>
          <t>popular</t>
        </is>
      </c>
      <c r="H155" s="32" t="inlineStr">
        <is>
          <t>Laura</t>
        </is>
      </c>
      <c r="I155" s="32" t="n"/>
    </row>
    <row r="156" ht="18" customHeight="1" s="149">
      <c r="A156" s="29" t="n">
        <v>153</v>
      </c>
      <c r="B156" s="29" t="inlineStr">
        <is>
          <t>2026-02-14</t>
        </is>
      </c>
      <c r="C156" s="29" t="inlineStr">
        <is>
          <t>Nick Ortiz</t>
        </is>
      </c>
      <c r="D156" s="29" t="inlineStr">
        <is>
          <t>popular</t>
        </is>
      </c>
      <c r="E156" s="29" t="inlineStr">
        <is>
          <t>Farmacia/Shop</t>
        </is>
      </c>
      <c r="F156" s="31" t="n">
        <v>200</v>
      </c>
      <c r="G156" s="29" t="n"/>
      <c r="H156" s="29" t="n"/>
      <c r="I156" s="29" t="n"/>
    </row>
    <row r="157" ht="18" customHeight="1" s="149">
      <c r="A157" s="32" t="n">
        <v>154</v>
      </c>
      <c r="B157" s="32" t="inlineStr">
        <is>
          <t>2026-02-14</t>
        </is>
      </c>
      <c r="C157" s="32" t="inlineStr">
        <is>
          <t>Bella Mejia</t>
        </is>
      </c>
      <c r="D157" s="32" t="inlineStr">
        <is>
          <t>baño pequeño con linea</t>
        </is>
      </c>
      <c r="E157" s="32" t="inlineStr">
        <is>
          <t>Grooming</t>
        </is>
      </c>
      <c r="F157" s="33" t="n">
        <v>799</v>
      </c>
      <c r="G157" s="32" t="inlineStr">
        <is>
          <t>efectivo</t>
        </is>
      </c>
      <c r="H157" s="32" t="inlineStr">
        <is>
          <t>Laura</t>
        </is>
      </c>
      <c r="I157" s="32" t="inlineStr">
        <is>
          <t>Se cobro como baño normal por San valentin. Compro training pads 1x50</t>
        </is>
      </c>
    </row>
    <row r="158" ht="18" customHeight="1" s="149">
      <c r="A158" s="29" t="n">
        <v>155</v>
      </c>
      <c r="B158" s="29" t="inlineStr">
        <is>
          <t>2026-02-14</t>
        </is>
      </c>
      <c r="C158" s="29" t="inlineStr">
        <is>
          <t>Bella Mejia</t>
        </is>
      </c>
      <c r="D158" s="29" t="inlineStr">
        <is>
          <t>efectivo</t>
        </is>
      </c>
      <c r="E158" s="29" t="inlineStr">
        <is>
          <t>Farmacia/Shop</t>
        </is>
      </c>
      <c r="F158" s="31" t="n">
        <v>1100</v>
      </c>
      <c r="G158" s="29" t="n"/>
      <c r="H158" s="29" t="n"/>
      <c r="I158" s="29" t="n"/>
    </row>
    <row r="159" ht="18" customHeight="1" s="149">
      <c r="A159" s="32" t="n">
        <v>156</v>
      </c>
      <c r="B159" s="32" t="inlineStr">
        <is>
          <t>2026-02-14</t>
        </is>
      </c>
      <c r="C159" s="32" t="inlineStr">
        <is>
          <t>Kira</t>
        </is>
      </c>
      <c r="D159" s="32" t="inlineStr">
        <is>
          <t>Bordetella ($1400)</t>
        </is>
      </c>
      <c r="E159" s="32" t="inlineStr">
        <is>
          <t>Veterinaria</t>
        </is>
      </c>
      <c r="F159" s="33" t="n">
        <v>1400</v>
      </c>
      <c r="G159" s="32" t="n"/>
      <c r="H159" s="32" t="n"/>
      <c r="I159" s="32" t="n"/>
    </row>
    <row r="160" ht="18" customHeight="1" s="149">
      <c r="A160" s="27" t="n">
        <v>157</v>
      </c>
      <c r="B160" s="27" t="inlineStr">
        <is>
          <t>2026-02-14</t>
        </is>
      </c>
      <c r="C160" s="27" t="inlineStr">
        <is>
          <t>Niko</t>
        </is>
      </c>
      <c r="D160" s="27" t="inlineStr">
        <is>
          <t>Bordetella ($1400)</t>
        </is>
      </c>
      <c r="E160" s="27" t="inlineStr">
        <is>
          <t>Veterinaria</t>
        </is>
      </c>
      <c r="F160" s="34" t="n">
        <v>1400</v>
      </c>
      <c r="G160" s="27" t="n"/>
      <c r="H160" s="27" t="n"/>
      <c r="I160" s="27" t="n"/>
    </row>
    <row r="161" ht="18" customHeight="1" s="149">
      <c r="A161" s="32" t="n">
        <v>158</v>
      </c>
      <c r="B161" s="32" t="inlineStr">
        <is>
          <t>2026-02-12</t>
        </is>
      </c>
      <c r="C161" s="32" t="inlineStr">
        <is>
          <t>Lola</t>
        </is>
      </c>
      <c r="D161" s="32" t="inlineStr">
        <is>
          <t>baño pequeño + corte higienico</t>
        </is>
      </c>
      <c r="E161" s="32" t="inlineStr">
        <is>
          <t>Grooming</t>
        </is>
      </c>
      <c r="F161" s="33" t="n">
        <v>1289</v>
      </c>
      <c r="G161" s="32" t="n"/>
      <c r="H161" s="32" t="n"/>
      <c r="I161" s="32" t="n"/>
    </row>
    <row r="162" ht="18" customHeight="1" s="149">
      <c r="A162" s="7" t="n">
        <v>159</v>
      </c>
      <c r="B162" s="7" t="inlineStr">
        <is>
          <t>2026-02-12</t>
        </is>
      </c>
      <c r="C162" s="7" t="inlineStr">
        <is>
          <t>Thor</t>
        </is>
      </c>
      <c r="D162" s="7" t="inlineStr">
        <is>
          <t>baño pequeño + corte completo</t>
        </is>
      </c>
      <c r="E162" s="7" t="inlineStr">
        <is>
          <t>Grooming</t>
        </is>
      </c>
      <c r="F162" s="35" t="n">
        <v>1548</v>
      </c>
      <c r="G162" s="7" t="inlineStr">
        <is>
          <t>popular</t>
        </is>
      </c>
      <c r="H162" s="7" t="inlineStr">
        <is>
          <t>Laura</t>
        </is>
      </c>
      <c r="I162" s="7" t="n"/>
    </row>
    <row r="163" ht="18" customHeight="1" s="149">
      <c r="A163" s="32" t="n">
        <v>160</v>
      </c>
      <c r="B163" s="32" t="inlineStr">
        <is>
          <t>2026-02-12</t>
        </is>
      </c>
      <c r="C163" s="32" t="inlineStr">
        <is>
          <t>Benji Sanchez</t>
        </is>
      </c>
      <c r="D163" s="32" t="inlineStr">
        <is>
          <t>Vacuna Giardia ($1450), sextuple ($1470), bordetella ($1400)</t>
        </is>
      </c>
      <c r="E163" s="32" t="inlineStr">
        <is>
          <t>Veterinaria</t>
        </is>
      </c>
      <c r="F163" s="33" t="n">
        <v>4320</v>
      </c>
      <c r="G163" s="32" t="n"/>
      <c r="H163" s="32" t="n"/>
      <c r="I163" s="32" t="n"/>
    </row>
    <row r="164" ht="18" customHeight="1" s="149">
      <c r="A164" s="29" t="n">
        <v>161</v>
      </c>
      <c r="B164" s="29" t="inlineStr">
        <is>
          <t>2026-02-12</t>
        </is>
      </c>
      <c r="C164" s="29" t="inlineStr">
        <is>
          <t>Benji Sanchez</t>
        </is>
      </c>
      <c r="D164" s="29" t="inlineStr">
        <is>
          <t>trasferencia</t>
        </is>
      </c>
      <c r="E164" s="29" t="inlineStr">
        <is>
          <t>Farmacia/Shop</t>
        </is>
      </c>
      <c r="F164" s="31" t="n">
        <v>340</v>
      </c>
      <c r="G164" s="29" t="n"/>
      <c r="H164" s="29" t="n"/>
      <c r="I164" s="29" t="n"/>
    </row>
    <row r="165" ht="18" customHeight="1" s="149">
      <c r="A165" s="32" t="n">
        <v>162</v>
      </c>
      <c r="B165" s="32" t="inlineStr">
        <is>
          <t>2026-02-11</t>
        </is>
      </c>
      <c r="C165" s="32" t="inlineStr">
        <is>
          <t>Coffe  Martes</t>
        </is>
      </c>
      <c r="D165" s="32" t="inlineStr">
        <is>
          <t>efectivo</t>
        </is>
      </c>
      <c r="E165" s="32" t="inlineStr">
        <is>
          <t>Farmacia/Shop</t>
        </is>
      </c>
      <c r="F165" s="33" t="n">
        <v>1345</v>
      </c>
      <c r="G165" s="32" t="n"/>
      <c r="H165" s="32" t="n"/>
      <c r="I165" s="32" t="n"/>
    </row>
    <row r="166" ht="18" customHeight="1" s="149">
      <c r="A166" s="7" t="n">
        <v>163</v>
      </c>
      <c r="B166" s="7" t="inlineStr">
        <is>
          <t>2026-02-11</t>
        </is>
      </c>
      <c r="C166" s="7" t="inlineStr">
        <is>
          <t>Doky  Melendez</t>
        </is>
      </c>
      <c r="D166" s="7" t="inlineStr">
        <is>
          <t>baño pequeño + corte completo</t>
        </is>
      </c>
      <c r="E166" s="7" t="inlineStr">
        <is>
          <t>Grooming</t>
        </is>
      </c>
      <c r="F166" s="35" t="n">
        <v>1548</v>
      </c>
      <c r="G166" s="7" t="inlineStr">
        <is>
          <t>efectivo</t>
        </is>
      </c>
      <c r="H166" s="7" t="inlineStr">
        <is>
          <t>Leydeli Aybar</t>
        </is>
      </c>
      <c r="I166" s="7" t="n"/>
    </row>
    <row r="167" ht="18" customHeight="1" s="149">
      <c r="A167" s="32" t="n">
        <v>164</v>
      </c>
      <c r="B167" s="32" t="inlineStr">
        <is>
          <t>2026-02-09</t>
        </is>
      </c>
      <c r="C167" s="32" t="inlineStr">
        <is>
          <t>Luna  (Pomeranera)</t>
        </is>
      </c>
      <c r="D167" s="32" t="inlineStr">
        <is>
          <t>efectivo</t>
        </is>
      </c>
      <c r="E167" s="32" t="inlineStr">
        <is>
          <t>Farmacia/Shop</t>
        </is>
      </c>
      <c r="F167" s="33" t="n">
        <v>100</v>
      </c>
      <c r="G167" s="32" t="n"/>
      <c r="H167" s="32" t="n"/>
      <c r="I167" s="32" t="n"/>
    </row>
    <row r="168" ht="18" customHeight="1" s="149">
      <c r="A168" s="7" t="n">
        <v>165</v>
      </c>
      <c r="B168" s="7" t="inlineStr">
        <is>
          <t>2026-02-09</t>
        </is>
      </c>
      <c r="C168" s="7" t="inlineStr">
        <is>
          <t>Luna  (Pomeranera)</t>
        </is>
      </c>
      <c r="D168" s="7" t="inlineStr">
        <is>
          <t>baño cachoro + corte completo</t>
        </is>
      </c>
      <c r="E168" s="7" t="inlineStr">
        <is>
          <t>Grooming</t>
        </is>
      </c>
      <c r="F168" s="35" t="n">
        <v>1448</v>
      </c>
      <c r="G168" s="7" t="inlineStr">
        <is>
          <t>efectivo</t>
        </is>
      </c>
      <c r="H168" s="7" t="inlineStr">
        <is>
          <t>Alexander</t>
        </is>
      </c>
      <c r="I168" s="7" t="inlineStr">
        <is>
          <t>venta de palita recogedora</t>
        </is>
      </c>
    </row>
    <row r="169" ht="18" customHeight="1" s="149">
      <c r="A169" s="32" t="n">
        <v>166</v>
      </c>
      <c r="B169" s="32" t="inlineStr">
        <is>
          <t>2026-02-08</t>
        </is>
      </c>
      <c r="C169" s="32" t="inlineStr">
        <is>
          <t>Abril  Rosario</t>
        </is>
      </c>
      <c r="D169" s="32" t="inlineStr">
        <is>
          <t>baño para cachoro</t>
        </is>
      </c>
      <c r="E169" s="32" t="inlineStr">
        <is>
          <t>Grooming</t>
        </is>
      </c>
      <c r="F169" s="33" t="n">
        <v>699</v>
      </c>
      <c r="G169" s="32" t="n"/>
      <c r="H169" s="32" t="inlineStr">
        <is>
          <t>Alexander</t>
        </is>
      </c>
      <c r="I169" s="32" t="n"/>
    </row>
    <row r="170" ht="18" customHeight="1" s="149">
      <c r="A170" s="7" t="n">
        <v>167</v>
      </c>
      <c r="B170" s="7" t="inlineStr">
        <is>
          <t>2026-02-08</t>
        </is>
      </c>
      <c r="C170" s="7" t="inlineStr">
        <is>
          <t>Zeus Perez</t>
        </is>
      </c>
      <c r="D170" s="7" t="inlineStr">
        <is>
          <t>baño grande deslanado</t>
        </is>
      </c>
      <c r="E170" s="7" t="inlineStr">
        <is>
          <t>Grooming</t>
        </is>
      </c>
      <c r="F170" s="35" t="n">
        <v>1839</v>
      </c>
      <c r="G170" s="7" t="inlineStr">
        <is>
          <t>banreservas</t>
        </is>
      </c>
      <c r="H170" s="7" t="inlineStr">
        <is>
          <t>Alexander</t>
        </is>
      </c>
      <c r="I170" s="7" t="n"/>
    </row>
    <row r="171" ht="18" customHeight="1" s="149">
      <c r="A171" s="32" t="n">
        <v>168</v>
      </c>
      <c r="B171" s="32" t="inlineStr">
        <is>
          <t>2026-02-08</t>
        </is>
      </c>
      <c r="C171" s="32" t="inlineStr">
        <is>
          <t>Coco Marrero</t>
        </is>
      </c>
      <c r="D171" s="32" t="inlineStr">
        <is>
          <t>baño Pequeño</t>
        </is>
      </c>
      <c r="E171" s="32" t="inlineStr">
        <is>
          <t>Grooming</t>
        </is>
      </c>
      <c r="F171" s="33" t="n">
        <v>799</v>
      </c>
      <c r="G171" s="32" t="inlineStr">
        <is>
          <t>banreservas</t>
        </is>
      </c>
      <c r="H171" s="32" t="inlineStr">
        <is>
          <t>Alexander</t>
        </is>
      </c>
      <c r="I171" s="32" t="n"/>
    </row>
    <row r="172" ht="18" customHeight="1" s="149">
      <c r="A172" s="29" t="n">
        <v>169</v>
      </c>
      <c r="B172" s="29" t="inlineStr">
        <is>
          <t>2026-02-07</t>
        </is>
      </c>
      <c r="C172" s="29" t="inlineStr">
        <is>
          <t>Rocky</t>
        </is>
      </c>
      <c r="D172" s="29" t="inlineStr">
        <is>
          <t>reservas</t>
        </is>
      </c>
      <c r="E172" s="29" t="inlineStr">
        <is>
          <t>Farmacia/Shop</t>
        </is>
      </c>
      <c r="F172" s="31" t="n">
        <v>528</v>
      </c>
      <c r="G172" s="29" t="n"/>
      <c r="H172" s="29" t="n"/>
      <c r="I172" s="29" t="n"/>
    </row>
    <row r="173" ht="18" customHeight="1" s="149">
      <c r="A173" s="32" t="n">
        <v>170</v>
      </c>
      <c r="B173" s="32" t="inlineStr">
        <is>
          <t>2026-02-07</t>
        </is>
      </c>
      <c r="C173" s="32" t="inlineStr">
        <is>
          <t>Karim Plasencia</t>
        </is>
      </c>
      <c r="D173" s="32" t="inlineStr">
        <is>
          <t>baño medicado</t>
        </is>
      </c>
      <c r="E173" s="32" t="inlineStr">
        <is>
          <t>Grooming</t>
        </is>
      </c>
      <c r="F173" s="33" t="n">
        <v>950</v>
      </c>
      <c r="G173" s="32" t="inlineStr">
        <is>
          <t>reservas</t>
        </is>
      </c>
      <c r="H173" s="32" t="inlineStr">
        <is>
          <t>Laura</t>
        </is>
      </c>
      <c r="I173" s="32" t="n"/>
    </row>
    <row r="174" ht="18" customHeight="1" s="149">
      <c r="A174" s="7" t="n">
        <v>171</v>
      </c>
      <c r="B174" s="7" t="inlineStr">
        <is>
          <t>2026-02-07</t>
        </is>
      </c>
      <c r="C174" s="7" t="inlineStr">
        <is>
          <t>Candy</t>
        </is>
      </c>
      <c r="D174" s="7" t="inlineStr">
        <is>
          <t>corte higienico</t>
        </is>
      </c>
      <c r="E174" s="7" t="inlineStr">
        <is>
          <t>Grooming</t>
        </is>
      </c>
      <c r="F174" s="35" t="n">
        <v>490</v>
      </c>
      <c r="G174" s="7" t="inlineStr">
        <is>
          <t>efectivo</t>
        </is>
      </c>
      <c r="H174" s="7" t="inlineStr">
        <is>
          <t>Laura</t>
        </is>
      </c>
      <c r="I174" s="7" t="n"/>
    </row>
    <row r="175" ht="18" customHeight="1" s="149">
      <c r="A175" s="32" t="n">
        <v>172</v>
      </c>
      <c r="B175" s="32" t="inlineStr">
        <is>
          <t>2026-02-07</t>
        </is>
      </c>
      <c r="C175" s="32" t="inlineStr">
        <is>
          <t>Marcos Suazo</t>
        </is>
      </c>
      <c r="D175" s="32" t="inlineStr">
        <is>
          <t>baño pequeño + corte higienico</t>
        </is>
      </c>
      <c r="E175" s="32" t="inlineStr">
        <is>
          <t>Grooming</t>
        </is>
      </c>
      <c r="F175" s="33" t="n">
        <v>1095</v>
      </c>
      <c r="G175" s="32" t="n"/>
      <c r="H175" s="32" t="n"/>
      <c r="I175" s="32" t="inlineStr">
        <is>
          <t>15% OFF por cumpleaños</t>
        </is>
      </c>
    </row>
    <row r="176" ht="18" customHeight="1" s="149">
      <c r="A176" s="7" t="n">
        <v>173</v>
      </c>
      <c r="B176" s="7" t="inlineStr">
        <is>
          <t>2026-02-07</t>
        </is>
      </c>
      <c r="C176" s="7" t="inlineStr">
        <is>
          <t>Mila Bisonó</t>
        </is>
      </c>
      <c r="D176" s="7" t="inlineStr">
        <is>
          <t>baño pequeño</t>
        </is>
      </c>
      <c r="E176" s="7" t="inlineStr">
        <is>
          <t>Grooming</t>
        </is>
      </c>
      <c r="F176" s="35" t="n">
        <v>799</v>
      </c>
      <c r="G176" s="7" t="inlineStr">
        <is>
          <t>popular</t>
        </is>
      </c>
      <c r="H176" s="7" t="inlineStr">
        <is>
          <t>Laura</t>
        </is>
      </c>
      <c r="I176" s="7" t="n"/>
    </row>
    <row r="177" ht="18" customHeight="1" s="149">
      <c r="A177" s="32" t="n">
        <v>174</v>
      </c>
      <c r="B177" s="32" t="inlineStr">
        <is>
          <t>2026-02-07</t>
        </is>
      </c>
      <c r="C177" s="32" t="inlineStr">
        <is>
          <t>Rocky</t>
        </is>
      </c>
      <c r="D177" s="32" t="inlineStr">
        <is>
          <t>Consulta ($1,500) + Toma de muestra ($1,200)</t>
        </is>
      </c>
      <c r="E177" s="32" t="inlineStr">
        <is>
          <t>Veterinaria</t>
        </is>
      </c>
      <c r="F177" s="33" t="n">
        <v>2700</v>
      </c>
      <c r="G177" s="32" t="n"/>
      <c r="H177" s="32" t="n"/>
      <c r="I177" s="32" t="n"/>
    </row>
    <row r="178" ht="18" customHeight="1" s="149">
      <c r="A178" s="27" t="n">
        <v>175</v>
      </c>
      <c r="B178" s="27" t="inlineStr">
        <is>
          <t>2026-02-07</t>
        </is>
      </c>
      <c r="C178" s="27" t="inlineStr">
        <is>
          <t>Luna Gabriel</t>
        </is>
      </c>
      <c r="D178" s="27" t="inlineStr">
        <is>
          <t>Consulta</t>
        </is>
      </c>
      <c r="E178" s="27" t="inlineStr">
        <is>
          <t>Veterinaria</t>
        </is>
      </c>
      <c r="F178" s="34" t="n">
        <v>1350</v>
      </c>
      <c r="G178" s="27" t="n"/>
      <c r="H178" s="27" t="n"/>
      <c r="I178" s="27" t="n"/>
    </row>
    <row r="179" ht="18" customHeight="1" s="149">
      <c r="A179" s="32" t="n">
        <v>176</v>
      </c>
      <c r="B179" s="32" t="inlineStr">
        <is>
          <t>2026-02-07</t>
        </is>
      </c>
      <c r="C179" s="32" t="inlineStr">
        <is>
          <t>Coco Gabriel</t>
        </is>
      </c>
      <c r="D179" s="32" t="inlineStr">
        <is>
          <t>Consulta ($1,350) + Vacuna quintuple ($1,080)</t>
        </is>
      </c>
      <c r="E179" s="32" t="inlineStr">
        <is>
          <t>Veterinaria</t>
        </is>
      </c>
      <c r="F179" s="33" t="n">
        <v>2430</v>
      </c>
      <c r="G179" s="32" t="n"/>
      <c r="H179" s="32" t="n"/>
      <c r="I179" s="32" t="n"/>
    </row>
    <row r="180" ht="18" customHeight="1" s="149">
      <c r="A180" s="7" t="n">
        <v>177</v>
      </c>
      <c r="B180" s="7" t="inlineStr">
        <is>
          <t>2026-02-06</t>
        </is>
      </c>
      <c r="C180" s="7" t="inlineStr">
        <is>
          <t>Rocco</t>
        </is>
      </c>
      <c r="D180" s="7" t="inlineStr">
        <is>
          <t>baño pequeño + corte completo</t>
        </is>
      </c>
      <c r="E180" s="7" t="inlineStr">
        <is>
          <t>Grooming</t>
        </is>
      </c>
      <c r="F180" s="35" t="n">
        <v>1548</v>
      </c>
      <c r="G180" s="7" t="inlineStr">
        <is>
          <t>popular</t>
        </is>
      </c>
      <c r="H180" s="7" t="inlineStr">
        <is>
          <t>Laura</t>
        </is>
      </c>
      <c r="I180" s="7" t="n"/>
    </row>
    <row r="181" ht="18" customHeight="1" s="149">
      <c r="A181" s="32" t="n">
        <v>178</v>
      </c>
      <c r="B181" s="32" t="inlineStr">
        <is>
          <t>2026-02-04</t>
        </is>
      </c>
      <c r="C181" s="32" t="inlineStr">
        <is>
          <t>Shyguy</t>
        </is>
      </c>
      <c r="D181" s="32" t="inlineStr">
        <is>
          <t>Consulta ($1500) + Vacuna Rabia ($1500)</t>
        </is>
      </c>
      <c r="E181" s="32" t="inlineStr">
        <is>
          <t>Veterinaria</t>
        </is>
      </c>
      <c r="F181" s="33" t="n">
        <v>3000</v>
      </c>
      <c r="G181" s="32" t="n"/>
      <c r="H181" s="32" t="n"/>
      <c r="I181" s="32" t="n"/>
    </row>
    <row r="182" ht="18" customHeight="1" s="149">
      <c r="A182" s="7" t="n">
        <v>179</v>
      </c>
      <c r="B182" s="7" t="inlineStr">
        <is>
          <t>2026-02-01</t>
        </is>
      </c>
      <c r="C182" s="7" t="inlineStr">
        <is>
          <t>Esmeralda</t>
        </is>
      </c>
      <c r="D182" s="7" t="inlineStr">
        <is>
          <t>baño pequeño + corte higienico</t>
        </is>
      </c>
      <c r="E182" s="7" t="inlineStr">
        <is>
          <t>Grooming</t>
        </is>
      </c>
      <c r="F182" s="35" t="n">
        <v>1289</v>
      </c>
      <c r="G182" s="7" t="inlineStr">
        <is>
          <t>reservas</t>
        </is>
      </c>
      <c r="H182" s="7" t="inlineStr">
        <is>
          <t>Leydeli</t>
        </is>
      </c>
      <c r="I182" s="7" t="n"/>
    </row>
    <row r="183" ht="18" customHeight="1" s="149">
      <c r="A183" s="32" t="n">
        <v>180</v>
      </c>
      <c r="B183" s="32" t="inlineStr">
        <is>
          <t>2026-02-01</t>
        </is>
      </c>
      <c r="C183" s="32" t="inlineStr">
        <is>
          <t>Melody</t>
        </is>
      </c>
      <c r="D183" s="32" t="inlineStr">
        <is>
          <t>efectivo</t>
        </is>
      </c>
      <c r="E183" s="32" t="inlineStr">
        <is>
          <t>Farmacia/Shop</t>
        </is>
      </c>
      <c r="F183" s="33" t="n">
        <v>1145</v>
      </c>
      <c r="G183" s="32" t="n"/>
      <c r="H183" s="32" t="n"/>
      <c r="I183" s="32" t="n"/>
    </row>
    <row r="184" ht="18" customHeight="1" s="149">
      <c r="A184" s="7" t="n">
        <v>181</v>
      </c>
      <c r="B184" s="7" t="inlineStr">
        <is>
          <t>2026-02-01</t>
        </is>
      </c>
      <c r="C184" s="7" t="inlineStr">
        <is>
          <t>Bella Martinez</t>
        </is>
      </c>
      <c r="D184" s="7" t="inlineStr">
        <is>
          <t>baño pequeño + corte higienico</t>
        </is>
      </c>
      <c r="E184" s="7" t="inlineStr">
        <is>
          <t>Grooming</t>
        </is>
      </c>
      <c r="F184" s="35" t="n">
        <v>1289</v>
      </c>
      <c r="G184" s="7" t="inlineStr">
        <is>
          <t>efectivo</t>
        </is>
      </c>
      <c r="H184" s="7" t="inlineStr">
        <is>
          <t>Leydeli</t>
        </is>
      </c>
      <c r="I184" s="7" t="n"/>
    </row>
    <row r="185" ht="18" customHeight="1" s="149">
      <c r="A185" s="32" t="n">
        <v>182</v>
      </c>
      <c r="B185" s="32" t="inlineStr">
        <is>
          <t>2026-01-31</t>
        </is>
      </c>
      <c r="C185" s="32" t="inlineStr">
        <is>
          <t>Bruddy Santos</t>
        </is>
      </c>
      <c r="D185" s="32" t="inlineStr">
        <is>
          <t>baño pequeño + corte completo</t>
        </is>
      </c>
      <c r="E185" s="32" t="inlineStr">
        <is>
          <t>Grooming</t>
        </is>
      </c>
      <c r="F185" s="33" t="n">
        <v>1548</v>
      </c>
      <c r="G185" s="32" t="inlineStr">
        <is>
          <t>reservas</t>
        </is>
      </c>
      <c r="H185" s="32" t="inlineStr">
        <is>
          <t>Laura</t>
        </is>
      </c>
      <c r="I185" s="32" t="n"/>
    </row>
    <row r="186" ht="18" customHeight="1" s="149">
      <c r="A186" s="7" t="n">
        <v>183</v>
      </c>
      <c r="B186" s="7" t="inlineStr">
        <is>
          <t>2026-01-31</t>
        </is>
      </c>
      <c r="C186" s="7" t="inlineStr">
        <is>
          <t>Matiu Peña</t>
        </is>
      </c>
      <c r="D186" s="7" t="inlineStr">
        <is>
          <t>baño pequeño + corte completo</t>
        </is>
      </c>
      <c r="E186" s="7" t="inlineStr">
        <is>
          <t>Grooming</t>
        </is>
      </c>
      <c r="F186" s="35" t="n">
        <v>1548</v>
      </c>
      <c r="G186" s="7" t="inlineStr">
        <is>
          <t>efectivo</t>
        </is>
      </c>
      <c r="H186" s="7" t="inlineStr">
        <is>
          <t>Laura</t>
        </is>
      </c>
      <c r="I186" s="7" t="n"/>
    </row>
    <row r="187" ht="18" customHeight="1" s="149">
      <c r="A187" s="32" t="n">
        <v>184</v>
      </c>
      <c r="B187" s="32" t="inlineStr">
        <is>
          <t>2026-01-31</t>
        </is>
      </c>
      <c r="C187" s="32" t="inlineStr">
        <is>
          <t>Mia Pon Sanchez</t>
        </is>
      </c>
      <c r="D187" s="32" t="inlineStr">
        <is>
          <t>baño pequeño + corte completo</t>
        </is>
      </c>
      <c r="E187" s="32" t="inlineStr">
        <is>
          <t>Grooming</t>
        </is>
      </c>
      <c r="F187" s="33" t="n">
        <v>1393</v>
      </c>
      <c r="G187" s="32" t="inlineStr">
        <is>
          <t>popular</t>
        </is>
      </c>
      <c r="H187" s="32" t="inlineStr">
        <is>
          <t>Laura</t>
        </is>
      </c>
      <c r="I187" s="32" t="inlineStr">
        <is>
          <t>10% OFF</t>
        </is>
      </c>
    </row>
    <row r="188" ht="18" customHeight="1" s="149">
      <c r="A188" s="29" t="n">
        <v>185</v>
      </c>
      <c r="B188" s="29" t="inlineStr">
        <is>
          <t>2026-01-30</t>
        </is>
      </c>
      <c r="C188" s="29" t="inlineStr">
        <is>
          <t>Tuti</t>
        </is>
      </c>
      <c r="D188" s="29" t="inlineStr">
        <is>
          <t>reservas</t>
        </is>
      </c>
      <c r="E188" s="29" t="inlineStr">
        <is>
          <t>Farmacia/Shop</t>
        </is>
      </c>
      <c r="F188" s="31" t="n">
        <v>1475</v>
      </c>
      <c r="G188" s="29" t="n"/>
      <c r="H188" s="29" t="n"/>
      <c r="I188" s="29" t="n"/>
    </row>
    <row r="189" ht="18" customHeight="1" s="149">
      <c r="A189" s="32" t="n">
        <v>186</v>
      </c>
      <c r="B189" s="32" t="inlineStr">
        <is>
          <t>2026-01-30</t>
        </is>
      </c>
      <c r="C189" s="32" t="inlineStr">
        <is>
          <t>Tuti</t>
        </is>
      </c>
      <c r="D189" s="32" t="inlineStr">
        <is>
          <t>baño pequeño</t>
        </is>
      </c>
      <c r="E189" s="32" t="inlineStr">
        <is>
          <t>Grooming</t>
        </is>
      </c>
      <c r="F189" s="33" t="n">
        <v>799</v>
      </c>
      <c r="G189" s="32" t="inlineStr">
        <is>
          <t>reservas</t>
        </is>
      </c>
      <c r="H189" s="32" t="inlineStr">
        <is>
          <t>Laura</t>
        </is>
      </c>
      <c r="I189" s="32" t="inlineStr">
        <is>
          <t>Nexgard</t>
        </is>
      </c>
    </row>
    <row r="190" ht="18" customHeight="1" s="149">
      <c r="A190" s="7" t="n">
        <v>187</v>
      </c>
      <c r="B190" s="7" t="inlineStr">
        <is>
          <t>2026-01-29</t>
        </is>
      </c>
      <c r="C190" s="7" t="inlineStr">
        <is>
          <t>Luna Chervinsky</t>
        </is>
      </c>
      <c r="D190" s="7" t="inlineStr">
        <is>
          <t>baño pequeño</t>
        </is>
      </c>
      <c r="E190" s="7" t="inlineStr">
        <is>
          <t>Grooming</t>
        </is>
      </c>
      <c r="F190" s="35" t="n">
        <v>799</v>
      </c>
      <c r="G190" s="7" t="inlineStr">
        <is>
          <t>reservas</t>
        </is>
      </c>
      <c r="H190" s="7" t="inlineStr">
        <is>
          <t>Laura</t>
        </is>
      </c>
      <c r="I190" s="7" t="n"/>
    </row>
    <row r="191" ht="18" customHeight="1" s="149">
      <c r="A191" s="32" t="n">
        <v>188</v>
      </c>
      <c r="B191" s="32" t="inlineStr">
        <is>
          <t>2026-01-29</t>
        </is>
      </c>
      <c r="C191" s="32" t="inlineStr">
        <is>
          <t>Doki Melendez</t>
        </is>
      </c>
      <c r="D191" s="32" t="inlineStr">
        <is>
          <t>baño pequeño + corte higienico</t>
        </is>
      </c>
      <c r="E191" s="32" t="inlineStr">
        <is>
          <t>Grooming</t>
        </is>
      </c>
      <c r="F191" s="33" t="n">
        <v>1289</v>
      </c>
      <c r="G191" s="32" t="inlineStr">
        <is>
          <t>efectivo</t>
        </is>
      </c>
      <c r="H191" s="32" t="inlineStr">
        <is>
          <t>Laura</t>
        </is>
      </c>
      <c r="I191" s="32" t="n"/>
    </row>
    <row r="192" ht="18" customHeight="1" s="149">
      <c r="A192" s="29" t="n">
        <v>189</v>
      </c>
      <c r="B192" s="29" t="inlineStr">
        <is>
          <t>2026-01-29</t>
        </is>
      </c>
      <c r="C192" s="29" t="inlineStr">
        <is>
          <t>Max Dalis Parra</t>
        </is>
      </c>
      <c r="D192" s="29" t="inlineStr">
        <is>
          <t>efectivo</t>
        </is>
      </c>
      <c r="E192" s="29" t="inlineStr">
        <is>
          <t>Farmacia/Shop</t>
        </is>
      </c>
      <c r="F192" s="31" t="n">
        <v>1345</v>
      </c>
      <c r="G192" s="29" t="n"/>
      <c r="H192" s="29" t="n"/>
      <c r="I192" s="29" t="n"/>
    </row>
    <row r="193" ht="18" customHeight="1" s="149">
      <c r="A193" s="32" t="n">
        <v>190</v>
      </c>
      <c r="B193" s="32" t="inlineStr">
        <is>
          <t>2026-01-29</t>
        </is>
      </c>
      <c r="C193" s="32" t="inlineStr">
        <is>
          <t>Max Dalis Parra</t>
        </is>
      </c>
      <c r="D193" s="32" t="inlineStr">
        <is>
          <t>baño pequeño + corte completo</t>
        </is>
      </c>
      <c r="E193" s="32" t="inlineStr">
        <is>
          <t>Grooming</t>
        </is>
      </c>
      <c r="F193" s="33" t="n">
        <v>1548</v>
      </c>
      <c r="G193" s="32" t="inlineStr">
        <is>
          <t>efectivo</t>
        </is>
      </c>
      <c r="H193" s="32" t="inlineStr">
        <is>
          <t>Laura</t>
        </is>
      </c>
      <c r="I193" s="32" t="inlineStr">
        <is>
          <t>Nexgard</t>
        </is>
      </c>
    </row>
    <row r="194" ht="18" customHeight="1" s="149">
      <c r="A194" s="7" t="n">
        <v>191</v>
      </c>
      <c r="B194" s="7" t="inlineStr">
        <is>
          <t>2026-01-28</t>
        </is>
      </c>
      <c r="C194" s="7" t="inlineStr">
        <is>
          <t>Shyguy</t>
        </is>
      </c>
      <c r="D194" s="7" t="inlineStr">
        <is>
          <t>baño pequeño + desenrede</t>
        </is>
      </c>
      <c r="E194" s="7" t="inlineStr">
        <is>
          <t>Grooming</t>
        </is>
      </c>
      <c r="F194" s="35" t="n">
        <v>1340</v>
      </c>
      <c r="G194" s="7" t="inlineStr">
        <is>
          <t>reservas</t>
        </is>
      </c>
      <c r="H194" s="7" t="inlineStr">
        <is>
          <t>Laura</t>
        </is>
      </c>
      <c r="I194" s="7" t="inlineStr">
        <is>
          <t>10% OFF</t>
        </is>
      </c>
    </row>
    <row r="195" ht="18" customHeight="1" s="149">
      <c r="A195" s="32" t="n">
        <v>192</v>
      </c>
      <c r="B195" s="32" t="inlineStr">
        <is>
          <t>2026-01-25</t>
        </is>
      </c>
      <c r="C195" s="32" t="inlineStr">
        <is>
          <t>Milo</t>
        </is>
      </c>
      <c r="D195" s="32" t="inlineStr">
        <is>
          <t>baño pequeño</t>
        </is>
      </c>
      <c r="E195" s="32" t="inlineStr">
        <is>
          <t>Grooming</t>
        </is>
      </c>
      <c r="F195" s="33" t="n">
        <v>1340</v>
      </c>
      <c r="G195" s="32" t="inlineStr">
        <is>
          <t>reservas</t>
        </is>
      </c>
      <c r="H195" s="32" t="inlineStr">
        <is>
          <t>Laura</t>
        </is>
      </c>
      <c r="I195" s="32" t="inlineStr">
        <is>
          <t>10% OFF</t>
        </is>
      </c>
    </row>
    <row r="196" ht="18" customHeight="1" s="149">
      <c r="A196" s="7" t="n">
        <v>193</v>
      </c>
      <c r="B196" s="7" t="inlineStr">
        <is>
          <t>2026-01-25</t>
        </is>
      </c>
      <c r="C196" s="7" t="inlineStr">
        <is>
          <t>Teddy</t>
        </is>
      </c>
      <c r="D196" s="7" t="inlineStr">
        <is>
          <t>baño pequeño + corte higienico</t>
        </is>
      </c>
      <c r="E196" s="7" t="inlineStr">
        <is>
          <t>Grooming</t>
        </is>
      </c>
      <c r="F196" s="35" t="n">
        <v>1289</v>
      </c>
      <c r="G196" s="7" t="inlineStr">
        <is>
          <t>popular</t>
        </is>
      </c>
      <c r="H196" s="7" t="inlineStr">
        <is>
          <t>Laura</t>
        </is>
      </c>
      <c r="I196" s="7" t="n"/>
    </row>
    <row r="197" ht="18" customHeight="1" s="149">
      <c r="A197" s="32" t="n">
        <v>194</v>
      </c>
      <c r="B197" s="32" t="inlineStr">
        <is>
          <t>2026-01-24</t>
        </is>
      </c>
      <c r="C197" s="32" t="inlineStr">
        <is>
          <t>Lali Galvez</t>
        </is>
      </c>
      <c r="D197" s="32" t="inlineStr">
        <is>
          <t>popular</t>
        </is>
      </c>
      <c r="E197" s="32" t="inlineStr">
        <is>
          <t>Farmacia/Shop</t>
        </is>
      </c>
      <c r="F197" s="33" t="n">
        <v>470</v>
      </c>
      <c r="G197" s="32" t="n"/>
      <c r="H197" s="32" t="n"/>
      <c r="I197" s="32" t="n"/>
    </row>
    <row r="198" ht="18" customHeight="1" s="149">
      <c r="A198" s="27" t="n">
        <v>195</v>
      </c>
      <c r="B198" s="27" t="inlineStr">
        <is>
          <t>2026-01-24</t>
        </is>
      </c>
      <c r="C198" s="27" t="inlineStr">
        <is>
          <t>Lali Galvez</t>
        </is>
      </c>
      <c r="D198" s="27" t="inlineStr">
        <is>
          <t>Consulta ($1,350) + Vacuna rabia ($1,350) + Vacuna Bordetella ($1,260)</t>
        </is>
      </c>
      <c r="E198" s="27" t="inlineStr">
        <is>
          <t>Veterinaria</t>
        </is>
      </c>
      <c r="F198" s="34" t="n">
        <v>3960</v>
      </c>
      <c r="G198" s="27" t="n"/>
      <c r="H198" s="27" t="n"/>
      <c r="I198" s="27" t="n"/>
    </row>
    <row r="199" ht="18" customHeight="1" s="149">
      <c r="A199" s="32" t="n">
        <v>196</v>
      </c>
      <c r="B199" s="32" t="inlineStr">
        <is>
          <t>2026-01-24</t>
        </is>
      </c>
      <c r="C199" s="32" t="inlineStr">
        <is>
          <t>Lulu Galvez</t>
        </is>
      </c>
      <c r="D199" s="32" t="inlineStr">
        <is>
          <t>Consulta ($1,350) + Vacuna rabia ($1,350) + Vacuna Bordetella ($1,260)</t>
        </is>
      </c>
      <c r="E199" s="32" t="inlineStr">
        <is>
          <t>Veterinaria</t>
        </is>
      </c>
      <c r="F199" s="33" t="n">
        <v>3960</v>
      </c>
      <c r="G199" s="32" t="n"/>
      <c r="H199" s="32" t="n"/>
      <c r="I199" s="32" t="n"/>
    </row>
    <row r="200" ht="18" customHeight="1" s="149">
      <c r="A200" s="7" t="n">
        <v>197</v>
      </c>
      <c r="B200" s="7" t="inlineStr">
        <is>
          <t>2026-01-24</t>
        </is>
      </c>
      <c r="C200" s="7" t="inlineStr">
        <is>
          <t>Karim Plasencia</t>
        </is>
      </c>
      <c r="D200" s="7" t="inlineStr">
        <is>
          <t>baño medicado</t>
        </is>
      </c>
      <c r="E200" s="7" t="inlineStr">
        <is>
          <t>Grooming</t>
        </is>
      </c>
      <c r="F200" s="35" t="n">
        <v>950</v>
      </c>
      <c r="G200" s="7" t="inlineStr">
        <is>
          <t>reservas</t>
        </is>
      </c>
      <c r="H200" s="7" t="inlineStr">
        <is>
          <t>Laura</t>
        </is>
      </c>
      <c r="I200" s="7" t="n"/>
    </row>
    <row r="201" ht="18" customHeight="1" s="149">
      <c r="A201" s="32" t="n">
        <v>198</v>
      </c>
      <c r="B201" s="32" t="inlineStr">
        <is>
          <t>2026-01-24</t>
        </is>
      </c>
      <c r="C201" s="32" t="inlineStr">
        <is>
          <t>Lali Galvez</t>
        </is>
      </c>
      <c r="D201" s="32" t="inlineStr">
        <is>
          <t>baño pequeño</t>
        </is>
      </c>
      <c r="E201" s="32" t="inlineStr">
        <is>
          <t>Grooming</t>
        </is>
      </c>
      <c r="F201" s="33" t="n">
        <v>719</v>
      </c>
      <c r="G201" s="32" t="inlineStr">
        <is>
          <t>popular</t>
        </is>
      </c>
      <c r="H201" s="32" t="inlineStr">
        <is>
          <t>Laura</t>
        </is>
      </c>
      <c r="I201" s="32" t="inlineStr">
        <is>
          <t>10% OFF/ Letrero para el hogar ($470)</t>
        </is>
      </c>
    </row>
    <row r="202" ht="18" customHeight="1" s="149">
      <c r="A202" s="7" t="n">
        <v>199</v>
      </c>
      <c r="B202" s="7" t="inlineStr">
        <is>
          <t>2026-01-24</t>
        </is>
      </c>
      <c r="C202" s="7" t="inlineStr">
        <is>
          <t>Lulu Galvez</t>
        </is>
      </c>
      <c r="D202" s="7" t="inlineStr">
        <is>
          <t>baño pequeño</t>
        </is>
      </c>
      <c r="E202" s="7" t="inlineStr">
        <is>
          <t>Grooming</t>
        </is>
      </c>
      <c r="F202" s="35" t="n">
        <v>719</v>
      </c>
      <c r="G202" s="7" t="n"/>
      <c r="H202" s="7" t="n"/>
      <c r="I202" s="7" t="n"/>
    </row>
    <row r="203" ht="18" customHeight="1" s="149">
      <c r="A203" s="32" t="n">
        <v>200</v>
      </c>
      <c r="B203" s="32" t="inlineStr">
        <is>
          <t>2026-01-24</t>
        </is>
      </c>
      <c r="C203" s="32" t="inlineStr">
        <is>
          <t>Daiky</t>
        </is>
      </c>
      <c r="D203" s="32" t="inlineStr">
        <is>
          <t>baño pequeño + corte completo</t>
        </is>
      </c>
      <c r="E203" s="32" t="inlineStr">
        <is>
          <t>Grooming</t>
        </is>
      </c>
      <c r="F203" s="33" t="n">
        <v>1548</v>
      </c>
      <c r="G203" s="32" t="inlineStr">
        <is>
          <t>efectivo</t>
        </is>
      </c>
      <c r="H203" s="32" t="inlineStr">
        <is>
          <t>Laura</t>
        </is>
      </c>
      <c r="I203" s="32" t="n"/>
    </row>
    <row r="204" ht="18" customHeight="1" s="149">
      <c r="A204" s="7" t="n">
        <v>201</v>
      </c>
      <c r="B204" s="7" t="inlineStr">
        <is>
          <t>2026-01-24</t>
        </is>
      </c>
      <c r="C204" s="7" t="inlineStr">
        <is>
          <t>Nick Ortiz</t>
        </is>
      </c>
      <c r="D204" s="7" t="inlineStr">
        <is>
          <t>baño pequeño + corte completo</t>
        </is>
      </c>
      <c r="E204" s="7" t="inlineStr">
        <is>
          <t>Grooming</t>
        </is>
      </c>
      <c r="F204" s="35" t="n">
        <v>1393</v>
      </c>
      <c r="G204" s="7" t="inlineStr">
        <is>
          <t>popular</t>
        </is>
      </c>
      <c r="H204" s="7" t="inlineStr">
        <is>
          <t>Laura</t>
        </is>
      </c>
      <c r="I204" s="7" t="inlineStr">
        <is>
          <t>10% OFF/ Nexgard spectra ($1,475)/ 200 propina Alexander</t>
        </is>
      </c>
    </row>
    <row r="205" ht="18" customHeight="1" s="149">
      <c r="A205" s="32" t="n">
        <v>202</v>
      </c>
      <c r="B205" s="32" t="inlineStr">
        <is>
          <t>2026-01-24</t>
        </is>
      </c>
      <c r="C205" s="32" t="inlineStr">
        <is>
          <t>Kira Uri</t>
        </is>
      </c>
      <c r="D205" s="32" t="inlineStr">
        <is>
          <t>baño pequeño</t>
        </is>
      </c>
      <c r="E205" s="32" t="inlineStr">
        <is>
          <t>Grooming</t>
        </is>
      </c>
      <c r="F205" s="33" t="n">
        <v>799</v>
      </c>
      <c r="G205" s="32" t="inlineStr">
        <is>
          <t>popular</t>
        </is>
      </c>
      <c r="H205" s="32" t="inlineStr">
        <is>
          <t>Laura</t>
        </is>
      </c>
      <c r="I205" s="32" t="n"/>
    </row>
    <row r="206" ht="18" customHeight="1" s="149">
      <c r="A206" s="29" t="n">
        <v>203</v>
      </c>
      <c r="B206" s="29" t="inlineStr">
        <is>
          <t>2026-01-24</t>
        </is>
      </c>
      <c r="C206" s="29" t="inlineStr">
        <is>
          <t>Nick Ortiz</t>
        </is>
      </c>
      <c r="D206" s="29" t="inlineStr">
        <is>
          <t>popular</t>
        </is>
      </c>
      <c r="E206" s="29" t="inlineStr">
        <is>
          <t>Farmacia/Shop</t>
        </is>
      </c>
      <c r="F206" s="31" t="n">
        <v>1675</v>
      </c>
      <c r="G206" s="29" t="n"/>
      <c r="H206" s="29" t="n"/>
      <c r="I206" s="29" t="n"/>
    </row>
    <row r="207" ht="18" customHeight="1" s="149">
      <c r="A207" s="32" t="n">
        <v>204</v>
      </c>
      <c r="B207" s="32" t="inlineStr">
        <is>
          <t>2026-01-24</t>
        </is>
      </c>
      <c r="C207" s="32" t="inlineStr">
        <is>
          <t>Roky Villar</t>
        </is>
      </c>
      <c r="D207" s="32" t="inlineStr">
        <is>
          <t>baño pequeño + corte higienico</t>
        </is>
      </c>
      <c r="E207" s="32" t="inlineStr">
        <is>
          <t>Grooming</t>
        </is>
      </c>
      <c r="F207" s="33" t="n">
        <v>1289</v>
      </c>
      <c r="G207" s="32" t="inlineStr">
        <is>
          <t>popular</t>
        </is>
      </c>
      <c r="H207" s="32" t="inlineStr">
        <is>
          <t>Laura</t>
        </is>
      </c>
      <c r="I207" s="32" t="n"/>
    </row>
    <row r="208" ht="18" customHeight="1" s="149">
      <c r="A208" s="29" t="n">
        <v>205</v>
      </c>
      <c r="B208" s="29" t="inlineStr">
        <is>
          <t>2026-01-23</t>
        </is>
      </c>
      <c r="C208" s="29" t="inlineStr">
        <is>
          <t>Toby</t>
        </is>
      </c>
      <c r="D208" s="29" t="inlineStr">
        <is>
          <t>efectivo</t>
        </is>
      </c>
      <c r="E208" s="29" t="inlineStr">
        <is>
          <t>Farmacia/Shop</t>
        </is>
      </c>
      <c r="F208" s="31" t="n">
        <v>2495</v>
      </c>
      <c r="G208" s="29" t="n"/>
      <c r="H208" s="29" t="n"/>
      <c r="I208" s="29" t="n"/>
    </row>
    <row r="209" ht="18" customHeight="1" s="149">
      <c r="A209" s="32" t="n">
        <v>206</v>
      </c>
      <c r="B209" s="32" t="inlineStr">
        <is>
          <t>2026-01-23</t>
        </is>
      </c>
      <c r="C209" s="32" t="inlineStr">
        <is>
          <t>Silver Henriquez</t>
        </is>
      </c>
      <c r="D209" s="32" t="inlineStr">
        <is>
          <t>Consulta ($1,500) + Vacuna triple ($1,300)</t>
        </is>
      </c>
      <c r="E209" s="32" t="inlineStr">
        <is>
          <t>Veterinaria</t>
        </is>
      </c>
      <c r="F209" s="33" t="n">
        <v>2800</v>
      </c>
      <c r="G209" s="32" t="n"/>
      <c r="H209" s="32" t="n"/>
      <c r="I209" s="32" t="n"/>
    </row>
    <row r="210" ht="18" customHeight="1" s="149">
      <c r="A210" s="27" t="n">
        <v>207</v>
      </c>
      <c r="B210" s="27" t="inlineStr">
        <is>
          <t>2026-01-23</t>
        </is>
      </c>
      <c r="C210" s="27" t="inlineStr">
        <is>
          <t>Canela Infante</t>
        </is>
      </c>
      <c r="D210" s="27" t="inlineStr">
        <is>
          <t>Consulta (1,500) + Vacuna rabia ($1,500) + Vacuna quintuple ($1,200)</t>
        </is>
      </c>
      <c r="E210" s="27" t="inlineStr">
        <is>
          <t>Veterinaria</t>
        </is>
      </c>
      <c r="F210" s="34" t="n">
        <v>4200</v>
      </c>
      <c r="G210" s="27" t="n"/>
      <c r="H210" s="27" t="n"/>
      <c r="I210" s="27" t="n"/>
    </row>
    <row r="211" ht="18" customHeight="1" s="149">
      <c r="A211" s="32" t="n">
        <v>208</v>
      </c>
      <c r="B211" s="32" t="inlineStr">
        <is>
          <t>2026-01-23</t>
        </is>
      </c>
      <c r="C211" s="32" t="inlineStr">
        <is>
          <t>Lola Aristy</t>
        </is>
      </c>
      <c r="D211" s="32" t="inlineStr">
        <is>
          <t>baño pequeño + corte higienico</t>
        </is>
      </c>
      <c r="E211" s="32" t="inlineStr">
        <is>
          <t>Grooming</t>
        </is>
      </c>
      <c r="F211" s="33" t="n">
        <v>1289</v>
      </c>
      <c r="G211" s="32" t="n"/>
      <c r="H211" s="32" t="n"/>
      <c r="I211" s="32" t="n"/>
    </row>
    <row r="212" ht="18" customHeight="1" s="149">
      <c r="A212" s="7" t="n">
        <v>209</v>
      </c>
      <c r="B212" s="7" t="inlineStr">
        <is>
          <t>2026-01-23</t>
        </is>
      </c>
      <c r="C212" s="7" t="inlineStr">
        <is>
          <t>Thor Aristy</t>
        </is>
      </c>
      <c r="D212" s="7" t="inlineStr">
        <is>
          <t>baño pequeño + corte higienico</t>
        </is>
      </c>
      <c r="E212" s="7" t="inlineStr">
        <is>
          <t>Grooming</t>
        </is>
      </c>
      <c r="F212" s="35" t="n">
        <v>1289</v>
      </c>
      <c r="G212" s="7" t="inlineStr">
        <is>
          <t>popular</t>
        </is>
      </c>
      <c r="H212" s="7" t="inlineStr">
        <is>
          <t>Laura</t>
        </is>
      </c>
      <c r="I212" s="7" t="n"/>
    </row>
    <row r="213" ht="18" customHeight="1" s="149">
      <c r="A213" s="32" t="n">
        <v>210</v>
      </c>
      <c r="B213" s="32" t="inlineStr">
        <is>
          <t>2026-01-22</t>
        </is>
      </c>
      <c r="C213" s="32" t="inlineStr">
        <is>
          <t>Ferxxi Rocha</t>
        </is>
      </c>
      <c r="D213" s="32" t="inlineStr">
        <is>
          <t>baño pequeño</t>
        </is>
      </c>
      <c r="E213" s="32" t="inlineStr">
        <is>
          <t>Grooming</t>
        </is>
      </c>
      <c r="F213" s="33" t="n">
        <v>799</v>
      </c>
      <c r="G213" s="32" t="inlineStr">
        <is>
          <t>popular (victor)</t>
        </is>
      </c>
      <c r="H213" s="32" t="inlineStr">
        <is>
          <t>Laura</t>
        </is>
      </c>
      <c r="I213" s="32" t="n"/>
    </row>
    <row r="214" ht="18" customHeight="1" s="149">
      <c r="A214" s="7" t="n">
        <v>211</v>
      </c>
      <c r="B214" s="7" t="inlineStr">
        <is>
          <t>2026-01-18</t>
        </is>
      </c>
      <c r="C214" s="7" t="inlineStr">
        <is>
          <t>Bruno</t>
        </is>
      </c>
      <c r="D214" s="7" t="inlineStr">
        <is>
          <t>baño pequeño</t>
        </is>
      </c>
      <c r="E214" s="7" t="inlineStr">
        <is>
          <t>Grooming</t>
        </is>
      </c>
      <c r="F214" s="35" t="n">
        <v>799</v>
      </c>
      <c r="G214" s="7" t="inlineStr">
        <is>
          <t>popular</t>
        </is>
      </c>
      <c r="H214" s="7" t="n"/>
      <c r="I214" s="7" t="inlineStr">
        <is>
          <t>Accesorio</t>
        </is>
      </c>
    </row>
    <row r="215" ht="18" customHeight="1" s="149">
      <c r="A215" s="32" t="n">
        <v>212</v>
      </c>
      <c r="B215" s="32" t="inlineStr">
        <is>
          <t>2026-01-18</t>
        </is>
      </c>
      <c r="C215" s="32" t="inlineStr">
        <is>
          <t>Ruthy Severino</t>
        </is>
      </c>
      <c r="D215" s="32" t="inlineStr">
        <is>
          <t>baño pequeño</t>
        </is>
      </c>
      <c r="E215" s="32" t="inlineStr">
        <is>
          <t>Grooming</t>
        </is>
      </c>
      <c r="F215" s="33" t="n">
        <v>799</v>
      </c>
      <c r="G215" s="32" t="inlineStr">
        <is>
          <t>popular</t>
        </is>
      </c>
      <c r="H215" s="32" t="n"/>
      <c r="I215" s="32" t="n"/>
    </row>
    <row r="216" ht="18" customHeight="1" s="149">
      <c r="A216" s="7" t="n">
        <v>213</v>
      </c>
      <c r="B216" s="7" t="inlineStr">
        <is>
          <t>2026-01-18</t>
        </is>
      </c>
      <c r="C216" s="7" t="inlineStr">
        <is>
          <t>Ares</t>
        </is>
      </c>
      <c r="D216" s="7" t="inlineStr">
        <is>
          <t>baño cachorro</t>
        </is>
      </c>
      <c r="E216" s="7" t="inlineStr">
        <is>
          <t>Grooming</t>
        </is>
      </c>
      <c r="F216" s="35" t="n">
        <v>699</v>
      </c>
      <c r="G216" s="7" t="inlineStr">
        <is>
          <t>reservas</t>
        </is>
      </c>
      <c r="H216" s="7" t="n"/>
      <c r="I216" s="7" t="inlineStr">
        <is>
          <t>Juguete ($120)</t>
        </is>
      </c>
    </row>
    <row r="217" ht="18" customHeight="1" s="149">
      <c r="A217" s="32" t="n">
        <v>214</v>
      </c>
      <c r="B217" s="32" t="inlineStr">
        <is>
          <t>2026-01-18</t>
        </is>
      </c>
      <c r="C217" s="32" t="inlineStr">
        <is>
          <t>Bruno</t>
        </is>
      </c>
      <c r="D217" s="32" t="inlineStr">
        <is>
          <t>reservas</t>
        </is>
      </c>
      <c r="E217" s="32" t="inlineStr">
        <is>
          <t>Farmacia/Shop</t>
        </is>
      </c>
      <c r="F217" s="33" t="n">
        <v>470</v>
      </c>
      <c r="G217" s="32" t="n"/>
      <c r="H217" s="32" t="n"/>
      <c r="I217" s="32" t="n"/>
    </row>
    <row r="218" ht="18" customHeight="1" s="149">
      <c r="A218" s="7" t="n">
        <v>215</v>
      </c>
      <c r="B218" s="7" t="inlineStr">
        <is>
          <t>2026-01-18</t>
        </is>
      </c>
      <c r="C218" s="7" t="inlineStr">
        <is>
          <t>Copito Perez</t>
        </is>
      </c>
      <c r="D218" s="7" t="inlineStr">
        <is>
          <t>baño medicado</t>
        </is>
      </c>
      <c r="E218" s="7" t="inlineStr">
        <is>
          <t>Grooming</t>
        </is>
      </c>
      <c r="F218" s="35" t="n">
        <v>1000</v>
      </c>
      <c r="G218" s="7" t="inlineStr">
        <is>
          <t>popular</t>
        </is>
      </c>
      <c r="H218" s="7" t="n"/>
      <c r="I218" s="7" t="n"/>
    </row>
    <row r="219" ht="18" customHeight="1" s="149">
      <c r="A219" s="32" t="n">
        <v>216</v>
      </c>
      <c r="B219" s="32" t="inlineStr">
        <is>
          <t>2026-01-18</t>
        </is>
      </c>
      <c r="C219" s="32" t="inlineStr">
        <is>
          <t>Ares</t>
        </is>
      </c>
      <c r="D219" s="32" t="inlineStr">
        <is>
          <t>reservas</t>
        </is>
      </c>
      <c r="E219" s="32" t="inlineStr">
        <is>
          <t>Farmacia/Shop</t>
        </is>
      </c>
      <c r="F219" s="33" t="n">
        <v>120</v>
      </c>
      <c r="G219" s="32" t="n"/>
      <c r="H219" s="32" t="n"/>
      <c r="I219" s="32" t="n"/>
    </row>
    <row r="220" ht="18" customHeight="1" s="149">
      <c r="A220" s="27" t="n">
        <v>217</v>
      </c>
      <c r="B220" s="27" t="inlineStr">
        <is>
          <t>2026-01-17</t>
        </is>
      </c>
      <c r="C220" s="27" t="inlineStr">
        <is>
          <t>Jimmy Henriquez</t>
        </is>
      </c>
      <c r="D220" s="27" t="inlineStr">
        <is>
          <t>Vacuna triple ($1,300) + Vacuna Rabia ($1,500)</t>
        </is>
      </c>
      <c r="E220" s="27" t="inlineStr">
        <is>
          <t>Veterinaria</t>
        </is>
      </c>
      <c r="F220" s="34" t="n">
        <v>2800</v>
      </c>
      <c r="G220" s="27" t="n"/>
      <c r="H220" s="27" t="n"/>
      <c r="I220" s="27" t="n"/>
    </row>
    <row r="221" ht="18" customHeight="1" s="149">
      <c r="A221" s="32" t="n">
        <v>218</v>
      </c>
      <c r="B221" s="32" t="inlineStr">
        <is>
          <t>2026-01-17</t>
        </is>
      </c>
      <c r="C221" s="32" t="inlineStr">
        <is>
          <t>Brownie</t>
        </is>
      </c>
      <c r="D221" s="32" t="inlineStr">
        <is>
          <t>baño pequeño con linea + corte higienico</t>
        </is>
      </c>
      <c r="E221" s="32" t="inlineStr">
        <is>
          <t>Grooming</t>
        </is>
      </c>
      <c r="F221" s="33" t="n">
        <v>1489</v>
      </c>
      <c r="G221" s="32" t="inlineStr">
        <is>
          <t>reservas</t>
        </is>
      </c>
      <c r="H221" s="32" t="n"/>
      <c r="I221" s="32" t="n"/>
    </row>
    <row r="222" ht="18" customHeight="1" s="149">
      <c r="A222" s="7" t="n">
        <v>219</v>
      </c>
      <c r="B222" s="7" t="inlineStr">
        <is>
          <t>2026-01-16</t>
        </is>
      </c>
      <c r="C222" s="7" t="inlineStr">
        <is>
          <t>Gucci</t>
        </is>
      </c>
      <c r="D222" s="7" t="inlineStr">
        <is>
          <t>baño pequeño + corte higienico</t>
        </is>
      </c>
      <c r="E222" s="7" t="inlineStr">
        <is>
          <t>Grooming</t>
        </is>
      </c>
      <c r="F222" s="35" t="n">
        <v>1289</v>
      </c>
      <c r="G222" s="7" t="n"/>
      <c r="H222" s="7" t="n"/>
      <c r="I222" s="7" t="n"/>
    </row>
    <row r="223" ht="18" customHeight="1" s="149">
      <c r="A223" s="32" t="n">
        <v>220</v>
      </c>
      <c r="B223" s="32" t="inlineStr">
        <is>
          <t>2026-01-15</t>
        </is>
      </c>
      <c r="C223" s="32" t="inlineStr">
        <is>
          <t>Mini</t>
        </is>
      </c>
      <c r="D223" s="32" t="inlineStr">
        <is>
          <t>baño pequeño y corte completo</t>
        </is>
      </c>
      <c r="E223" s="32" t="inlineStr">
        <is>
          <t>Grooming</t>
        </is>
      </c>
      <c r="F223" s="33" t="n">
        <v>1548</v>
      </c>
      <c r="G223" s="32" t="inlineStr">
        <is>
          <t>efectivo</t>
        </is>
      </c>
      <c r="H223" s="32" t="n"/>
      <c r="I223" s="32" t="n"/>
    </row>
    <row r="224" ht="18" customHeight="1" s="149">
      <c r="A224" s="7" t="n">
        <v>221</v>
      </c>
      <c r="B224" s="7" t="inlineStr">
        <is>
          <t>2026-01-15</t>
        </is>
      </c>
      <c r="C224" s="7" t="inlineStr">
        <is>
          <t>Mila Bisonó</t>
        </is>
      </c>
      <c r="D224" s="7" t="inlineStr">
        <is>
          <t>baño mediano</t>
        </is>
      </c>
      <c r="E224" s="7" t="inlineStr">
        <is>
          <t>Grooming</t>
        </is>
      </c>
      <c r="F224" s="35" t="n">
        <v>949</v>
      </c>
      <c r="G224" s="7" t="inlineStr">
        <is>
          <t>efectivo</t>
        </is>
      </c>
      <c r="H224" s="7" t="n"/>
      <c r="I224" s="7" t="n"/>
    </row>
    <row r="225" ht="18" customHeight="1" s="149">
      <c r="A225" s="32" t="n">
        <v>222</v>
      </c>
      <c r="B225" s="32" t="inlineStr">
        <is>
          <t>2026-01-15</t>
        </is>
      </c>
      <c r="C225" s="32" t="inlineStr">
        <is>
          <t>Gari 600</t>
        </is>
      </c>
      <c r="D225" s="32" t="inlineStr">
        <is>
          <t>reservas</t>
        </is>
      </c>
      <c r="E225" s="32" t="inlineStr">
        <is>
          <t>Farmacia/Shop</t>
        </is>
      </c>
      <c r="F225" s="33" t="n">
        <v>2595</v>
      </c>
      <c r="G225" s="32" t="n"/>
      <c r="H225" s="32" t="n"/>
      <c r="I225" s="32" t="n"/>
    </row>
    <row r="226" ht="18" customHeight="1" s="149">
      <c r="A226" s="7" t="n">
        <v>223</v>
      </c>
      <c r="B226" s="7" t="inlineStr">
        <is>
          <t>2026-01-15</t>
        </is>
      </c>
      <c r="C226" s="7" t="inlineStr">
        <is>
          <t>Gari 600</t>
        </is>
      </c>
      <c r="D226" s="7" t="inlineStr">
        <is>
          <t>baño pequeño</t>
        </is>
      </c>
      <c r="E226" s="7" t="inlineStr">
        <is>
          <t>Grooming</t>
        </is>
      </c>
      <c r="F226" s="35" t="n">
        <v>799</v>
      </c>
      <c r="G226" s="7" t="inlineStr">
        <is>
          <t>reservas</t>
        </is>
      </c>
      <c r="H226" s="7" t="n"/>
      <c r="I226" s="7" t="inlineStr">
        <is>
          <t>Bravecto</t>
        </is>
      </c>
    </row>
    <row r="227" ht="18" customHeight="1" s="149">
      <c r="A227" s="32" t="n">
        <v>224</v>
      </c>
      <c r="B227" s="32" t="inlineStr">
        <is>
          <t>2026-01-15</t>
        </is>
      </c>
      <c r="C227" s="32" t="inlineStr">
        <is>
          <t>Loly Josefina Tineo</t>
        </is>
      </c>
      <c r="D227" s="32" t="inlineStr">
        <is>
          <t>Producto farmacia</t>
        </is>
      </c>
      <c r="E227" s="32" t="inlineStr">
        <is>
          <t>Farmacia/Shop</t>
        </is>
      </c>
      <c r="F227" s="33" t="n">
        <v>200</v>
      </c>
      <c r="G227" s="32" t="n"/>
      <c r="H227" s="32" t="n"/>
      <c r="I227" s="32" t="n"/>
    </row>
    <row r="228" ht="18" customHeight="1" s="149">
      <c r="A228" s="7" t="n">
        <v>225</v>
      </c>
      <c r="B228" s="7" t="inlineStr">
        <is>
          <t>2026-01-15</t>
        </is>
      </c>
      <c r="C228" s="7" t="inlineStr">
        <is>
          <t>Loly Josefina Tineo</t>
        </is>
      </c>
      <c r="D228" s="7" t="inlineStr">
        <is>
          <t>baño pequeño + corte higienico</t>
        </is>
      </c>
      <c r="E228" s="7" t="inlineStr">
        <is>
          <t>Grooming</t>
        </is>
      </c>
      <c r="F228" s="35" t="n">
        <v>1289</v>
      </c>
      <c r="G228" s="7" t="inlineStr">
        <is>
          <t>efectivo</t>
        </is>
      </c>
      <c r="H228" s="7" t="n"/>
      <c r="I228" s="7" t="inlineStr">
        <is>
          <t>Pasta dental</t>
        </is>
      </c>
    </row>
    <row r="229" ht="18" customHeight="1" s="149">
      <c r="A229" s="32" t="n">
        <v>226</v>
      </c>
      <c r="B229" s="32" t="inlineStr">
        <is>
          <t>2026-01-15</t>
        </is>
      </c>
      <c r="C229" s="32" t="inlineStr">
        <is>
          <t>Nieves Ramirez</t>
        </is>
      </c>
      <c r="D229" s="32" t="inlineStr">
        <is>
          <t>baño pequeño</t>
        </is>
      </c>
      <c r="E229" s="32" t="inlineStr">
        <is>
          <t>Grooming</t>
        </is>
      </c>
      <c r="F229" s="33" t="n">
        <v>799</v>
      </c>
      <c r="G229" s="32" t="inlineStr">
        <is>
          <t>efectivo</t>
        </is>
      </c>
      <c r="H229" s="32" t="n"/>
      <c r="I229" s="32" t="n"/>
    </row>
    <row r="230" ht="18" customHeight="1" s="149">
      <c r="A230" s="7" t="n">
        <v>227</v>
      </c>
      <c r="B230" s="7" t="inlineStr">
        <is>
          <t>2026-01-14</t>
        </is>
      </c>
      <c r="C230" s="7" t="inlineStr">
        <is>
          <t>Estrellita Custodio</t>
        </is>
      </c>
      <c r="D230" s="7" t="inlineStr">
        <is>
          <t>baño pequeño + corte completo</t>
        </is>
      </c>
      <c r="E230" s="7" t="inlineStr">
        <is>
          <t>Grooming</t>
        </is>
      </c>
      <c r="F230" s="35" t="n">
        <v>1548</v>
      </c>
      <c r="G230" s="7" t="inlineStr">
        <is>
          <t>efectivo</t>
        </is>
      </c>
      <c r="H230" s="7" t="n"/>
      <c r="I230" s="7" t="n"/>
    </row>
    <row r="231" ht="18" customHeight="1" s="149">
      <c r="A231" s="32" t="n">
        <v>228</v>
      </c>
      <c r="B231" s="32" t="inlineStr">
        <is>
          <t>2026-01-14</t>
        </is>
      </c>
      <c r="C231" s="32" t="inlineStr">
        <is>
          <t>Lucky Sanchez</t>
        </is>
      </c>
      <c r="D231" s="32" t="inlineStr">
        <is>
          <t>baño pequeño + corte completo</t>
        </is>
      </c>
      <c r="E231" s="32" t="inlineStr">
        <is>
          <t>Grooming</t>
        </is>
      </c>
      <c r="F231" s="33" t="n">
        <v>1393</v>
      </c>
      <c r="G231" s="32" t="inlineStr">
        <is>
          <t>reservas</t>
        </is>
      </c>
      <c r="H231" s="32" t="n"/>
      <c r="I231" s="32" t="inlineStr">
        <is>
          <t>10% OFF/ Bravecto</t>
        </is>
      </c>
    </row>
    <row r="232" ht="18" customHeight="1" s="149">
      <c r="A232" s="29" t="n">
        <v>229</v>
      </c>
      <c r="B232" s="29" t="inlineStr">
        <is>
          <t>2026-01-14</t>
        </is>
      </c>
      <c r="C232" s="29" t="inlineStr">
        <is>
          <t>Lucky Sanchez</t>
        </is>
      </c>
      <c r="D232" s="29" t="inlineStr">
        <is>
          <t>2.335</t>
        </is>
      </c>
      <c r="E232" s="29" t="inlineStr">
        <is>
          <t>Farmacia/Shop</t>
        </is>
      </c>
      <c r="F232" s="31" t="n">
        <v>2595</v>
      </c>
      <c r="G232" s="29" t="n"/>
      <c r="H232" s="29" t="n"/>
      <c r="I232" s="29" t="n"/>
    </row>
    <row r="233" ht="18" customHeight="1" s="149">
      <c r="A233" s="32" t="n">
        <v>230</v>
      </c>
      <c r="B233" s="32" t="inlineStr">
        <is>
          <t>2026-01-14</t>
        </is>
      </c>
      <c r="C233" s="32" t="inlineStr">
        <is>
          <t>Rocco</t>
        </is>
      </c>
      <c r="D233" s="32" t="inlineStr">
        <is>
          <t>baño pequeño + corte completo</t>
        </is>
      </c>
      <c r="E233" s="32" t="inlineStr">
        <is>
          <t>Grooming</t>
        </is>
      </c>
      <c r="F233" s="33" t="n">
        <v>1548</v>
      </c>
      <c r="G233" s="32" t="inlineStr">
        <is>
          <t>popular</t>
        </is>
      </c>
      <c r="H233" s="32" t="n"/>
      <c r="I233" s="32" t="n"/>
    </row>
    <row r="234" ht="18" customHeight="1" s="149">
      <c r="A234" s="7" t="n">
        <v>231</v>
      </c>
      <c r="B234" s="7" t="inlineStr">
        <is>
          <t>2026-01-14</t>
        </is>
      </c>
      <c r="C234" s="7" t="inlineStr">
        <is>
          <t>Shayna Chavez</t>
        </is>
      </c>
      <c r="D234" s="7" t="inlineStr">
        <is>
          <t>baño pequeño + corte completo</t>
        </is>
      </c>
      <c r="E234" s="7" t="inlineStr">
        <is>
          <t>Grooming</t>
        </is>
      </c>
      <c r="F234" s="35" t="n">
        <v>1548</v>
      </c>
      <c r="G234" s="7" t="inlineStr">
        <is>
          <t>efectivo</t>
        </is>
      </c>
      <c r="H234" s="7" t="n"/>
      <c r="I234" s="7" t="n"/>
    </row>
    <row r="235" ht="18" customHeight="1" s="149">
      <c r="A235" s="32" t="n">
        <v>232</v>
      </c>
      <c r="B235" s="32" t="inlineStr">
        <is>
          <t>2026-01-11</t>
        </is>
      </c>
      <c r="C235" s="32" t="inlineStr">
        <is>
          <t>Benji Sanchez</t>
        </is>
      </c>
      <c r="D235" s="32" t="inlineStr">
        <is>
          <t>Consulta ($1,500) + Vacuna quintuple ($1,200)+ Vacuna Bordetella ($1400)</t>
        </is>
      </c>
      <c r="E235" s="32" t="inlineStr">
        <is>
          <t>Veterinaria</t>
        </is>
      </c>
      <c r="F235" s="33" t="n">
        <v>4100</v>
      </c>
      <c r="G235" s="32" t="n"/>
      <c r="H235" s="32" t="n"/>
      <c r="I235" s="32" t="n"/>
    </row>
    <row r="236" ht="18" customHeight="1" s="149">
      <c r="A236" s="29" t="n">
        <v>233</v>
      </c>
      <c r="B236" s="29" t="inlineStr">
        <is>
          <t>2026-01-11</t>
        </is>
      </c>
      <c r="C236" s="29" t="inlineStr">
        <is>
          <t>Benji Sanchez</t>
        </is>
      </c>
      <c r="D236" s="29" t="inlineStr">
        <is>
          <t>Producto farmacia</t>
        </is>
      </c>
      <c r="E236" s="29" t="inlineStr">
        <is>
          <t>Farmacia/Shop</t>
        </is>
      </c>
      <c r="F236" s="31" t="n">
        <v>895</v>
      </c>
      <c r="G236" s="29" t="n"/>
      <c r="H236" s="29" t="n"/>
      <c r="I236" s="29" t="n"/>
    </row>
    <row r="237" ht="18" customHeight="1" s="149">
      <c r="A237" s="32" t="n">
        <v>234</v>
      </c>
      <c r="B237" s="32" t="inlineStr">
        <is>
          <t>2026-01-11</t>
        </is>
      </c>
      <c r="C237" s="32" t="inlineStr">
        <is>
          <t>Max (Marcos)</t>
        </is>
      </c>
      <c r="D237" s="32" t="inlineStr">
        <is>
          <t>reservas Victor</t>
        </is>
      </c>
      <c r="E237" s="32" t="inlineStr">
        <is>
          <t>Farmacia/Shop</t>
        </is>
      </c>
      <c r="F237" s="33" t="n">
        <v>100</v>
      </c>
      <c r="G237" s="32" t="n"/>
      <c r="H237" s="32" t="n"/>
      <c r="I237" s="32" t="n"/>
    </row>
    <row r="238" ht="18" customHeight="1" s="149">
      <c r="A238" s="7" t="n">
        <v>235</v>
      </c>
      <c r="B238" s="7" t="inlineStr">
        <is>
          <t>2026-01-11</t>
        </is>
      </c>
      <c r="C238" s="7" t="inlineStr">
        <is>
          <t>Max (Marcos)</t>
        </is>
      </c>
      <c r="D238" s="7" t="inlineStr">
        <is>
          <t>baño pequeño</t>
        </is>
      </c>
      <c r="E238" s="7" t="inlineStr">
        <is>
          <t>Grooming</t>
        </is>
      </c>
      <c r="F238" s="35" t="n">
        <v>799</v>
      </c>
      <c r="G238" s="7" t="inlineStr">
        <is>
          <t>reservas Victor</t>
        </is>
      </c>
      <c r="H238" s="7" t="inlineStr">
        <is>
          <t>Laura</t>
        </is>
      </c>
      <c r="I238" s="7" t="inlineStr">
        <is>
          <t>Propina Alexander</t>
        </is>
      </c>
    </row>
    <row r="239" ht="18" customHeight="1" s="149">
      <c r="A239" s="32" t="n">
        <v>236</v>
      </c>
      <c r="B239" s="32" t="inlineStr">
        <is>
          <t>2026-01-11</t>
        </is>
      </c>
      <c r="C239" s="32" t="inlineStr">
        <is>
          <t>Luna De Leon</t>
        </is>
      </c>
      <c r="D239" s="32" t="inlineStr">
        <is>
          <t>efectivo</t>
        </is>
      </c>
      <c r="E239" s="32" t="inlineStr">
        <is>
          <t>Farmacia/Shop</t>
        </is>
      </c>
      <c r="F239" s="33" t="n">
        <v>120</v>
      </c>
      <c r="G239" s="32" t="n"/>
      <c r="H239" s="32" t="n"/>
      <c r="I239" s="32" t="n"/>
    </row>
    <row r="240" ht="18" customHeight="1" s="149">
      <c r="A240" s="7" t="n">
        <v>237</v>
      </c>
      <c r="B240" s="7" t="inlineStr">
        <is>
          <t>2026-01-11</t>
        </is>
      </c>
      <c r="C240" s="7" t="inlineStr">
        <is>
          <t>Luna De Leon</t>
        </is>
      </c>
      <c r="D240" s="7" t="inlineStr">
        <is>
          <t>baño cachorro</t>
        </is>
      </c>
      <c r="E240" s="7" t="inlineStr">
        <is>
          <t>Grooming</t>
        </is>
      </c>
      <c r="F240" s="35" t="n">
        <v>699</v>
      </c>
      <c r="G240" s="7" t="inlineStr">
        <is>
          <t>efectivo</t>
        </is>
      </c>
      <c r="H240" s="7" t="inlineStr">
        <is>
          <t>Laura</t>
        </is>
      </c>
      <c r="I240" s="7" t="inlineStr">
        <is>
          <t>Compro collar para gato</t>
        </is>
      </c>
    </row>
    <row r="241" ht="18" customHeight="1" s="149">
      <c r="A241" s="32" t="n">
        <v>238</v>
      </c>
      <c r="B241" s="32" t="inlineStr">
        <is>
          <t>2026-01-10</t>
        </is>
      </c>
      <c r="C241" s="32" t="inlineStr">
        <is>
          <t>Honey Taveras</t>
        </is>
      </c>
      <c r="D241" s="32" t="inlineStr">
        <is>
          <t>baño pequeño</t>
        </is>
      </c>
      <c r="E241" s="32" t="inlineStr">
        <is>
          <t>Grooming</t>
        </is>
      </c>
      <c r="F241" s="33" t="n">
        <v>799</v>
      </c>
      <c r="G241" s="32" t="n"/>
      <c r="H241" s="32" t="n"/>
      <c r="I241" s="32" t="n"/>
    </row>
    <row r="242" ht="18" customHeight="1" s="149">
      <c r="A242" s="7" t="n">
        <v>239</v>
      </c>
      <c r="B242" s="7" t="inlineStr">
        <is>
          <t>2026-01-10</t>
        </is>
      </c>
      <c r="C242" s="7" t="inlineStr">
        <is>
          <t>Cocha</t>
        </is>
      </c>
      <c r="D242" s="7" t="inlineStr">
        <is>
          <t>baño pequeño + corte completo</t>
        </is>
      </c>
      <c r="E242" s="7" t="inlineStr">
        <is>
          <t>Grooming</t>
        </is>
      </c>
      <c r="F242" s="35" t="n">
        <v>1500</v>
      </c>
      <c r="G242" s="7" t="inlineStr">
        <is>
          <t>efectivo</t>
        </is>
      </c>
      <c r="H242" s="7" t="inlineStr">
        <is>
          <t>Laura</t>
        </is>
      </c>
      <c r="I242" s="7" t="inlineStr">
        <is>
          <t>Laura le debe $48 a PC</t>
        </is>
      </c>
    </row>
    <row r="243" ht="18" customHeight="1" s="149">
      <c r="A243" s="32" t="n">
        <v>240</v>
      </c>
      <c r="B243" s="32" t="inlineStr">
        <is>
          <t>2026-01-10</t>
        </is>
      </c>
      <c r="C243" s="32" t="inlineStr">
        <is>
          <t>Nick Ortiz</t>
        </is>
      </c>
      <c r="D243" s="32" t="inlineStr">
        <is>
          <t>baño pequeño  + desenrede</t>
        </is>
      </c>
      <c r="E243" s="32" t="inlineStr">
        <is>
          <t>Grooming</t>
        </is>
      </c>
      <c r="F243" s="33" t="n">
        <v>1489</v>
      </c>
      <c r="G243" s="32" t="inlineStr">
        <is>
          <t>popular</t>
        </is>
      </c>
      <c r="H243" s="32" t="inlineStr">
        <is>
          <t>Laura</t>
        </is>
      </c>
      <c r="I243" s="32" t="inlineStr">
        <is>
          <t>Propina Alexander</t>
        </is>
      </c>
    </row>
    <row r="244" ht="18" customHeight="1" s="149">
      <c r="A244" s="7" t="n">
        <v>241</v>
      </c>
      <c r="B244" s="7" t="inlineStr">
        <is>
          <t>2026-01-10</t>
        </is>
      </c>
      <c r="C244" s="7" t="inlineStr">
        <is>
          <t>Kaki Taveras</t>
        </is>
      </c>
      <c r="D244" s="7" t="inlineStr">
        <is>
          <t>baño pequeño</t>
        </is>
      </c>
      <c r="E244" s="7" t="inlineStr">
        <is>
          <t>Grooming</t>
        </is>
      </c>
      <c r="F244" s="35" t="n">
        <v>799</v>
      </c>
      <c r="G244" s="7" t="inlineStr">
        <is>
          <t>popular/ Victor</t>
        </is>
      </c>
      <c r="H244" s="7" t="inlineStr">
        <is>
          <t>laura</t>
        </is>
      </c>
      <c r="I244" s="7" t="n"/>
    </row>
    <row r="245" ht="18" customHeight="1" s="149">
      <c r="A245" s="32" t="n">
        <v>242</v>
      </c>
      <c r="B245" s="32" t="inlineStr">
        <is>
          <t>2026-01-10</t>
        </is>
      </c>
      <c r="C245" s="32" t="inlineStr">
        <is>
          <t>Nick Ortiz</t>
        </is>
      </c>
      <c r="D245" s="32" t="inlineStr">
        <is>
          <t>popular</t>
        </is>
      </c>
      <c r="E245" s="32" t="inlineStr">
        <is>
          <t>Farmacia/Shop</t>
        </is>
      </c>
      <c r="F245" s="33" t="n">
        <v>300</v>
      </c>
      <c r="G245" s="32" t="n"/>
      <c r="H245" s="32" t="n"/>
      <c r="I245" s="32" t="n"/>
    </row>
    <row r="246" ht="18" customHeight="1" s="149">
      <c r="A246" s="7" t="n">
        <v>243</v>
      </c>
      <c r="B246" s="7" t="inlineStr">
        <is>
          <t>2026-01-10</t>
        </is>
      </c>
      <c r="C246" s="7" t="inlineStr">
        <is>
          <t>Tobby</t>
        </is>
      </c>
      <c r="D246" s="7" t="inlineStr">
        <is>
          <t>baño grande</t>
        </is>
      </c>
      <c r="E246" s="7" t="inlineStr">
        <is>
          <t>Grooming</t>
        </is>
      </c>
      <c r="F246" s="35" t="n">
        <v>1642</v>
      </c>
      <c r="G246" s="7" t="inlineStr">
        <is>
          <t>reservas</t>
        </is>
      </c>
      <c r="H246" s="7" t="inlineStr">
        <is>
          <t>Laura</t>
        </is>
      </c>
      <c r="I246" s="7" t="n"/>
    </row>
    <row r="247" ht="18" customHeight="1" s="149">
      <c r="A247" s="32" t="n">
        <v>244</v>
      </c>
      <c r="B247" s="32" t="inlineStr">
        <is>
          <t>2026-01-10</t>
        </is>
      </c>
      <c r="C247" s="32" t="inlineStr">
        <is>
          <t>Abril Rosario</t>
        </is>
      </c>
      <c r="D247" s="32" t="inlineStr">
        <is>
          <t>Consulta ($1500) + Vacuna Quintuple ($1200)</t>
        </is>
      </c>
      <c r="E247" s="32" t="inlineStr">
        <is>
          <t>Veterinaria</t>
        </is>
      </c>
      <c r="F247" s="33" t="n">
        <v>2700</v>
      </c>
      <c r="G247" s="32" t="n"/>
      <c r="H247" s="32" t="n"/>
      <c r="I247" s="32" t="n"/>
    </row>
    <row r="248" ht="18" customHeight="1" s="149">
      <c r="A248" s="7" t="n">
        <v>245</v>
      </c>
      <c r="B248" s="7" t="inlineStr">
        <is>
          <t>2026-01-10</t>
        </is>
      </c>
      <c r="C248" s="7" t="inlineStr">
        <is>
          <t>Chocolate Montero</t>
        </is>
      </c>
      <c r="D248" s="7" t="inlineStr">
        <is>
          <t>baño pequeño + corte completo</t>
        </is>
      </c>
      <c r="E248" s="7" t="inlineStr">
        <is>
          <t>Grooming</t>
        </is>
      </c>
      <c r="F248" s="35" t="n">
        <v>1550</v>
      </c>
      <c r="G248" s="7" t="inlineStr">
        <is>
          <t>efectivo</t>
        </is>
      </c>
      <c r="H248" s="7" t="inlineStr">
        <is>
          <t>Laura</t>
        </is>
      </c>
      <c r="I248" s="7" t="n"/>
    </row>
    <row r="249" ht="18" customHeight="1" s="149">
      <c r="A249" s="32" t="n">
        <v>246</v>
      </c>
      <c r="B249" s="32" t="inlineStr">
        <is>
          <t>2026-01-10</t>
        </is>
      </c>
      <c r="C249" s="32" t="inlineStr">
        <is>
          <t>Abril Rosario</t>
        </is>
      </c>
      <c r="D249" s="32" t="inlineStr">
        <is>
          <t>baño cachorro</t>
        </is>
      </c>
      <c r="E249" s="32" t="inlineStr">
        <is>
          <t>Grooming</t>
        </is>
      </c>
      <c r="F249" s="33" t="n">
        <v>699</v>
      </c>
      <c r="G249" s="32" t="inlineStr">
        <is>
          <t>reservas</t>
        </is>
      </c>
      <c r="H249" s="32" t="inlineStr">
        <is>
          <t>Laura</t>
        </is>
      </c>
      <c r="I249" s="32" t="n"/>
    </row>
    <row r="250" ht="18" customHeight="1" s="149">
      <c r="A250" s="7" t="n">
        <v>247</v>
      </c>
      <c r="B250" s="7" t="inlineStr">
        <is>
          <t>2026-01-09</t>
        </is>
      </c>
      <c r="C250" s="7" t="inlineStr">
        <is>
          <t>Ruthi Severino</t>
        </is>
      </c>
      <c r="D250" s="7" t="inlineStr">
        <is>
          <t>baño pequeño</t>
        </is>
      </c>
      <c r="E250" s="7" t="inlineStr">
        <is>
          <t>Grooming</t>
        </is>
      </c>
      <c r="F250" s="35" t="n">
        <v>799</v>
      </c>
      <c r="G250" s="7" t="inlineStr">
        <is>
          <t>efectivo</t>
        </is>
      </c>
      <c r="H250" s="7" t="inlineStr">
        <is>
          <t>Laura</t>
        </is>
      </c>
      <c r="I250" s="7" t="n"/>
    </row>
    <row r="251" ht="18" customHeight="1" s="149">
      <c r="A251" s="32" t="n">
        <v>248</v>
      </c>
      <c r="B251" s="32" t="inlineStr">
        <is>
          <t>2026-01-09</t>
        </is>
      </c>
      <c r="C251" s="32" t="inlineStr">
        <is>
          <t>Maya</t>
        </is>
      </c>
      <c r="D251" s="32" t="inlineStr">
        <is>
          <t>baño cachorro</t>
        </is>
      </c>
      <c r="E251" s="32" t="inlineStr">
        <is>
          <t>Grooming</t>
        </is>
      </c>
      <c r="F251" s="33" t="n">
        <v>699</v>
      </c>
      <c r="G251" s="32" t="inlineStr">
        <is>
          <t>reservas</t>
        </is>
      </c>
      <c r="H251" s="32" t="inlineStr">
        <is>
          <t>Laura</t>
        </is>
      </c>
      <c r="I251" s="32" t="n"/>
    </row>
    <row r="252" ht="18" customHeight="1" s="149">
      <c r="A252" s="7" t="n">
        <v>249</v>
      </c>
      <c r="B252" s="7" t="inlineStr">
        <is>
          <t>2026-01-09</t>
        </is>
      </c>
      <c r="C252" s="7" t="inlineStr">
        <is>
          <t>Karim Plascencia</t>
        </is>
      </c>
      <c r="D252" s="7" t="inlineStr">
        <is>
          <t>baño medicado + corte completo</t>
        </is>
      </c>
      <c r="E252" s="7" t="inlineStr">
        <is>
          <t>Grooming</t>
        </is>
      </c>
      <c r="F252" s="35" t="n">
        <v>1699</v>
      </c>
      <c r="G252" s="7" t="inlineStr">
        <is>
          <t>popular</t>
        </is>
      </c>
      <c r="H252" s="7" t="inlineStr">
        <is>
          <t>Laura</t>
        </is>
      </c>
      <c r="I252" s="7" t="n"/>
    </row>
    <row r="253" ht="18" customHeight="1" s="149">
      <c r="A253" s="32" t="n">
        <v>250</v>
      </c>
      <c r="B253" s="32" t="inlineStr">
        <is>
          <t>2026-01-08</t>
        </is>
      </c>
      <c r="C253" s="32" t="inlineStr">
        <is>
          <t>Toby Ramirez</t>
        </is>
      </c>
      <c r="D253" s="32" t="inlineStr">
        <is>
          <t>Consulta ($1500) + Vacuna Giardia ($1450)</t>
        </is>
      </c>
      <c r="E253" s="32" t="inlineStr">
        <is>
          <t>Veterinaria</t>
        </is>
      </c>
      <c r="F253" s="33" t="n">
        <v>2950</v>
      </c>
      <c r="G253" s="32" t="n"/>
      <c r="H253" s="32" t="n"/>
      <c r="I253" s="32" t="n"/>
    </row>
    <row r="254" ht="18" customHeight="1" s="149">
      <c r="A254" s="7" t="n">
        <v>251</v>
      </c>
      <c r="B254" s="7" t="inlineStr">
        <is>
          <t>2026-01-07</t>
        </is>
      </c>
      <c r="C254" s="7" t="inlineStr">
        <is>
          <t>Shadow Felipe Maldonado</t>
        </is>
      </c>
      <c r="D254" s="7" t="inlineStr">
        <is>
          <t>baño cachorro Colinas</t>
        </is>
      </c>
      <c r="E254" s="7" t="inlineStr">
        <is>
          <t>Grooming</t>
        </is>
      </c>
      <c r="F254" s="35" t="n">
        <v>809</v>
      </c>
      <c r="G254" s="7" t="n"/>
      <c r="H254" s="7" t="n"/>
      <c r="I254" s="7" t="inlineStr">
        <is>
          <t>Se le aplico 10% de descuento</t>
        </is>
      </c>
    </row>
    <row r="255" ht="18" customHeight="1" s="149">
      <c r="A255" s="32" t="n">
        <v>252</v>
      </c>
      <c r="B255" s="32" t="inlineStr">
        <is>
          <t>2026-01-06</t>
        </is>
      </c>
      <c r="C255" s="32" t="inlineStr">
        <is>
          <t>Karim Plascencia</t>
        </is>
      </c>
      <c r="D255" s="32" t="inlineStr">
        <is>
          <t>Consulta</t>
        </is>
      </c>
      <c r="E255" s="32" t="inlineStr">
        <is>
          <t>Veterinaria</t>
        </is>
      </c>
      <c r="F255" s="33" t="n">
        <v>1500</v>
      </c>
      <c r="G255" s="32" t="n"/>
      <c r="H255" s="32" t="n"/>
      <c r="I255" s="32" t="n"/>
    </row>
    <row r="256" ht="18" customHeight="1" s="149">
      <c r="A256" s="29" t="n">
        <v>253</v>
      </c>
      <c r="B256" s="29" t="inlineStr">
        <is>
          <t>2026-01-04</t>
        </is>
      </c>
      <c r="C256" s="29" t="inlineStr">
        <is>
          <t>Nicky De los Santos</t>
        </is>
      </c>
      <c r="D256" s="29" t="inlineStr">
        <is>
          <t>Reservas</t>
        </is>
      </c>
      <c r="E256" s="29" t="inlineStr">
        <is>
          <t>Farmacia/Shop</t>
        </is>
      </c>
      <c r="F256" s="31" t="n">
        <v>2153</v>
      </c>
      <c r="G256" s="29" t="n"/>
      <c r="H256" s="29" t="n"/>
      <c r="I256" s="29" t="n"/>
    </row>
    <row r="257" ht="18" customHeight="1" s="149">
      <c r="A257" s="32" t="n">
        <v>254</v>
      </c>
      <c r="B257" s="32" t="inlineStr">
        <is>
          <t>2026-01-04</t>
        </is>
      </c>
      <c r="C257" s="32" t="inlineStr">
        <is>
          <t>Nicky De los Santos</t>
        </is>
      </c>
      <c r="D257" s="32" t="inlineStr">
        <is>
          <t>baño pequeño colinas</t>
        </is>
      </c>
      <c r="E257" s="32" t="inlineStr">
        <is>
          <t>Grooming</t>
        </is>
      </c>
      <c r="F257" s="33" t="n">
        <v>999</v>
      </c>
      <c r="G257" s="32" t="inlineStr">
        <is>
          <t>pendiente</t>
        </is>
      </c>
      <c r="H257" s="32" t="inlineStr">
        <is>
          <t>Pagado con el prestamo de Alexander con Leydeli ($1000)</t>
        </is>
      </c>
      <c r="I257" s="32" t="inlineStr">
        <is>
          <t>Comida Belcando</t>
        </is>
      </c>
    </row>
    <row r="258" ht="18" customHeight="1" s="149">
      <c r="A258" s="7" t="n">
        <v>255</v>
      </c>
      <c r="B258" s="7" t="inlineStr">
        <is>
          <t>2026-01-03</t>
        </is>
      </c>
      <c r="C258" s="7" t="inlineStr">
        <is>
          <t>Karim Plascencia</t>
        </is>
      </c>
      <c r="D258" s="7" t="inlineStr">
        <is>
          <t>baño pequeño medicado</t>
        </is>
      </c>
      <c r="E258" s="7" t="inlineStr">
        <is>
          <t>Grooming</t>
        </is>
      </c>
      <c r="F258" s="35" t="n">
        <v>950</v>
      </c>
      <c r="G258" s="7" t="inlineStr">
        <is>
          <t>Popular</t>
        </is>
      </c>
      <c r="H258" s="7" t="inlineStr">
        <is>
          <t>Laura</t>
        </is>
      </c>
      <c r="I258" s="7" t="n"/>
    </row>
    <row r="259" ht="18" customHeight="1" s="149">
      <c r="A259" s="32" t="n">
        <v>256</v>
      </c>
      <c r="B259" s="32" t="inlineStr">
        <is>
          <t>2026-01-03</t>
        </is>
      </c>
      <c r="C259" s="32" t="inlineStr">
        <is>
          <t>Copito Perez</t>
        </is>
      </c>
      <c r="D259" s="32" t="inlineStr">
        <is>
          <t>baño pequeño medicado + corte completo</t>
        </is>
      </c>
      <c r="E259" s="32" t="inlineStr">
        <is>
          <t>Grooming</t>
        </is>
      </c>
      <c r="F259" s="33" t="n">
        <v>1798</v>
      </c>
      <c r="G259" s="32" t="n"/>
      <c r="H259" s="32" t="n"/>
      <c r="I259" s="32" t="n"/>
    </row>
    <row r="260" ht="18" customHeight="1" s="149">
      <c r="A260" s="29" t="n">
        <v>257</v>
      </c>
      <c r="B260" s="29" t="inlineStr">
        <is>
          <t>2026-01-03</t>
        </is>
      </c>
      <c r="C260" s="29" t="inlineStr">
        <is>
          <t>Mia Roa</t>
        </is>
      </c>
      <c r="D260" s="29" t="inlineStr">
        <is>
          <t>Reservas</t>
        </is>
      </c>
      <c r="E260" s="29" t="inlineStr">
        <is>
          <t>Farmacia/Shop</t>
        </is>
      </c>
      <c r="F260" s="31" t="n">
        <v>120</v>
      </c>
      <c r="G260" s="29" t="n"/>
      <c r="H260" s="29" t="n"/>
      <c r="I260" s="29" t="n"/>
    </row>
    <row r="261" ht="18" customHeight="1" s="149">
      <c r="A261" s="32" t="n">
        <v>258</v>
      </c>
      <c r="B261" s="32" t="inlineStr">
        <is>
          <t>2026-01-03</t>
        </is>
      </c>
      <c r="C261" s="32" t="inlineStr">
        <is>
          <t>Mia Roa</t>
        </is>
      </c>
      <c r="D261" s="32" t="inlineStr">
        <is>
          <t>baño pequeño Colinas</t>
        </is>
      </c>
      <c r="E261" s="32" t="inlineStr">
        <is>
          <t>Grooming</t>
        </is>
      </c>
      <c r="F261" s="33" t="n">
        <v>1000</v>
      </c>
      <c r="G261" s="32" t="inlineStr">
        <is>
          <t>efectivo</t>
        </is>
      </c>
      <c r="H261" s="32" t="inlineStr">
        <is>
          <t>Laura</t>
        </is>
      </c>
      <c r="I261" s="32" t="inlineStr">
        <is>
          <t>Collar con campanita</t>
        </is>
      </c>
    </row>
    <row r="262" ht="18" customHeight="1" s="149">
      <c r="A262" s="7" t="n">
        <v>259</v>
      </c>
      <c r="B262" s="7" t="inlineStr">
        <is>
          <t>2026-01-03</t>
        </is>
      </c>
      <c r="C262" s="7" t="inlineStr">
        <is>
          <t>Doky Diaz</t>
        </is>
      </c>
      <c r="D262" s="7" t="inlineStr">
        <is>
          <t>baño pequeño + corte higienico</t>
        </is>
      </c>
      <c r="E262" s="7" t="inlineStr">
        <is>
          <t>Grooming</t>
        </is>
      </c>
      <c r="F262" s="35" t="n">
        <v>1289</v>
      </c>
      <c r="G262" s="7" t="n"/>
      <c r="H262" s="7" t="n"/>
      <c r="I262" s="7" t="n"/>
    </row>
    <row r="263" ht="18" customHeight="1" s="149">
      <c r="A263" s="32" t="n">
        <v>260</v>
      </c>
      <c r="B263" s="32" t="inlineStr">
        <is>
          <t>2026-01-02</t>
        </is>
      </c>
      <c r="C263" s="32" t="inlineStr">
        <is>
          <t>Tomy</t>
        </is>
      </c>
      <c r="D263" s="32" t="inlineStr">
        <is>
          <t>baño pequeño colinas</t>
        </is>
      </c>
      <c r="E263" s="32" t="inlineStr">
        <is>
          <t>Grooming</t>
        </is>
      </c>
      <c r="F263" s="33" t="n">
        <v>1000</v>
      </c>
      <c r="G263" s="32" t="inlineStr">
        <is>
          <t>efectivo</t>
        </is>
      </c>
      <c r="H263" s="32" t="inlineStr">
        <is>
          <t>Aylein</t>
        </is>
      </c>
      <c r="I263" s="32" t="n"/>
    </row>
    <row r="264" ht="18" customHeight="1" s="149">
      <c r="A264" s="22" t="inlineStr">
        <is>
          <t>TOTAL 2026</t>
        </is>
      </c>
      <c r="B264" s="22" t="n"/>
      <c r="C264" s="22" t="n"/>
      <c r="D264" s="22" t="n"/>
      <c r="E264" s="22" t="n"/>
      <c r="F264" s="23">
        <f>SUM(F4:F263)</f>
        <v/>
      </c>
      <c r="G264" s="22" t="n"/>
      <c r="H264" s="22" t="n"/>
      <c r="I264" s="22" t="n"/>
    </row>
    <row r="265" ht="18" customHeight="1" s="149"/>
    <row r="266" ht="18" customHeight="1" s="149"/>
    <row r="267" ht="18" customHeight="1" s="149"/>
    <row r="268" ht="18" customHeight="1" s="149"/>
    <row r="269" ht="18" customHeight="1" s="149"/>
    <row r="270" ht="18" customHeight="1" s="149"/>
    <row r="271" ht="18" customHeight="1" s="149"/>
    <row r="272" ht="18" customHeight="1" s="149"/>
    <row r="273" ht="18" customHeight="1" s="149"/>
    <row r="274" ht="18" customHeight="1" s="149"/>
    <row r="275" ht="18" customHeight="1" s="149"/>
    <row r="276" ht="25.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2">
    <mergeCell ref="A1:I1"/>
    <mergeCell ref="A2:I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tabColor rgb="FF4CAF73"/>
    <outlinePr summaryBelow="1" summaryRight="1"/>
    <pageSetUpPr/>
  </sheetPr>
  <dimension ref="A1:I268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" customWidth="1" style="149" min="1" max="1"/>
    <col width="13" customWidth="1" style="149" min="2" max="2"/>
    <col width="28" customWidth="1" style="149" min="3" max="3"/>
    <col width="42" customWidth="1" style="149" min="4" max="4"/>
    <col width="16" customWidth="1" style="149" min="5" max="8"/>
    <col width="24" customWidth="1" style="149" min="9" max="9"/>
    <col width="8.710000000000001" customWidth="1" style="149" min="10" max="26"/>
  </cols>
  <sheetData>
    <row r="1" ht="39.75" customHeight="1" s="149">
      <c r="A1" s="150" t="inlineStr">
        <is>
          <t>🐾 PetColinas — VENTAS 2025</t>
        </is>
      </c>
    </row>
    <row r="2" ht="19.5" customHeight="1" s="149">
      <c r="A2" s="151" t="inlineStr">
        <is>
          <t>May · Jun · Ago · Sep · Oct · Nov · Dic 2025  ·  264 registros (actualizado 17/03/2026)</t>
        </is>
      </c>
    </row>
    <row r="3" ht="27.75" customHeight="1" s="149">
      <c r="A3" s="30" t="inlineStr">
        <is>
          <t>#</t>
        </is>
      </c>
      <c r="B3" s="30" t="inlineStr">
        <is>
          <t>FECHA</t>
        </is>
      </c>
      <c r="C3" s="30" t="inlineStr">
        <is>
          <t>MASCOTA / CLIENTE</t>
        </is>
      </c>
      <c r="D3" s="30" t="inlineStr">
        <is>
          <t>SERVICIO / DESCRIPCIÓN</t>
        </is>
      </c>
      <c r="E3" s="30" t="inlineStr">
        <is>
          <t>ÁREA</t>
        </is>
      </c>
      <c r="F3" s="30" t="inlineStr">
        <is>
          <t>MONTO RD$</t>
        </is>
      </c>
      <c r="G3" s="30" t="inlineStr">
        <is>
          <t>FORMA DE PAGO</t>
        </is>
      </c>
      <c r="H3" s="30" t="inlineStr">
        <is>
          <t>RECIBIDO POR</t>
        </is>
      </c>
      <c r="I3" s="30" t="inlineStr">
        <is>
          <t>OBSERVACIONES</t>
        </is>
      </c>
    </row>
    <row r="4" ht="18" customHeight="1" s="149">
      <c r="A4" s="15" t="n">
        <v>1</v>
      </c>
      <c r="B4" s="9" t="inlineStr">
        <is>
          <t>2025-12-30</t>
        </is>
      </c>
      <c r="C4" s="9" t="inlineStr">
        <is>
          <t>Princesa Mercado</t>
        </is>
      </c>
      <c r="D4" s="9" t="inlineStr">
        <is>
          <t>baño cachorro + corte completo</t>
        </is>
      </c>
      <c r="E4" s="9" t="inlineStr">
        <is>
          <t>Grooming</t>
        </is>
      </c>
      <c r="F4" s="14" t="n">
        <v>1448</v>
      </c>
      <c r="G4" s="9" t="inlineStr">
        <is>
          <t>efectivo</t>
        </is>
      </c>
      <c r="H4" s="9" t="inlineStr">
        <is>
          <t>Laura</t>
        </is>
      </c>
      <c r="I4" s="9" t="inlineStr">
        <is>
          <t>Hemolitan pet ($830)</t>
        </is>
      </c>
    </row>
    <row r="5" ht="18" customHeight="1" s="149">
      <c r="A5" s="19" t="n">
        <v>2</v>
      </c>
      <c r="B5" s="17" t="inlineStr">
        <is>
          <t>2025-12-30</t>
        </is>
      </c>
      <c r="C5" s="17" t="inlineStr">
        <is>
          <t>Lia Garcia</t>
        </is>
      </c>
      <c r="D5" s="17" t="inlineStr">
        <is>
          <t>baño grande</t>
        </is>
      </c>
      <c r="E5" s="17" t="inlineStr">
        <is>
          <t>Grooming</t>
        </is>
      </c>
      <c r="F5" s="54" t="n">
        <v>1149</v>
      </c>
      <c r="G5" s="17" t="inlineStr">
        <is>
          <t>Transferencia (ban.reserv.)</t>
        </is>
      </c>
      <c r="H5" s="17" t="inlineStr">
        <is>
          <t>Laura</t>
        </is>
      </c>
      <c r="I5" s="17" t="n"/>
    </row>
    <row r="6" ht="18" customHeight="1" s="149">
      <c r="A6" s="15" t="n">
        <v>3</v>
      </c>
      <c r="B6" s="9" t="inlineStr">
        <is>
          <t>2025-12-30</t>
        </is>
      </c>
      <c r="C6" s="9" t="inlineStr">
        <is>
          <t>Oliver Rosario</t>
        </is>
      </c>
      <c r="D6" s="9" t="inlineStr">
        <is>
          <t>baño pequeño + corte completo</t>
        </is>
      </c>
      <c r="E6" s="9" t="inlineStr">
        <is>
          <t>Grooming</t>
        </is>
      </c>
      <c r="F6" s="14" t="n">
        <v>1598</v>
      </c>
      <c r="G6" s="9" t="n"/>
      <c r="H6" s="9" t="n"/>
      <c r="I6" s="9" t="n"/>
    </row>
    <row r="7" ht="18" customHeight="1" s="149">
      <c r="A7" s="19" t="n">
        <v>4</v>
      </c>
      <c r="B7" s="17" t="inlineStr">
        <is>
          <t>2025-12-30</t>
        </is>
      </c>
      <c r="C7" s="17" t="inlineStr">
        <is>
          <t>Kaki Taveras</t>
        </is>
      </c>
      <c r="D7" s="17" t="inlineStr">
        <is>
          <t>baño pequeño</t>
        </is>
      </c>
      <c r="E7" s="17" t="inlineStr">
        <is>
          <t>Grooming</t>
        </is>
      </c>
      <c r="F7" s="54" t="n">
        <v>799</v>
      </c>
      <c r="G7" s="17" t="n"/>
      <c r="H7" s="17" t="n"/>
      <c r="I7" s="17" t="n"/>
    </row>
    <row r="8" ht="18" customHeight="1" s="149">
      <c r="A8" s="15" t="n">
        <v>5</v>
      </c>
      <c r="B8" s="9" t="inlineStr">
        <is>
          <t>2025-12-30</t>
        </is>
      </c>
      <c r="C8" s="9" t="inlineStr">
        <is>
          <t>Honey Taveras</t>
        </is>
      </c>
      <c r="D8" s="9" t="inlineStr">
        <is>
          <t>baño pequeño</t>
        </is>
      </c>
      <c r="E8" s="9" t="inlineStr">
        <is>
          <t>Grooming</t>
        </is>
      </c>
      <c r="F8" s="14" t="n">
        <v>799</v>
      </c>
      <c r="G8" s="9" t="inlineStr">
        <is>
          <t>efectivo</t>
        </is>
      </c>
      <c r="H8" s="9" t="inlineStr">
        <is>
          <t>Laura</t>
        </is>
      </c>
      <c r="I8" s="9" t="n"/>
    </row>
    <row r="9" ht="18" customHeight="1" s="149">
      <c r="A9" s="19" t="n">
        <v>6</v>
      </c>
      <c r="B9" s="17" t="inlineStr">
        <is>
          <t>2025-12-29</t>
        </is>
      </c>
      <c r="C9" s="17" t="inlineStr">
        <is>
          <t>Bongo Bracho</t>
        </is>
      </c>
      <c r="D9" s="17" t="inlineStr">
        <is>
          <t>baño grande con linea</t>
        </is>
      </c>
      <c r="E9" s="17" t="inlineStr">
        <is>
          <t>Grooming</t>
        </is>
      </c>
      <c r="F9" s="54" t="n">
        <v>1350</v>
      </c>
      <c r="G9" s="17" t="inlineStr">
        <is>
          <t>transferencia popular</t>
        </is>
      </c>
      <c r="H9" s="17" t="inlineStr">
        <is>
          <t>Leydeli</t>
        </is>
      </c>
      <c r="I9" s="17" t="n"/>
    </row>
    <row r="10" ht="18" customHeight="1" s="149">
      <c r="A10" s="15" t="n">
        <v>7</v>
      </c>
      <c r="B10" s="9" t="inlineStr">
        <is>
          <t>2025-12-29</t>
        </is>
      </c>
      <c r="C10" s="9" t="inlineStr">
        <is>
          <t>Luna Castaño</t>
        </is>
      </c>
      <c r="D10" s="9" t="inlineStr">
        <is>
          <t>baño pequeño con linea + corte completo</t>
        </is>
      </c>
      <c r="E10" s="9" t="inlineStr">
        <is>
          <t>Grooming</t>
        </is>
      </c>
      <c r="F10" s="14" t="n">
        <v>1748</v>
      </c>
      <c r="G10" s="9" t="inlineStr">
        <is>
          <t>efectivo</t>
        </is>
      </c>
      <c r="H10" s="9" t="inlineStr">
        <is>
          <t>Leydeli</t>
        </is>
      </c>
      <c r="I10" s="9" t="n"/>
    </row>
    <row r="11" ht="18" customHeight="1" s="149">
      <c r="A11" s="19" t="n">
        <v>8</v>
      </c>
      <c r="B11" s="17" t="inlineStr">
        <is>
          <t>2025-12-29</t>
        </is>
      </c>
      <c r="C11" s="17" t="inlineStr">
        <is>
          <t>Tommy Castaño</t>
        </is>
      </c>
      <c r="D11" s="17" t="inlineStr">
        <is>
          <t>baño mediano con linea + corte completo</t>
        </is>
      </c>
      <c r="E11" s="17" t="inlineStr">
        <is>
          <t>Grooming</t>
        </is>
      </c>
      <c r="F11" s="54" t="n">
        <v>1898</v>
      </c>
      <c r="G11" s="17" t="inlineStr">
        <is>
          <t>efectivo</t>
        </is>
      </c>
      <c r="H11" s="17" t="inlineStr">
        <is>
          <t>Leydeli</t>
        </is>
      </c>
      <c r="I11" s="17" t="n"/>
    </row>
    <row r="12" ht="18" customHeight="1" s="149">
      <c r="A12" s="15" t="n">
        <v>9</v>
      </c>
      <c r="B12" s="9" t="inlineStr">
        <is>
          <t>2025-12-29</t>
        </is>
      </c>
      <c r="C12" s="9" t="inlineStr">
        <is>
          <t>Lola Aristy</t>
        </is>
      </c>
      <c r="D12" s="9" t="inlineStr">
        <is>
          <t>baño pequeño con linea + corte completo</t>
        </is>
      </c>
      <c r="E12" s="9" t="inlineStr">
        <is>
          <t>Grooming</t>
        </is>
      </c>
      <c r="F12" s="14" t="n">
        <v>1749</v>
      </c>
      <c r="G12" s="9" t="inlineStr">
        <is>
          <t>transferencia popular</t>
        </is>
      </c>
      <c r="H12" s="9" t="inlineStr">
        <is>
          <t>Leydeli</t>
        </is>
      </c>
      <c r="I12" s="9" t="n"/>
    </row>
    <row r="13" ht="18" customHeight="1" s="149">
      <c r="A13" s="19" t="n">
        <v>10</v>
      </c>
      <c r="B13" s="17" t="inlineStr">
        <is>
          <t>2025-12-29</t>
        </is>
      </c>
      <c r="C13" s="17" t="inlineStr">
        <is>
          <t>Thor Aristy</t>
        </is>
      </c>
      <c r="D13" s="17" t="inlineStr">
        <is>
          <t>baño pequeño con linea + corte completo</t>
        </is>
      </c>
      <c r="E13" s="17" t="inlineStr">
        <is>
          <t>Grooming</t>
        </is>
      </c>
      <c r="F13" s="54" t="n">
        <v>1749</v>
      </c>
      <c r="G13" s="17" t="inlineStr">
        <is>
          <t>transferencia popular</t>
        </is>
      </c>
      <c r="H13" s="17" t="inlineStr">
        <is>
          <t>Leydeli</t>
        </is>
      </c>
      <c r="I13" s="17" t="inlineStr">
        <is>
          <t>Aparece reflejado en la cuenta como $2978, pero se compenso con el pago del monto restante ($518) realizado por Leydeli a la cuenta del banreservas</t>
        </is>
      </c>
    </row>
    <row r="14" ht="18" customHeight="1" s="149">
      <c r="A14" s="15" t="n">
        <v>11</v>
      </c>
      <c r="B14" s="9" t="inlineStr">
        <is>
          <t>2025-12-28</t>
        </is>
      </c>
      <c r="C14" s="9" t="inlineStr">
        <is>
          <t>Lulu Sanchez</t>
        </is>
      </c>
      <c r="D14" s="9" t="inlineStr">
        <is>
          <t>baño pequeño + corte higienico</t>
        </is>
      </c>
      <c r="E14" s="9" t="inlineStr">
        <is>
          <t>Grooming</t>
        </is>
      </c>
      <c r="F14" s="14" t="n">
        <v>1290</v>
      </c>
      <c r="G14" s="9" t="inlineStr">
        <is>
          <t>transferencia popular</t>
        </is>
      </c>
      <c r="H14" s="9" t="inlineStr">
        <is>
          <t>Victor</t>
        </is>
      </c>
      <c r="I14" s="9" t="n"/>
    </row>
    <row r="15" ht="18" customHeight="1" s="149">
      <c r="A15" s="19" t="n">
        <v>12</v>
      </c>
      <c r="B15" s="17" t="inlineStr">
        <is>
          <t>2025-12-28</t>
        </is>
      </c>
      <c r="C15" s="17" t="inlineStr">
        <is>
          <t>Karim Plascencia</t>
        </is>
      </c>
      <c r="D15" s="17" t="inlineStr">
        <is>
          <t>baño medicado</t>
        </is>
      </c>
      <c r="E15" s="17" t="inlineStr">
        <is>
          <t>Grooming</t>
        </is>
      </c>
      <c r="F15" s="54" t="n">
        <v>950</v>
      </c>
      <c r="G15" s="17" t="inlineStr">
        <is>
          <t>transferencia popular</t>
        </is>
      </c>
      <c r="H15" s="17" t="inlineStr">
        <is>
          <t>Victor</t>
        </is>
      </c>
      <c r="I15" s="17" t="n"/>
    </row>
    <row r="16" ht="18" customHeight="1" s="149">
      <c r="A16" s="15" t="n">
        <v>13</v>
      </c>
      <c r="B16" s="9" t="inlineStr">
        <is>
          <t>2025-12-28</t>
        </is>
      </c>
      <c r="C16" s="9" t="inlineStr">
        <is>
          <t>Kira Uni</t>
        </is>
      </c>
      <c r="D16" s="9" t="inlineStr">
        <is>
          <t>baño pequeño</t>
        </is>
      </c>
      <c r="E16" s="9" t="inlineStr">
        <is>
          <t>Grooming</t>
        </is>
      </c>
      <c r="F16" s="14" t="n">
        <v>799</v>
      </c>
      <c r="G16" s="9" t="inlineStr">
        <is>
          <t>transferencia popular</t>
        </is>
      </c>
      <c r="H16" s="9" t="inlineStr">
        <is>
          <t>Victor</t>
        </is>
      </c>
      <c r="I16" s="9" t="n"/>
    </row>
    <row r="17" ht="18" customHeight="1" s="149">
      <c r="A17" s="19" t="n">
        <v>14</v>
      </c>
      <c r="B17" s="17" t="inlineStr">
        <is>
          <t>2025-12-28</t>
        </is>
      </c>
      <c r="C17" s="17" t="inlineStr">
        <is>
          <t>Abril Rosario</t>
        </is>
      </c>
      <c r="D17" s="17" t="inlineStr">
        <is>
          <t>baño pequeño</t>
        </is>
      </c>
      <c r="E17" s="17" t="inlineStr">
        <is>
          <t>Grooming</t>
        </is>
      </c>
      <c r="F17" s="54" t="n">
        <v>799</v>
      </c>
      <c r="G17" s="17" t="inlineStr">
        <is>
          <t>Transferencia (ban.reserv.)</t>
        </is>
      </c>
      <c r="H17" s="17" t="inlineStr">
        <is>
          <t>Victor</t>
        </is>
      </c>
      <c r="I17" s="17" t="n"/>
    </row>
    <row r="18" ht="18" customHeight="1" s="149">
      <c r="A18" s="15" t="n">
        <v>15</v>
      </c>
      <c r="B18" s="9" t="inlineStr">
        <is>
          <t>2025-12-27</t>
        </is>
      </c>
      <c r="C18" s="9" t="inlineStr">
        <is>
          <t>Rufo De Leon</t>
        </is>
      </c>
      <c r="D18" s="9" t="inlineStr">
        <is>
          <t>baño con linea + corte completo</t>
        </is>
      </c>
      <c r="E18" s="9" t="inlineStr">
        <is>
          <t>Grooming</t>
        </is>
      </c>
      <c r="F18" s="14" t="n">
        <v>1748</v>
      </c>
      <c r="G18" s="9" t="inlineStr">
        <is>
          <t>transferencia popular</t>
        </is>
      </c>
      <c r="H18" s="9" t="inlineStr">
        <is>
          <t>Leydeli</t>
        </is>
      </c>
      <c r="I18" s="9" t="n"/>
    </row>
    <row r="19" ht="18" customHeight="1" s="149">
      <c r="A19" s="19" t="n">
        <v>16</v>
      </c>
      <c r="B19" s="17" t="inlineStr">
        <is>
          <t>2025-12-27</t>
        </is>
      </c>
      <c r="C19" s="17" t="inlineStr">
        <is>
          <t>Chloe Lora</t>
        </is>
      </c>
      <c r="D19" s="17" t="inlineStr">
        <is>
          <t>baño pequeño con linea + corte higienico</t>
        </is>
      </c>
      <c r="E19" s="17" t="inlineStr">
        <is>
          <t>Grooming</t>
        </is>
      </c>
      <c r="F19" s="54" t="n">
        <v>1490</v>
      </c>
      <c r="G19" s="17" t="inlineStr">
        <is>
          <t>Transferencia (ban.reserv.)</t>
        </is>
      </c>
      <c r="H19" s="17" t="inlineStr">
        <is>
          <t>Laura</t>
        </is>
      </c>
      <c r="I19" s="17" t="inlineStr">
        <is>
          <t>Nexgard Sepctra 7kg ($1,300)+ letrero en forma de hueso ($470)</t>
        </is>
      </c>
    </row>
    <row r="20" ht="18" customHeight="1" s="149">
      <c r="A20" s="15" t="n">
        <v>17</v>
      </c>
      <c r="B20" s="9" t="inlineStr">
        <is>
          <t>2025-12-27</t>
        </is>
      </c>
      <c r="C20" s="9" t="inlineStr">
        <is>
          <t>Luna Juliao</t>
        </is>
      </c>
      <c r="D20" s="9" t="inlineStr">
        <is>
          <t>baño pequeño</t>
        </is>
      </c>
      <c r="E20" s="9" t="inlineStr">
        <is>
          <t>Grooming</t>
        </is>
      </c>
      <c r="F20" s="14" t="n">
        <v>799</v>
      </c>
      <c r="G20" s="9" t="inlineStr">
        <is>
          <t>efectivo</t>
        </is>
      </c>
      <c r="H20" s="9" t="inlineStr">
        <is>
          <t>Leydeli</t>
        </is>
      </c>
      <c r="I20" s="9" t="n"/>
    </row>
    <row r="21" ht="18" customHeight="1" s="149">
      <c r="A21" s="19" t="n">
        <v>18</v>
      </c>
      <c r="B21" s="17" t="inlineStr">
        <is>
          <t>2025-12-27</t>
        </is>
      </c>
      <c r="C21" s="17" t="inlineStr">
        <is>
          <t>Kiara Brito</t>
        </is>
      </c>
      <c r="D21" s="17" t="inlineStr">
        <is>
          <t>baño pequeño + corte higienico</t>
        </is>
      </c>
      <c r="E21" s="17" t="inlineStr">
        <is>
          <t>Grooming</t>
        </is>
      </c>
      <c r="F21" s="54" t="n">
        <v>1289</v>
      </c>
      <c r="G21" s="17" t="inlineStr">
        <is>
          <t>efectivo</t>
        </is>
      </c>
      <c r="H21" s="17" t="inlineStr">
        <is>
          <t>Leydeli</t>
        </is>
      </c>
      <c r="I21" s="17" t="n"/>
    </row>
    <row r="22" ht="18" customHeight="1" s="149">
      <c r="A22" s="15" t="n">
        <v>19</v>
      </c>
      <c r="B22" s="9" t="inlineStr">
        <is>
          <t>2025-12-27</t>
        </is>
      </c>
      <c r="C22" s="9" t="inlineStr">
        <is>
          <t>Maya Diaz</t>
        </is>
      </c>
      <c r="D22" s="9" t="inlineStr">
        <is>
          <t>baño cachorro</t>
        </is>
      </c>
      <c r="E22" s="9" t="inlineStr">
        <is>
          <t>Grooming</t>
        </is>
      </c>
      <c r="F22" s="14" t="n">
        <v>699</v>
      </c>
      <c r="G22" s="9" t="inlineStr">
        <is>
          <t>Transferencia (ban.reserv.)</t>
        </is>
      </c>
      <c r="H22" s="9" t="inlineStr">
        <is>
          <t>Laura</t>
        </is>
      </c>
      <c r="I22" s="9" t="inlineStr">
        <is>
          <t>Plato de comer para perros</t>
        </is>
      </c>
    </row>
    <row r="23" ht="18" customHeight="1" s="149">
      <c r="A23" s="19" t="n">
        <v>20</v>
      </c>
      <c r="B23" s="17" t="inlineStr">
        <is>
          <t>2025-12-27</t>
        </is>
      </c>
      <c r="C23" s="17" t="inlineStr">
        <is>
          <t>Tuti</t>
        </is>
      </c>
      <c r="D23" s="17" t="inlineStr">
        <is>
          <t>baño pequeño con linea + corte completo</t>
        </is>
      </c>
      <c r="E23" s="17" t="inlineStr">
        <is>
          <t>Grooming</t>
        </is>
      </c>
      <c r="F23" s="54" t="n">
        <v>1573</v>
      </c>
      <c r="G23" s="17" t="inlineStr">
        <is>
          <t>Transferencia (ban.reserv.)</t>
        </is>
      </c>
      <c r="H23" s="17" t="inlineStr">
        <is>
          <t>Laura</t>
        </is>
      </c>
      <c r="I23" s="17" t="inlineStr">
        <is>
          <t>10% de descuento</t>
        </is>
      </c>
    </row>
    <row r="24" ht="18" customHeight="1" s="149">
      <c r="A24" s="15" t="n">
        <v>21</v>
      </c>
      <c r="B24" s="9" t="inlineStr">
        <is>
          <t>2025-12-26</t>
        </is>
      </c>
      <c r="C24" s="9" t="inlineStr">
        <is>
          <t>Lucas Diaz</t>
        </is>
      </c>
      <c r="D24" s="9" t="inlineStr">
        <is>
          <t>baño pequeño + corte higienico</t>
        </is>
      </c>
      <c r="E24" s="9" t="inlineStr">
        <is>
          <t>Grooming</t>
        </is>
      </c>
      <c r="F24" s="14" t="n">
        <v>1289</v>
      </c>
      <c r="G24" s="9" t="inlineStr">
        <is>
          <t>efectivo</t>
        </is>
      </c>
      <c r="H24" s="9" t="inlineStr">
        <is>
          <t>Laura</t>
        </is>
      </c>
      <c r="I24" s="9" t="n"/>
    </row>
    <row r="25" ht="18" customHeight="1" s="149">
      <c r="A25" s="19" t="n">
        <v>22</v>
      </c>
      <c r="B25" s="17" t="inlineStr">
        <is>
          <t>2025-12-23</t>
        </is>
      </c>
      <c r="C25" s="17" t="inlineStr">
        <is>
          <t>Sky Guerra</t>
        </is>
      </c>
      <c r="D25" s="17" t="inlineStr">
        <is>
          <t>baño pequeño + corte higienico</t>
        </is>
      </c>
      <c r="E25" s="17" t="inlineStr">
        <is>
          <t>Grooming</t>
        </is>
      </c>
      <c r="F25" s="54" t="n">
        <v>1289</v>
      </c>
      <c r="G25" s="17" t="inlineStr">
        <is>
          <t>efectivo</t>
        </is>
      </c>
      <c r="H25" s="17" t="inlineStr">
        <is>
          <t>Leydeli</t>
        </is>
      </c>
      <c r="I25" s="17" t="n"/>
    </row>
    <row r="26" ht="18" customHeight="1" s="149">
      <c r="A26" s="15" t="n">
        <v>23</v>
      </c>
      <c r="B26" s="9" t="inlineStr">
        <is>
          <t>2025-12-23</t>
        </is>
      </c>
      <c r="C26" s="9" t="inlineStr">
        <is>
          <t>Kira</t>
        </is>
      </c>
      <c r="D26" s="9" t="inlineStr">
        <is>
          <t>baño pequeño</t>
        </is>
      </c>
      <c r="E26" s="9" t="inlineStr">
        <is>
          <t>Grooming</t>
        </is>
      </c>
      <c r="F26" s="14" t="n">
        <v>799</v>
      </c>
      <c r="G26" s="9" t="inlineStr">
        <is>
          <t>Transferencia (ban.reserv.)</t>
        </is>
      </c>
      <c r="H26" s="9" t="inlineStr">
        <is>
          <t>Laura</t>
        </is>
      </c>
      <c r="I26" s="9" t="n"/>
    </row>
    <row r="27" ht="18" customHeight="1" s="149">
      <c r="A27" s="19" t="n">
        <v>24</v>
      </c>
      <c r="B27" s="17" t="inlineStr">
        <is>
          <t>2025-12-23</t>
        </is>
      </c>
      <c r="C27" s="17" t="inlineStr">
        <is>
          <t>Niko</t>
        </is>
      </c>
      <c r="D27" s="17" t="inlineStr">
        <is>
          <t>baño pequeño</t>
        </is>
      </c>
      <c r="E27" s="17" t="inlineStr">
        <is>
          <t>Grooming</t>
        </is>
      </c>
      <c r="F27" s="54" t="n">
        <v>799</v>
      </c>
      <c r="G27" s="17" t="inlineStr">
        <is>
          <t>Transferencia (ban.reserv.)</t>
        </is>
      </c>
      <c r="H27" s="17" t="inlineStr">
        <is>
          <t>Laura</t>
        </is>
      </c>
      <c r="I27" s="17" t="n"/>
    </row>
    <row r="28" ht="18" customHeight="1" s="149">
      <c r="A28" s="15" t="n">
        <v>25</v>
      </c>
      <c r="B28" s="9" t="inlineStr">
        <is>
          <t>2025-12-23</t>
        </is>
      </c>
      <c r="C28" s="9" t="inlineStr">
        <is>
          <t>Nicky De los Santos</t>
        </is>
      </c>
      <c r="D28" s="9" t="inlineStr">
        <is>
          <t>baño pequeño con linea</t>
        </is>
      </c>
      <c r="E28" s="9" t="inlineStr">
        <is>
          <t>Grooming</t>
        </is>
      </c>
      <c r="F28" s="14" t="n">
        <v>900</v>
      </c>
      <c r="G28" s="9" t="inlineStr">
        <is>
          <t>Transferencia (ban.reserv.)</t>
        </is>
      </c>
      <c r="H28" s="9" t="inlineStr">
        <is>
          <t>Laura</t>
        </is>
      </c>
      <c r="I28" s="9" t="n"/>
    </row>
    <row r="29" ht="18" customHeight="1" s="149">
      <c r="A29" s="19" t="n">
        <v>26</v>
      </c>
      <c r="B29" s="17" t="inlineStr">
        <is>
          <t>2025-12-23</t>
        </is>
      </c>
      <c r="C29" s="17" t="inlineStr">
        <is>
          <t>Luna Polo</t>
        </is>
      </c>
      <c r="D29" s="17" t="inlineStr">
        <is>
          <t>baño pequeño + corte higienico</t>
        </is>
      </c>
      <c r="E29" s="17" t="inlineStr">
        <is>
          <t>Grooming</t>
        </is>
      </c>
      <c r="F29" s="54" t="n">
        <v>1200</v>
      </c>
      <c r="G29" s="17" t="inlineStr">
        <is>
          <t>Transferencia (ban.reserv.)</t>
        </is>
      </c>
      <c r="H29" s="17" t="inlineStr">
        <is>
          <t>Laura</t>
        </is>
      </c>
      <c r="I29" s="17" t="inlineStr">
        <is>
          <t>Restan por pagar $89</t>
        </is>
      </c>
    </row>
    <row r="30" ht="18" customHeight="1" s="149">
      <c r="A30" s="15" t="n">
        <v>27</v>
      </c>
      <c r="B30" s="9" t="inlineStr">
        <is>
          <t>2025-12-23</t>
        </is>
      </c>
      <c r="C30" s="9" t="inlineStr">
        <is>
          <t>Harry</t>
        </is>
      </c>
      <c r="D30" s="9" t="inlineStr">
        <is>
          <t>baño pequeño + corte higienico</t>
        </is>
      </c>
      <c r="E30" s="9" t="inlineStr">
        <is>
          <t>Grooming</t>
        </is>
      </c>
      <c r="F30" s="14" t="n">
        <v>1289</v>
      </c>
      <c r="G30" s="9" t="inlineStr">
        <is>
          <t>efectivo</t>
        </is>
      </c>
      <c r="H30" s="9" t="inlineStr">
        <is>
          <t>Laura</t>
        </is>
      </c>
      <c r="I30" s="9" t="inlineStr">
        <is>
          <t>Bravecto 2 a 4kg</t>
        </is>
      </c>
    </row>
    <row r="31" ht="18" customHeight="1" s="149">
      <c r="A31" s="19" t="n">
        <v>28</v>
      </c>
      <c r="B31" s="17" t="inlineStr">
        <is>
          <t>2025-12-23</t>
        </is>
      </c>
      <c r="C31" s="17" t="inlineStr">
        <is>
          <t>Yukee Patricia</t>
        </is>
      </c>
      <c r="D31" s="17" t="inlineStr">
        <is>
          <t>baño pequeño</t>
        </is>
      </c>
      <c r="E31" s="17" t="inlineStr">
        <is>
          <t>Grooming</t>
        </is>
      </c>
      <c r="F31" s="54" t="n">
        <v>710</v>
      </c>
      <c r="G31" s="17" t="inlineStr">
        <is>
          <t>efectivo</t>
        </is>
      </c>
      <c r="H31" s="17" t="inlineStr">
        <is>
          <t>Victor</t>
        </is>
      </c>
      <c r="I31" s="17" t="inlineStr">
        <is>
          <t>10% de descuento</t>
        </is>
      </c>
    </row>
    <row r="32" ht="18" customHeight="1" s="149">
      <c r="A32" s="15" t="n">
        <v>29</v>
      </c>
      <c r="B32" s="9" t="inlineStr">
        <is>
          <t>2025-12-23</t>
        </is>
      </c>
      <c r="C32" s="9" t="inlineStr">
        <is>
          <t>Pury Perez</t>
        </is>
      </c>
      <c r="D32" s="9" t="inlineStr">
        <is>
          <t>baño pequeño</t>
        </is>
      </c>
      <c r="E32" s="9" t="inlineStr">
        <is>
          <t>Grooming</t>
        </is>
      </c>
      <c r="F32" s="14" t="n">
        <v>799</v>
      </c>
      <c r="G32" s="9" t="inlineStr">
        <is>
          <t>Transferencia (ban.reserv.)</t>
        </is>
      </c>
      <c r="H32" s="9" t="inlineStr">
        <is>
          <t>Laura</t>
        </is>
      </c>
      <c r="I32" s="9" t="n"/>
    </row>
    <row r="33" ht="18" customHeight="1" s="149">
      <c r="A33" s="19" t="n">
        <v>30</v>
      </c>
      <c r="B33" s="17" t="inlineStr">
        <is>
          <t>2025-12-23</t>
        </is>
      </c>
      <c r="C33" s="17" t="inlineStr">
        <is>
          <t>Wolfie Montero</t>
        </is>
      </c>
      <c r="D33" s="17" t="inlineStr">
        <is>
          <t>baño grande</t>
        </is>
      </c>
      <c r="E33" s="17" t="inlineStr">
        <is>
          <t>Grooming</t>
        </is>
      </c>
      <c r="F33" s="54" t="n">
        <v>1150</v>
      </c>
      <c r="G33" s="17" t="inlineStr">
        <is>
          <t>Transferencia (ban.reserv.)</t>
        </is>
      </c>
      <c r="H33" s="17" t="inlineStr">
        <is>
          <t>Laura</t>
        </is>
      </c>
      <c r="I33" s="17" t="n"/>
    </row>
    <row r="34" ht="18" customHeight="1" s="149">
      <c r="A34" s="15" t="n">
        <v>31</v>
      </c>
      <c r="B34" s="9" t="inlineStr">
        <is>
          <t>2025-12-22</t>
        </is>
      </c>
      <c r="C34" s="9" t="inlineStr">
        <is>
          <t>Ruthy Severino</t>
        </is>
      </c>
      <c r="D34" s="9" t="inlineStr">
        <is>
          <t>baño pequeño</t>
        </is>
      </c>
      <c r="E34" s="9" t="inlineStr">
        <is>
          <t>Grooming</t>
        </is>
      </c>
      <c r="F34" s="14" t="n">
        <v>800</v>
      </c>
      <c r="G34" s="9" t="inlineStr">
        <is>
          <t>transferencia popular</t>
        </is>
      </c>
      <c r="H34" s="9" t="inlineStr">
        <is>
          <t>Laura</t>
        </is>
      </c>
      <c r="I34" s="9" t="n"/>
    </row>
    <row r="35" ht="18" customHeight="1" s="149">
      <c r="A35" s="19" t="n">
        <v>32</v>
      </c>
      <c r="B35" s="17" t="inlineStr">
        <is>
          <t>2025-12-22</t>
        </is>
      </c>
      <c r="C35" s="17" t="inlineStr">
        <is>
          <t>Doky Diaz</t>
        </is>
      </c>
      <c r="D35" s="17" t="inlineStr">
        <is>
          <t>baño pequeño + corte completo</t>
        </is>
      </c>
      <c r="E35" s="17" t="inlineStr">
        <is>
          <t>Grooming</t>
        </is>
      </c>
      <c r="F35" s="54" t="n">
        <v>1548</v>
      </c>
      <c r="G35" s="17" t="inlineStr">
        <is>
          <t>Transferencia (ban.reserv.)</t>
        </is>
      </c>
      <c r="H35" s="17" t="inlineStr">
        <is>
          <t>Laura</t>
        </is>
      </c>
      <c r="I35" s="17" t="inlineStr">
        <is>
          <t>Kit de higiene navidad ($815) + Cepillo de peinar ($400)</t>
        </is>
      </c>
    </row>
    <row r="36" ht="18" customHeight="1" s="149">
      <c r="A36" s="15" t="n">
        <v>33</v>
      </c>
      <c r="B36" s="9" t="inlineStr">
        <is>
          <t>2025-12-22</t>
        </is>
      </c>
      <c r="C36" s="9" t="inlineStr">
        <is>
          <t>Rocco</t>
        </is>
      </c>
      <c r="D36" s="9" t="inlineStr">
        <is>
          <t>baño pequeño + corte completo</t>
        </is>
      </c>
      <c r="E36" s="9" t="inlineStr">
        <is>
          <t>Grooming</t>
        </is>
      </c>
      <c r="F36" s="14" t="n">
        <v>1548</v>
      </c>
      <c r="G36" s="9" t="n"/>
      <c r="H36" s="9" t="n"/>
      <c r="I36" s="9" t="n"/>
    </row>
    <row r="37" ht="18" customHeight="1" s="149">
      <c r="A37" s="19" t="n">
        <v>34</v>
      </c>
      <c r="B37" s="17" t="inlineStr">
        <is>
          <t>2025-12-22</t>
        </is>
      </c>
      <c r="C37" s="17" t="inlineStr">
        <is>
          <t>Bella Cosme</t>
        </is>
      </c>
      <c r="D37" s="17" t="inlineStr">
        <is>
          <t>baño pequeño</t>
        </is>
      </c>
      <c r="E37" s="17" t="inlineStr">
        <is>
          <t>Grooming</t>
        </is>
      </c>
      <c r="F37" s="54" t="n">
        <v>719</v>
      </c>
      <c r="G37" s="17" t="inlineStr">
        <is>
          <t>efectivo</t>
        </is>
      </c>
      <c r="H37" s="17" t="inlineStr">
        <is>
          <t>Laura</t>
        </is>
      </c>
      <c r="I37" s="17" t="inlineStr">
        <is>
          <t>10% descuento</t>
        </is>
      </c>
    </row>
    <row r="38" ht="18" customHeight="1" s="149">
      <c r="A38" s="15" t="n">
        <v>35</v>
      </c>
      <c r="B38" s="9" t="inlineStr">
        <is>
          <t>2025-12-21</t>
        </is>
      </c>
      <c r="C38" s="9" t="inlineStr">
        <is>
          <t>Odie Ureña</t>
        </is>
      </c>
      <c r="D38" s="9" t="inlineStr">
        <is>
          <t>baño pequeño + corte higienico</t>
        </is>
      </c>
      <c r="E38" s="9" t="inlineStr">
        <is>
          <t>Grooming</t>
        </is>
      </c>
      <c r="F38" s="14" t="n">
        <v>1289</v>
      </c>
      <c r="G38" s="9" t="inlineStr">
        <is>
          <t>transferencia popular</t>
        </is>
      </c>
      <c r="H38" s="9" t="n"/>
      <c r="I38" s="9" t="n"/>
    </row>
    <row r="39" ht="18" customHeight="1" s="149">
      <c r="A39" s="19" t="n">
        <v>36</v>
      </c>
      <c r="B39" s="17" t="inlineStr">
        <is>
          <t>2025-12-21</t>
        </is>
      </c>
      <c r="C39" s="17" t="inlineStr">
        <is>
          <t>Luna Zaira</t>
        </is>
      </c>
      <c r="D39" s="17" t="inlineStr">
        <is>
          <t>baño pequeño</t>
        </is>
      </c>
      <c r="E39" s="17" t="inlineStr">
        <is>
          <t>Grooming</t>
        </is>
      </c>
      <c r="F39" s="54" t="n">
        <v>799</v>
      </c>
      <c r="G39" s="17" t="inlineStr">
        <is>
          <t>Transferencia (ban.reserv.)</t>
        </is>
      </c>
      <c r="H39" s="17" t="n"/>
      <c r="I39" s="17" t="n"/>
    </row>
    <row r="40" ht="18" customHeight="1" s="149">
      <c r="A40" s="15" t="n">
        <v>37</v>
      </c>
      <c r="B40" s="9" t="inlineStr">
        <is>
          <t>2025-12-21</t>
        </is>
      </c>
      <c r="C40" s="9" t="inlineStr">
        <is>
          <t>Sky Peguero</t>
        </is>
      </c>
      <c r="D40" s="9" t="inlineStr">
        <is>
          <t>baño grande</t>
        </is>
      </c>
      <c r="E40" s="9" t="inlineStr">
        <is>
          <t>Grooming</t>
        </is>
      </c>
      <c r="F40" s="14" t="n">
        <v>1149</v>
      </c>
      <c r="G40" s="9" t="inlineStr">
        <is>
          <t>Transferencia (ban.reserv.)</t>
        </is>
      </c>
      <c r="H40" s="9" t="n"/>
      <c r="I40" s="9" t="n"/>
    </row>
    <row r="41" ht="18" customHeight="1" s="149">
      <c r="A41" s="19" t="n">
        <v>38</v>
      </c>
      <c r="B41" s="17" t="inlineStr">
        <is>
          <t>2025-12-20</t>
        </is>
      </c>
      <c r="C41" s="17" t="inlineStr">
        <is>
          <t>Oreo Hernandez</t>
        </is>
      </c>
      <c r="D41" s="17" t="inlineStr">
        <is>
          <t>baño pequeño</t>
        </is>
      </c>
      <c r="E41" s="17" t="inlineStr">
        <is>
          <t>Grooming</t>
        </is>
      </c>
      <c r="F41" s="54" t="n">
        <v>719</v>
      </c>
      <c r="G41" s="17" t="inlineStr">
        <is>
          <t>Transferencia (ban.reserv.)</t>
        </is>
      </c>
      <c r="H41" s="17" t="n"/>
      <c r="I41" s="17" t="inlineStr">
        <is>
          <t>10% descuento/  Collar largo ($180)+ Nexgard ($1,080)</t>
        </is>
      </c>
    </row>
    <row r="42" ht="18" customHeight="1" s="149">
      <c r="A42" s="15" t="n">
        <v>39</v>
      </c>
      <c r="B42" s="9" t="inlineStr">
        <is>
          <t>2025-12-20</t>
        </is>
      </c>
      <c r="C42" s="9" t="inlineStr">
        <is>
          <t>Doky</t>
        </is>
      </c>
      <c r="D42" s="9" t="inlineStr">
        <is>
          <t>baño pequeño</t>
        </is>
      </c>
      <c r="E42" s="9" t="inlineStr">
        <is>
          <t>Grooming</t>
        </is>
      </c>
      <c r="F42" s="14" t="n">
        <v>799</v>
      </c>
      <c r="G42" s="9" t="n"/>
      <c r="H42" s="9" t="n"/>
      <c r="I42" s="9" t="n"/>
    </row>
    <row r="43" ht="18" customHeight="1" s="149">
      <c r="A43" s="19" t="n">
        <v>40</v>
      </c>
      <c r="B43" s="17" t="inlineStr">
        <is>
          <t>2025-12-20</t>
        </is>
      </c>
      <c r="C43" s="17" t="inlineStr">
        <is>
          <t>Karim Plascencia</t>
        </is>
      </c>
      <c r="D43" s="17" t="inlineStr">
        <is>
          <t>Baño medicado</t>
        </is>
      </c>
      <c r="E43" s="17" t="inlineStr">
        <is>
          <t>Grooming</t>
        </is>
      </c>
      <c r="F43" s="54" t="n">
        <v>950</v>
      </c>
      <c r="G43" s="17" t="inlineStr">
        <is>
          <t>Transferencia (ban.reserv.)</t>
        </is>
      </c>
      <c r="H43" s="17" t="n"/>
      <c r="I43" s="17" t="inlineStr">
        <is>
          <t>NexGard 4-10kg</t>
        </is>
      </c>
    </row>
    <row r="44" ht="18" customHeight="1" s="149">
      <c r="A44" s="15" t="n">
        <v>41</v>
      </c>
      <c r="B44" s="9" t="inlineStr">
        <is>
          <t>2025-12-20</t>
        </is>
      </c>
      <c r="C44" s="9" t="inlineStr">
        <is>
          <t>Shayna Sanchez</t>
        </is>
      </c>
      <c r="D44" s="9" t="inlineStr">
        <is>
          <t>baño pequeño</t>
        </is>
      </c>
      <c r="E44" s="9" t="inlineStr">
        <is>
          <t>Grooming</t>
        </is>
      </c>
      <c r="F44" s="14" t="n">
        <v>799</v>
      </c>
      <c r="G44" s="9" t="inlineStr">
        <is>
          <t>Transferencia (ban.reserv.)</t>
        </is>
      </c>
      <c r="H44" s="9" t="n"/>
      <c r="I44" s="9" t="n"/>
    </row>
    <row r="45" ht="18" customHeight="1" s="149">
      <c r="A45" s="19" t="n">
        <v>42</v>
      </c>
      <c r="B45" s="17" t="inlineStr">
        <is>
          <t>2025-12-20</t>
        </is>
      </c>
      <c r="C45" s="17" t="inlineStr">
        <is>
          <t>Rey</t>
        </is>
      </c>
      <c r="D45" s="17" t="inlineStr">
        <is>
          <t>baño mediano + corte completo</t>
        </is>
      </c>
      <c r="E45" s="17" t="inlineStr">
        <is>
          <t>Grooming</t>
        </is>
      </c>
      <c r="F45" s="54" t="n">
        <v>1698</v>
      </c>
      <c r="G45" s="17" t="inlineStr">
        <is>
          <t>transferencia popular</t>
        </is>
      </c>
      <c r="H45" s="17" t="n"/>
      <c r="I45" s="17" t="inlineStr">
        <is>
          <t>Propina Alexander</t>
        </is>
      </c>
    </row>
    <row r="46" ht="18" customHeight="1" s="149">
      <c r="A46" s="15" t="n">
        <v>43</v>
      </c>
      <c r="B46" s="9" t="inlineStr">
        <is>
          <t>2025-12-19</t>
        </is>
      </c>
      <c r="C46" s="9" t="inlineStr">
        <is>
          <t>Annie</t>
        </is>
      </c>
      <c r="D46" s="9" t="inlineStr">
        <is>
          <t>baño mediano</t>
        </is>
      </c>
      <c r="E46" s="9" t="inlineStr">
        <is>
          <t>Grooming</t>
        </is>
      </c>
      <c r="F46" s="14" t="n">
        <v>854</v>
      </c>
      <c r="G46" s="9" t="inlineStr">
        <is>
          <t>transferencia popular</t>
        </is>
      </c>
      <c r="H46" s="9" t="n"/>
      <c r="I46" s="9" t="inlineStr">
        <is>
          <t>10% descuento</t>
        </is>
      </c>
    </row>
    <row r="47" ht="18" customHeight="1" s="149">
      <c r="A47" s="19" t="n">
        <v>44</v>
      </c>
      <c r="B47" s="17" t="inlineStr">
        <is>
          <t>2025-12-19</t>
        </is>
      </c>
      <c r="C47" s="17" t="inlineStr">
        <is>
          <t>Otto</t>
        </is>
      </c>
      <c r="D47" s="17" t="inlineStr">
        <is>
          <t>baño pequeño</t>
        </is>
      </c>
      <c r="E47" s="17" t="inlineStr">
        <is>
          <t>Grooming</t>
        </is>
      </c>
      <c r="F47" s="54" t="n">
        <v>719</v>
      </c>
      <c r="G47" s="17" t="n"/>
      <c r="H47" s="17" t="n"/>
      <c r="I47" s="17" t="n"/>
    </row>
    <row r="48" ht="18" customHeight="1" s="149">
      <c r="A48" s="15" t="n">
        <v>45</v>
      </c>
      <c r="B48" s="9" t="inlineStr">
        <is>
          <t>2025-12-19</t>
        </is>
      </c>
      <c r="C48" s="9" t="inlineStr">
        <is>
          <t>Shadow Maldonado</t>
        </is>
      </c>
      <c r="D48" s="9" t="inlineStr">
        <is>
          <t>baño grande</t>
        </is>
      </c>
      <c r="E48" s="9" t="inlineStr">
        <is>
          <t>Grooming</t>
        </is>
      </c>
      <c r="F48" s="14" t="n">
        <v>1149</v>
      </c>
      <c r="G48" s="9" t="inlineStr">
        <is>
          <t>transferencia popular</t>
        </is>
      </c>
      <c r="H48" s="9" t="n"/>
      <c r="I48" s="9" t="n"/>
    </row>
    <row r="49" ht="18" customHeight="1" s="149">
      <c r="A49" s="19" t="n">
        <v>46</v>
      </c>
      <c r="B49" s="17" t="inlineStr">
        <is>
          <t>2025-12-19</t>
        </is>
      </c>
      <c r="C49" s="17" t="inlineStr">
        <is>
          <t>Ali</t>
        </is>
      </c>
      <c r="D49" s="17" t="inlineStr">
        <is>
          <t>baño pequeño</t>
        </is>
      </c>
      <c r="E49" s="17" t="inlineStr">
        <is>
          <t>Grooming</t>
        </is>
      </c>
      <c r="F49" s="54" t="n">
        <v>719</v>
      </c>
      <c r="G49" s="17" t="n"/>
      <c r="H49" s="17" t="n"/>
      <c r="I49" s="17" t="n"/>
    </row>
    <row r="50" ht="18" customHeight="1" s="149">
      <c r="A50" s="15" t="n">
        <v>47</v>
      </c>
      <c r="B50" s="9" t="inlineStr">
        <is>
          <t>2025-12-18</t>
        </is>
      </c>
      <c r="C50" s="9" t="inlineStr">
        <is>
          <t>Max (Marcos)</t>
        </is>
      </c>
      <c r="D50" s="9" t="inlineStr">
        <is>
          <t>baño y corte completo</t>
        </is>
      </c>
      <c r="E50" s="9" t="inlineStr">
        <is>
          <t>Grooming</t>
        </is>
      </c>
      <c r="F50" s="14" t="n">
        <v>1548</v>
      </c>
      <c r="G50" s="9" t="inlineStr">
        <is>
          <t>Transferencia (ban.reserv.) Victor</t>
        </is>
      </c>
      <c r="H50" s="9" t="n"/>
      <c r="I50" s="9" t="inlineStr">
        <is>
          <t>Propina Alexander</t>
        </is>
      </c>
    </row>
    <row r="51" ht="18" customHeight="1" s="149">
      <c r="A51" s="19" t="n">
        <v>48</v>
      </c>
      <c r="B51" s="17" t="inlineStr">
        <is>
          <t>2025-12-18</t>
        </is>
      </c>
      <c r="C51" s="17" t="inlineStr">
        <is>
          <t>Shaina</t>
        </is>
      </c>
      <c r="D51" s="17" t="inlineStr">
        <is>
          <t>baño y corte completo</t>
        </is>
      </c>
      <c r="E51" s="17" t="inlineStr">
        <is>
          <t>Grooming</t>
        </is>
      </c>
      <c r="F51" s="54" t="n">
        <v>1548</v>
      </c>
      <c r="G51" s="17" t="inlineStr">
        <is>
          <t>transferencia popular</t>
        </is>
      </c>
      <c r="H51" s="17" t="n"/>
      <c r="I51" s="17" t="n"/>
    </row>
    <row r="52" ht="18" customHeight="1" s="149">
      <c r="A52" s="15" t="n">
        <v>49</v>
      </c>
      <c r="B52" s="9" t="inlineStr">
        <is>
          <t>2025-12-18</t>
        </is>
      </c>
      <c r="C52" s="9" t="inlineStr">
        <is>
          <t>Gucci</t>
        </is>
      </c>
      <c r="D52" s="9" t="inlineStr">
        <is>
          <t>baño pequeño</t>
        </is>
      </c>
      <c r="E52" s="9" t="inlineStr">
        <is>
          <t>Grooming</t>
        </is>
      </c>
      <c r="F52" s="14" t="n">
        <v>800</v>
      </c>
      <c r="G52" s="9" t="inlineStr">
        <is>
          <t>transferencia popular</t>
        </is>
      </c>
      <c r="H52" s="9" t="n"/>
      <c r="I52" s="9" t="n"/>
    </row>
    <row r="53" ht="18" customHeight="1" s="149">
      <c r="A53" s="19" t="n">
        <v>50</v>
      </c>
      <c r="B53" s="17" t="inlineStr">
        <is>
          <t>2025-12-18</t>
        </is>
      </c>
      <c r="C53" s="17" t="inlineStr">
        <is>
          <t>Liry</t>
        </is>
      </c>
      <c r="D53" s="17" t="inlineStr">
        <is>
          <t>baño mediano</t>
        </is>
      </c>
      <c r="E53" s="17" t="inlineStr">
        <is>
          <t>Grooming</t>
        </is>
      </c>
      <c r="F53" s="54" t="n">
        <v>949</v>
      </c>
      <c r="G53" s="17" t="inlineStr">
        <is>
          <t>transferencia popular</t>
        </is>
      </c>
      <c r="H53" s="17" t="n"/>
      <c r="I53" s="17" t="n"/>
    </row>
    <row r="54" ht="18" customHeight="1" s="149">
      <c r="A54" s="15" t="n">
        <v>51</v>
      </c>
      <c r="B54" s="9" t="inlineStr">
        <is>
          <t>2025-12-18</t>
        </is>
      </c>
      <c r="C54" s="9" t="inlineStr">
        <is>
          <t>Fendi</t>
        </is>
      </c>
      <c r="D54" s="9" t="inlineStr">
        <is>
          <t>baño mediano</t>
        </is>
      </c>
      <c r="E54" s="9" t="inlineStr">
        <is>
          <t>Grooming</t>
        </is>
      </c>
      <c r="F54" s="14" t="n">
        <v>949</v>
      </c>
      <c r="G54" s="9" t="inlineStr">
        <is>
          <t>transferencia popular</t>
        </is>
      </c>
      <c r="H54" s="9" t="n"/>
      <c r="I54" s="9" t="n"/>
    </row>
    <row r="55" ht="18" customHeight="1" s="149">
      <c r="A55" s="19" t="n">
        <v>52</v>
      </c>
      <c r="B55" s="17" t="inlineStr">
        <is>
          <t>2025-12-17</t>
        </is>
      </c>
      <c r="C55" s="17" t="inlineStr">
        <is>
          <t>Sin nombre (Ariz)</t>
        </is>
      </c>
      <c r="D55" s="17" t="inlineStr">
        <is>
          <t>baño pequeño</t>
        </is>
      </c>
      <c r="E55" s="17" t="inlineStr">
        <is>
          <t>Grooming</t>
        </is>
      </c>
      <c r="F55" s="54" t="n">
        <v>799</v>
      </c>
      <c r="G55" s="17" t="inlineStr">
        <is>
          <t>transferencia popular Victor</t>
        </is>
      </c>
      <c r="H55" s="17" t="n"/>
      <c r="I55" s="17" t="inlineStr">
        <is>
          <t>Nexgard 4kg</t>
        </is>
      </c>
    </row>
    <row r="56" ht="18" customHeight="1" s="149">
      <c r="A56" s="15" t="n">
        <v>53</v>
      </c>
      <c r="B56" s="9" t="inlineStr">
        <is>
          <t>2025-12-15</t>
        </is>
      </c>
      <c r="C56" s="9" t="inlineStr">
        <is>
          <t>Ruthy Severino</t>
        </is>
      </c>
      <c r="D56" s="9" t="inlineStr">
        <is>
          <t>baño pequeño</t>
        </is>
      </c>
      <c r="E56" s="9" t="inlineStr">
        <is>
          <t>Grooming</t>
        </is>
      </c>
      <c r="F56" s="14" t="n">
        <v>679</v>
      </c>
      <c r="G56" s="9" t="inlineStr">
        <is>
          <t>transferencia popular</t>
        </is>
      </c>
      <c r="H56" s="9" t="n"/>
      <c r="I56" s="9" t="inlineStr">
        <is>
          <t>NexGard (1105) (Propina Alexander (236)</t>
        </is>
      </c>
    </row>
    <row r="57" ht="18" customHeight="1" s="149">
      <c r="A57" s="19" t="n">
        <v>54</v>
      </c>
      <c r="B57" s="17" t="inlineStr">
        <is>
          <t>2025-12-15</t>
        </is>
      </c>
      <c r="C57" s="17" t="inlineStr">
        <is>
          <t>Niko</t>
        </is>
      </c>
      <c r="D57" s="17" t="inlineStr">
        <is>
          <t>baño pequeño</t>
        </is>
      </c>
      <c r="E57" s="17" t="inlineStr">
        <is>
          <t>Grooming</t>
        </is>
      </c>
      <c r="F57" s="54" t="n">
        <v>719</v>
      </c>
      <c r="G57" s="17" t="inlineStr">
        <is>
          <t>transferencia popular</t>
        </is>
      </c>
      <c r="H57" s="17" t="n"/>
      <c r="I57" s="17" t="inlineStr">
        <is>
          <t>Se le regalo un recogedor de heces (100)</t>
        </is>
      </c>
    </row>
    <row r="58" ht="18" customHeight="1" s="149">
      <c r="A58" s="15" t="n">
        <v>55</v>
      </c>
      <c r="B58" s="9" t="inlineStr">
        <is>
          <t>2025-12-15</t>
        </is>
      </c>
      <c r="C58" s="9" t="inlineStr">
        <is>
          <t>Kira</t>
        </is>
      </c>
      <c r="D58" s="9" t="inlineStr">
        <is>
          <t>baño pequeño</t>
        </is>
      </c>
      <c r="E58" s="9" t="inlineStr">
        <is>
          <t>Grooming</t>
        </is>
      </c>
      <c r="F58" s="14" t="n">
        <v>719</v>
      </c>
      <c r="G58" s="9" t="inlineStr">
        <is>
          <t>transferencia popular</t>
        </is>
      </c>
      <c r="H58" s="9" t="n"/>
      <c r="I58" s="9" t="n"/>
    </row>
    <row r="59" ht="18" customHeight="1" s="149">
      <c r="A59" s="19" t="n">
        <v>56</v>
      </c>
      <c r="B59" s="17" t="inlineStr">
        <is>
          <t>2025-12-15</t>
        </is>
      </c>
      <c r="C59" s="17" t="inlineStr">
        <is>
          <t>Tobias Hernandez</t>
        </is>
      </c>
      <c r="D59" s="17" t="inlineStr">
        <is>
          <t>baño pequeño + corte completo</t>
        </is>
      </c>
      <c r="E59" s="17" t="inlineStr">
        <is>
          <t>Grooming</t>
        </is>
      </c>
      <c r="F59" s="54" t="n">
        <v>1550</v>
      </c>
      <c r="G59" s="17" t="inlineStr">
        <is>
          <t>transferencia popular</t>
        </is>
      </c>
      <c r="H59" s="17" t="n"/>
      <c r="I59" s="17" t="n"/>
    </row>
    <row r="60" ht="18" customHeight="1" s="149">
      <c r="A60" s="15" t="n">
        <v>57</v>
      </c>
      <c r="B60" s="9" t="inlineStr">
        <is>
          <t>2025-12-15</t>
        </is>
      </c>
      <c r="C60" s="9" t="inlineStr">
        <is>
          <t>Brownie Hernandez</t>
        </is>
      </c>
      <c r="D60" s="9" t="inlineStr">
        <is>
          <t>baño cachorro + corte higienico</t>
        </is>
      </c>
      <c r="E60" s="9" t="inlineStr">
        <is>
          <t>Grooming</t>
        </is>
      </c>
      <c r="F60" s="14" t="n">
        <v>1189</v>
      </c>
      <c r="G60" s="9" t="inlineStr">
        <is>
          <t>efectivo</t>
        </is>
      </c>
      <c r="H60" s="9" t="n"/>
      <c r="I60" s="9" t="n"/>
    </row>
    <row r="61" ht="18" customHeight="1" s="149">
      <c r="A61" s="19" t="n">
        <v>58</v>
      </c>
      <c r="B61" s="17" t="inlineStr">
        <is>
          <t>2025-12-15</t>
        </is>
      </c>
      <c r="C61" s="17" t="inlineStr">
        <is>
          <t>Nala Herrera</t>
        </is>
      </c>
      <c r="D61" s="17" t="inlineStr">
        <is>
          <t>baño pequeño + corte completo</t>
        </is>
      </c>
      <c r="E61" s="17" t="inlineStr">
        <is>
          <t>Grooming</t>
        </is>
      </c>
      <c r="F61" s="54" t="n">
        <v>1548</v>
      </c>
      <c r="G61" s="17" t="inlineStr">
        <is>
          <t>transferencia popular</t>
        </is>
      </c>
      <c r="H61" s="17" t="inlineStr">
        <is>
          <t>LAURA</t>
        </is>
      </c>
      <c r="I61" s="17" t="n"/>
    </row>
    <row r="62" ht="18" customHeight="1" s="149">
      <c r="A62" s="15" t="n">
        <v>59</v>
      </c>
      <c r="B62" s="9" t="inlineStr">
        <is>
          <t>2025-12-14</t>
        </is>
      </c>
      <c r="C62" s="9" t="inlineStr">
        <is>
          <t>Poki</t>
        </is>
      </c>
      <c r="D62" s="9" t="inlineStr">
        <is>
          <t>baño pequeño</t>
        </is>
      </c>
      <c r="E62" s="9" t="inlineStr">
        <is>
          <t>Grooming</t>
        </is>
      </c>
      <c r="F62" s="14" t="n">
        <v>800</v>
      </c>
      <c r="G62" s="9" t="inlineStr">
        <is>
          <t>Transferencia (ban.reserv.)</t>
        </is>
      </c>
      <c r="H62" s="9" t="inlineStr">
        <is>
          <t>LAURA</t>
        </is>
      </c>
      <c r="I62" s="9" t="n"/>
    </row>
    <row r="63" ht="18" customHeight="1" s="149">
      <c r="A63" s="19" t="n">
        <v>60</v>
      </c>
      <c r="B63" s="17" t="inlineStr">
        <is>
          <t>2025-12-14</t>
        </is>
      </c>
      <c r="C63" s="17" t="inlineStr">
        <is>
          <t>Mila</t>
        </is>
      </c>
      <c r="D63" s="17" t="inlineStr">
        <is>
          <t>baño pequeño</t>
        </is>
      </c>
      <c r="E63" s="17" t="inlineStr">
        <is>
          <t>Grooming</t>
        </is>
      </c>
      <c r="F63" s="54" t="n">
        <v>800</v>
      </c>
      <c r="G63" s="17" t="inlineStr">
        <is>
          <t>Transferencia (ban.reserv.)</t>
        </is>
      </c>
      <c r="H63" s="17" t="inlineStr">
        <is>
          <t>Laura</t>
        </is>
      </c>
      <c r="I63" s="17" t="n"/>
    </row>
    <row r="64" ht="18" customHeight="1" s="149">
      <c r="A64" s="15" t="n">
        <v>61</v>
      </c>
      <c r="B64" s="9" t="inlineStr">
        <is>
          <t>2025-12-14</t>
        </is>
      </c>
      <c r="C64" s="9" t="inlineStr">
        <is>
          <t>Bella Vargas</t>
        </is>
      </c>
      <c r="D64" s="9" t="inlineStr">
        <is>
          <t>Baño pequeño + corte higienico</t>
        </is>
      </c>
      <c r="E64" s="9" t="inlineStr">
        <is>
          <t>Grooming</t>
        </is>
      </c>
      <c r="F64" s="14" t="n">
        <v>800</v>
      </c>
      <c r="G64" s="9" t="inlineStr">
        <is>
          <t>efectivo</t>
        </is>
      </c>
      <c r="H64" s="9" t="inlineStr">
        <is>
          <t>Laura</t>
        </is>
      </c>
      <c r="I64" s="9" t="inlineStr">
        <is>
          <t>Se hizo descuento de $490</t>
        </is>
      </c>
    </row>
    <row r="65" ht="18" customHeight="1" s="149">
      <c r="A65" s="19" t="n">
        <v>62</v>
      </c>
      <c r="B65" s="17" t="inlineStr">
        <is>
          <t>2025-12-14</t>
        </is>
      </c>
      <c r="C65" s="17" t="inlineStr">
        <is>
          <t>Oliver</t>
        </is>
      </c>
      <c r="D65" s="17" t="inlineStr">
        <is>
          <t>baño pequeño</t>
        </is>
      </c>
      <c r="E65" s="17" t="inlineStr">
        <is>
          <t>Grooming</t>
        </is>
      </c>
      <c r="F65" s="54" t="n">
        <v>799</v>
      </c>
      <c r="G65" s="17" t="inlineStr">
        <is>
          <t>efectivo</t>
        </is>
      </c>
      <c r="H65" s="17" t="inlineStr">
        <is>
          <t>LAURA</t>
        </is>
      </c>
      <c r="I65" s="17" t="inlineStr">
        <is>
          <t>Collar + correa (250 c/u)</t>
        </is>
      </c>
    </row>
    <row r="66" ht="18" customHeight="1" s="149">
      <c r="A66" s="15" t="n">
        <v>63</v>
      </c>
      <c r="B66" s="9" t="inlineStr">
        <is>
          <t>2025-12-14</t>
        </is>
      </c>
      <c r="C66" s="9" t="inlineStr">
        <is>
          <t>Minnie Jimenez</t>
        </is>
      </c>
      <c r="D66" s="9" t="inlineStr">
        <is>
          <t>Baño pequeño + corte higienico</t>
        </is>
      </c>
      <c r="E66" s="9" t="inlineStr">
        <is>
          <t>Grooming</t>
        </is>
      </c>
      <c r="F66" s="14" t="n">
        <v>1289</v>
      </c>
      <c r="G66" s="9" t="inlineStr">
        <is>
          <t>efectivo</t>
        </is>
      </c>
      <c r="H66" s="9" t="inlineStr">
        <is>
          <t>LAURA</t>
        </is>
      </c>
      <c r="I66" s="9" t="inlineStr">
        <is>
          <t>Hemolitan</t>
        </is>
      </c>
    </row>
    <row r="67" ht="18" customHeight="1" s="149">
      <c r="A67" s="19" t="n">
        <v>64</v>
      </c>
      <c r="B67" s="17" t="inlineStr">
        <is>
          <t>2025-12-13</t>
        </is>
      </c>
      <c r="C67" s="17" t="inlineStr">
        <is>
          <t>Karim Plascencia</t>
        </is>
      </c>
      <c r="D67" s="17" t="inlineStr">
        <is>
          <t>baño medicado + corte completo</t>
        </is>
      </c>
      <c r="E67" s="17" t="inlineStr">
        <is>
          <t>Grooming</t>
        </is>
      </c>
      <c r="F67" s="54" t="n">
        <v>1699</v>
      </c>
      <c r="G67" s="17" t="inlineStr">
        <is>
          <t>Transferencia (ban.reserv.)</t>
        </is>
      </c>
      <c r="H67" s="17" t="inlineStr">
        <is>
          <t>Laura</t>
        </is>
      </c>
      <c r="I67" s="17" t="inlineStr">
        <is>
          <t>Mineravit</t>
        </is>
      </c>
    </row>
    <row r="68" ht="18" customHeight="1" s="149">
      <c r="A68" s="15" t="n">
        <v>65</v>
      </c>
      <c r="B68" s="9" t="inlineStr">
        <is>
          <t>2025-12-13</t>
        </is>
      </c>
      <c r="C68" s="9" t="inlineStr">
        <is>
          <t>Cookie</t>
        </is>
      </c>
      <c r="D68" s="9" t="inlineStr">
        <is>
          <t>baño pequeño</t>
        </is>
      </c>
      <c r="E68" s="9" t="inlineStr">
        <is>
          <t>Grooming</t>
        </is>
      </c>
      <c r="F68" s="14" t="n">
        <v>800</v>
      </c>
      <c r="G68" s="9" t="inlineStr">
        <is>
          <t>transferencia popular</t>
        </is>
      </c>
      <c r="H68" s="9" t="inlineStr">
        <is>
          <t>LAURA</t>
        </is>
      </c>
      <c r="I68" s="9" t="n"/>
    </row>
    <row r="69" ht="18" customHeight="1" s="149">
      <c r="A69" s="19" t="n">
        <v>66</v>
      </c>
      <c r="B69" s="17" t="inlineStr">
        <is>
          <t>2025-12-13</t>
        </is>
      </c>
      <c r="C69" s="17" t="inlineStr">
        <is>
          <t>Lucky</t>
        </is>
      </c>
      <c r="D69" s="17" t="inlineStr">
        <is>
          <t>baño pequeño + corte completo</t>
        </is>
      </c>
      <c r="E69" s="17" t="inlineStr">
        <is>
          <t>Grooming</t>
        </is>
      </c>
      <c r="F69" s="54" t="n">
        <v>1548</v>
      </c>
      <c r="G69" s="17" t="inlineStr">
        <is>
          <t>efectivo</t>
        </is>
      </c>
      <c r="H69" s="17" t="inlineStr">
        <is>
          <t>LAURA</t>
        </is>
      </c>
      <c r="I69" s="17" t="n"/>
    </row>
    <row r="70" ht="18" customHeight="1" s="149">
      <c r="A70" s="15" t="n">
        <v>67</v>
      </c>
      <c r="B70" s="9" t="inlineStr">
        <is>
          <t>2025-12-13</t>
        </is>
      </c>
      <c r="C70" s="9" t="inlineStr">
        <is>
          <t>Nick Ortiz</t>
        </is>
      </c>
      <c r="D70" s="9" t="inlineStr">
        <is>
          <t>baño pequeño + corte completo</t>
        </is>
      </c>
      <c r="E70" s="9" t="inlineStr">
        <is>
          <t>Grooming</t>
        </is>
      </c>
      <c r="F70" s="14" t="n">
        <v>1393</v>
      </c>
      <c r="G70" s="9" t="inlineStr">
        <is>
          <t>transferencia popular Victor</t>
        </is>
      </c>
      <c r="H70" s="9" t="inlineStr">
        <is>
          <t>LAURA</t>
        </is>
      </c>
      <c r="I70" s="9" t="inlineStr">
        <is>
          <t>NEXGARD S</t>
        </is>
      </c>
    </row>
    <row r="71" ht="18" customHeight="1" s="149">
      <c r="A71" s="19" t="n">
        <v>68</v>
      </c>
      <c r="B71" s="17" t="inlineStr">
        <is>
          <t>2025-12-13</t>
        </is>
      </c>
      <c r="C71" s="17" t="inlineStr">
        <is>
          <t>Kaki taveras</t>
        </is>
      </c>
      <c r="D71" s="17" t="inlineStr">
        <is>
          <t>baño pequeño</t>
        </is>
      </c>
      <c r="E71" s="17" t="inlineStr">
        <is>
          <t>Grooming</t>
        </is>
      </c>
      <c r="F71" s="54" t="n">
        <v>799</v>
      </c>
      <c r="G71" s="17" t="inlineStr">
        <is>
          <t>efectivo</t>
        </is>
      </c>
      <c r="H71" s="17" t="inlineStr">
        <is>
          <t>LAURA</t>
        </is>
      </c>
      <c r="I71" s="17" t="n"/>
    </row>
    <row r="72" ht="18" customHeight="1" s="149">
      <c r="A72" s="15" t="n">
        <v>69</v>
      </c>
      <c r="B72" s="9" t="inlineStr">
        <is>
          <t>2025-12-13</t>
        </is>
      </c>
      <c r="C72" s="9" t="inlineStr">
        <is>
          <t>Honey Taveras</t>
        </is>
      </c>
      <c r="D72" s="9" t="inlineStr">
        <is>
          <t>baño pequeño</t>
        </is>
      </c>
      <c r="E72" s="9" t="inlineStr">
        <is>
          <t>Grooming</t>
        </is>
      </c>
      <c r="F72" s="14" t="n">
        <v>799</v>
      </c>
      <c r="G72" s="9" t="inlineStr">
        <is>
          <t>efectivo</t>
        </is>
      </c>
      <c r="H72" s="9" t="inlineStr">
        <is>
          <t>LAURA</t>
        </is>
      </c>
      <c r="I72" s="9" t="n"/>
    </row>
    <row r="73" ht="18" customHeight="1" s="149">
      <c r="A73" s="19" t="n">
        <v>70</v>
      </c>
      <c r="B73" s="17" t="inlineStr">
        <is>
          <t>2025-12-13</t>
        </is>
      </c>
      <c r="C73" s="17" t="inlineStr">
        <is>
          <t>Ares</t>
        </is>
      </c>
      <c r="D73" s="17" t="inlineStr">
        <is>
          <t>bano cachorro</t>
        </is>
      </c>
      <c r="E73" s="17" t="inlineStr">
        <is>
          <t>Grooming</t>
        </is>
      </c>
      <c r="F73" s="54" t="n">
        <v>700</v>
      </c>
      <c r="G73" s="17" t="inlineStr">
        <is>
          <t>transferencia popular</t>
        </is>
      </c>
      <c r="H73" s="17" t="inlineStr">
        <is>
          <t>LAURA</t>
        </is>
      </c>
      <c r="I73" s="17" t="n"/>
    </row>
    <row r="74" ht="18" customHeight="1" s="149">
      <c r="A74" s="15" t="n">
        <v>71</v>
      </c>
      <c r="B74" s="9" t="inlineStr">
        <is>
          <t>2025-12-12</t>
        </is>
      </c>
      <c r="C74" s="9" t="inlineStr">
        <is>
          <t>Otto</t>
        </is>
      </c>
      <c r="D74" s="9" t="inlineStr">
        <is>
          <t>baño pequeño + corte completo</t>
        </is>
      </c>
      <c r="E74" s="9" t="inlineStr">
        <is>
          <t>Grooming</t>
        </is>
      </c>
      <c r="F74" s="14" t="n">
        <v>1548</v>
      </c>
      <c r="G74" s="9" t="inlineStr">
        <is>
          <t>transferencia popular</t>
        </is>
      </c>
      <c r="H74" s="9" t="inlineStr">
        <is>
          <t>LAURA</t>
        </is>
      </c>
      <c r="I74" s="9" t="inlineStr">
        <is>
          <t>Spray Wee Wee (500)+ colonia lulu (200)+ termo de agua (275)</t>
        </is>
      </c>
    </row>
    <row r="75" ht="18" customHeight="1" s="149">
      <c r="A75" s="19" t="n">
        <v>72</v>
      </c>
      <c r="B75" s="17" t="inlineStr">
        <is>
          <t>2025-12-11</t>
        </is>
      </c>
      <c r="C75" s="17" t="inlineStr">
        <is>
          <t>Mel</t>
        </is>
      </c>
      <c r="D75" s="17" t="inlineStr">
        <is>
          <t>bano pequeno + desenrede</t>
        </is>
      </c>
      <c r="E75" s="17" t="inlineStr">
        <is>
          <t>Grooming</t>
        </is>
      </c>
      <c r="F75" s="54" t="n">
        <v>1489</v>
      </c>
      <c r="G75" s="17" t="inlineStr">
        <is>
          <t>transferencia popular</t>
        </is>
      </c>
      <c r="H75" s="17" t="inlineStr">
        <is>
          <t>LAURA</t>
        </is>
      </c>
      <c r="I75" s="17" t="n"/>
    </row>
    <row r="76" ht="18" customHeight="1" s="149">
      <c r="A76" s="15" t="n">
        <v>73</v>
      </c>
      <c r="B76" s="9" t="inlineStr">
        <is>
          <t>2025-12-10</t>
        </is>
      </c>
      <c r="C76" s="9" t="inlineStr">
        <is>
          <t>Bruno</t>
        </is>
      </c>
      <c r="D76" s="9" t="inlineStr">
        <is>
          <t>baño pequeño</t>
        </is>
      </c>
      <c r="E76" s="9" t="inlineStr">
        <is>
          <t>Grooming</t>
        </is>
      </c>
      <c r="F76" s="14" t="n">
        <v>799</v>
      </c>
      <c r="G76" s="9" t="inlineStr">
        <is>
          <t>efectivo</t>
        </is>
      </c>
      <c r="H76" s="9" t="inlineStr">
        <is>
          <t>LAURA</t>
        </is>
      </c>
      <c r="I76" s="9" t="n"/>
    </row>
    <row r="77" ht="18" customHeight="1" s="149">
      <c r="A77" s="19" t="n">
        <v>74</v>
      </c>
      <c r="B77" s="17" t="inlineStr">
        <is>
          <t>2025-12-10</t>
        </is>
      </c>
      <c r="C77" s="17" t="inlineStr">
        <is>
          <t>Benji</t>
        </is>
      </c>
      <c r="D77" s="17" t="inlineStr">
        <is>
          <t>baño mediano</t>
        </is>
      </c>
      <c r="E77" s="17" t="inlineStr">
        <is>
          <t>Grooming</t>
        </is>
      </c>
      <c r="F77" s="54" t="n">
        <v>949</v>
      </c>
      <c r="G77" s="17" t="inlineStr">
        <is>
          <t>Transferencia (ban.reserv.)</t>
        </is>
      </c>
      <c r="H77" s="17" t="inlineStr">
        <is>
          <t>LAURA</t>
        </is>
      </c>
      <c r="I77" s="17" t="n"/>
    </row>
    <row r="78" ht="18" customHeight="1" s="149">
      <c r="A78" s="15" t="n">
        <v>75</v>
      </c>
      <c r="B78" s="9" t="inlineStr">
        <is>
          <t>2025-12-10</t>
        </is>
      </c>
      <c r="C78" s="9" t="inlineStr">
        <is>
          <t>Bobby</t>
        </is>
      </c>
      <c r="D78" s="9" t="inlineStr">
        <is>
          <t>baño pequeño</t>
        </is>
      </c>
      <c r="E78" s="9" t="inlineStr">
        <is>
          <t>Grooming</t>
        </is>
      </c>
      <c r="F78" s="14" t="n">
        <v>799</v>
      </c>
      <c r="G78" s="9" t="inlineStr">
        <is>
          <t>efectivo</t>
        </is>
      </c>
      <c r="H78" s="9" t="inlineStr">
        <is>
          <t>LAURA</t>
        </is>
      </c>
      <c r="I78" s="9" t="n"/>
    </row>
    <row r="79" ht="18" customHeight="1" s="149">
      <c r="A79" s="19" t="n">
        <v>76</v>
      </c>
      <c r="B79" s="17" t="inlineStr">
        <is>
          <t>2025-12-10</t>
        </is>
      </c>
      <c r="C79" s="17" t="inlineStr">
        <is>
          <t>Rocky</t>
        </is>
      </c>
      <c r="D79" s="17" t="inlineStr">
        <is>
          <t>bano cachorro + corte higienico</t>
        </is>
      </c>
      <c r="E79" s="17" t="inlineStr">
        <is>
          <t>Grooming</t>
        </is>
      </c>
      <c r="F79" s="54" t="n">
        <v>1189</v>
      </c>
      <c r="G79" s="17" t="inlineStr">
        <is>
          <t>transferencia popular</t>
        </is>
      </c>
      <c r="H79" s="17" t="inlineStr">
        <is>
          <t>LAURA</t>
        </is>
      </c>
      <c r="I79" s="17" t="n"/>
    </row>
    <row r="80" ht="18" customHeight="1" s="149">
      <c r="A80" s="15" t="n">
        <v>77</v>
      </c>
      <c r="B80" s="9" t="inlineStr">
        <is>
          <t>2025-12-10</t>
        </is>
      </c>
      <c r="C80" s="9" t="inlineStr">
        <is>
          <t>Milo</t>
        </is>
      </c>
      <c r="D80" s="9" t="inlineStr">
        <is>
          <t>baño pequeño + corte completo</t>
        </is>
      </c>
      <c r="E80" s="9" t="inlineStr">
        <is>
          <t>Grooming</t>
        </is>
      </c>
      <c r="F80" s="14" t="n">
        <v>1548</v>
      </c>
      <c r="G80" s="9" t="inlineStr">
        <is>
          <t>transferencia popular</t>
        </is>
      </c>
      <c r="H80" s="9" t="inlineStr">
        <is>
          <t>LAURA</t>
        </is>
      </c>
      <c r="I80" s="9" t="n"/>
    </row>
    <row r="81" ht="18" customHeight="1" s="149">
      <c r="A81" s="19" t="n">
        <v>78</v>
      </c>
      <c r="B81" s="17" t="inlineStr">
        <is>
          <t>2025-12-08</t>
        </is>
      </c>
      <c r="C81" s="17" t="inlineStr">
        <is>
          <t>Mia Pon</t>
        </is>
      </c>
      <c r="D81" s="17" t="inlineStr">
        <is>
          <t>baño pequeño + corte completo</t>
        </is>
      </c>
      <c r="E81" s="17" t="inlineStr">
        <is>
          <t>Grooming</t>
        </is>
      </c>
      <c r="F81" s="54" t="n">
        <v>1393</v>
      </c>
      <c r="G81" s="17" t="inlineStr">
        <is>
          <t>transferencia popular</t>
        </is>
      </c>
      <c r="H81" s="17" t="inlineStr">
        <is>
          <t>LAURA</t>
        </is>
      </c>
      <c r="I81" s="17" t="inlineStr">
        <is>
          <t>10% DESCUENTO</t>
        </is>
      </c>
    </row>
    <row r="82" ht="18" customHeight="1" s="149">
      <c r="A82" s="15" t="n">
        <v>79</v>
      </c>
      <c r="B82" s="9" t="inlineStr">
        <is>
          <t>2025-12-08</t>
        </is>
      </c>
      <c r="C82" s="9" t="inlineStr">
        <is>
          <t>Simba</t>
        </is>
      </c>
      <c r="D82" s="9" t="inlineStr">
        <is>
          <t>baño cachorro</t>
        </is>
      </c>
      <c r="E82" s="9" t="inlineStr">
        <is>
          <t>Grooming</t>
        </is>
      </c>
      <c r="F82" s="14" t="n">
        <v>629</v>
      </c>
      <c r="G82" s="9" t="inlineStr">
        <is>
          <t>transferencia popular</t>
        </is>
      </c>
      <c r="H82" s="9" t="inlineStr">
        <is>
          <t>LAURA</t>
        </is>
      </c>
      <c r="I82" s="9" t="inlineStr">
        <is>
          <t>10% descuento</t>
        </is>
      </c>
    </row>
    <row r="83" ht="18" customHeight="1" s="149">
      <c r="A83" s="19" t="n">
        <v>80</v>
      </c>
      <c r="B83" s="17" t="inlineStr">
        <is>
          <t>2025-12-08</t>
        </is>
      </c>
      <c r="C83" s="17" t="inlineStr">
        <is>
          <t>Puppy</t>
        </is>
      </c>
      <c r="D83" s="17" t="inlineStr">
        <is>
          <t>baño pequeño + corte completo</t>
        </is>
      </c>
      <c r="E83" s="17" t="inlineStr">
        <is>
          <t>Grooming</t>
        </is>
      </c>
      <c r="F83" s="54" t="n">
        <v>1393</v>
      </c>
      <c r="G83" s="17" t="inlineStr">
        <is>
          <t>transferencia popular</t>
        </is>
      </c>
      <c r="H83" s="17" t="inlineStr">
        <is>
          <t>LAURA</t>
        </is>
      </c>
      <c r="I83" s="17" t="inlineStr">
        <is>
          <t>10% descuento</t>
        </is>
      </c>
    </row>
    <row r="84" ht="18" customHeight="1" s="149">
      <c r="A84" s="15" t="n">
        <v>81</v>
      </c>
      <c r="B84" s="9" t="inlineStr">
        <is>
          <t>2025-12-07</t>
        </is>
      </c>
      <c r="C84" s="9" t="inlineStr">
        <is>
          <t>Coco</t>
        </is>
      </c>
      <c r="D84" s="9" t="inlineStr">
        <is>
          <t>baño pequeño + corte completo</t>
        </is>
      </c>
      <c r="E84" s="9" t="inlineStr">
        <is>
          <t>Grooming</t>
        </is>
      </c>
      <c r="F84" s="14" t="n">
        <v>1548</v>
      </c>
      <c r="G84" s="9" t="inlineStr">
        <is>
          <t>efectivo</t>
        </is>
      </c>
      <c r="H84" s="9" t="inlineStr">
        <is>
          <t>Laura</t>
        </is>
      </c>
      <c r="I84" s="9" t="n"/>
    </row>
    <row r="85" ht="18" customHeight="1" s="149">
      <c r="A85" s="19" t="n">
        <v>82</v>
      </c>
      <c r="B85" s="17" t="inlineStr">
        <is>
          <t>2025-12-07</t>
        </is>
      </c>
      <c r="C85" s="17" t="inlineStr">
        <is>
          <t>Oreo  Ramirez</t>
        </is>
      </c>
      <c r="D85" s="17" t="inlineStr">
        <is>
          <t>Baño pequeño + corte higienico</t>
        </is>
      </c>
      <c r="E85" s="17" t="inlineStr">
        <is>
          <t>Grooming</t>
        </is>
      </c>
      <c r="F85" s="54" t="n">
        <v>1289</v>
      </c>
      <c r="G85" s="17" t="inlineStr">
        <is>
          <t>Transferencia (ban.reserv.)</t>
        </is>
      </c>
      <c r="H85" s="17" t="inlineStr">
        <is>
          <t>Laura</t>
        </is>
      </c>
      <c r="I85" s="17" t="n"/>
    </row>
    <row r="86" ht="18" customHeight="1" s="149">
      <c r="A86" s="15" t="n">
        <v>83</v>
      </c>
      <c r="B86" s="9" t="inlineStr">
        <is>
          <t>2025-12-07</t>
        </is>
      </c>
      <c r="C86" s="9" t="inlineStr">
        <is>
          <t>Esthela Santos</t>
        </is>
      </c>
      <c r="D86" s="9" t="inlineStr">
        <is>
          <t>baño mediano</t>
        </is>
      </c>
      <c r="E86" s="9" t="inlineStr">
        <is>
          <t>Grooming</t>
        </is>
      </c>
      <c r="F86" s="14" t="n">
        <v>950</v>
      </c>
      <c r="G86" s="9" t="inlineStr">
        <is>
          <t>efectivo</t>
        </is>
      </c>
      <c r="H86" s="9" t="inlineStr">
        <is>
          <t>Laura</t>
        </is>
      </c>
      <c r="I86" s="9" t="n"/>
    </row>
    <row r="87" ht="18" customHeight="1" s="149">
      <c r="A87" s="19" t="n">
        <v>84</v>
      </c>
      <c r="B87" s="17" t="inlineStr">
        <is>
          <t>2025-12-06</t>
        </is>
      </c>
      <c r="C87" s="17" t="inlineStr">
        <is>
          <t>Oreo Molina</t>
        </is>
      </c>
      <c r="D87" s="17" t="inlineStr">
        <is>
          <t>baño pequeño</t>
        </is>
      </c>
      <c r="E87" s="17" t="inlineStr">
        <is>
          <t>Grooming</t>
        </is>
      </c>
      <c r="F87" s="54" t="n">
        <v>799</v>
      </c>
      <c r="G87" s="17" t="inlineStr">
        <is>
          <t>efectivo</t>
        </is>
      </c>
      <c r="H87" s="17" t="inlineStr">
        <is>
          <t>laura</t>
        </is>
      </c>
      <c r="I87" s="17" t="n"/>
    </row>
    <row r="88" ht="18" customHeight="1" s="149">
      <c r="A88" s="15" t="n">
        <v>85</v>
      </c>
      <c r="B88" s="9" t="inlineStr">
        <is>
          <t>2025-12-06</t>
        </is>
      </c>
      <c r="C88" s="9" t="inlineStr">
        <is>
          <t>Luna Maria Lopez</t>
        </is>
      </c>
      <c r="D88" s="9" t="inlineStr">
        <is>
          <t>Baño pequeño</t>
        </is>
      </c>
      <c r="E88" s="9" t="inlineStr">
        <is>
          <t>Grooming</t>
        </is>
      </c>
      <c r="F88" s="14" t="n">
        <v>799</v>
      </c>
      <c r="G88" s="9" t="inlineStr">
        <is>
          <t>Transferencia (ban.reserv.)</t>
        </is>
      </c>
      <c r="H88" s="9" t="inlineStr">
        <is>
          <t>Laura</t>
        </is>
      </c>
      <c r="I88" s="9" t="inlineStr">
        <is>
          <t>Compró recogedor para heces ($100) + propina A. ($100)</t>
        </is>
      </c>
    </row>
    <row r="89" ht="18" customHeight="1" s="149">
      <c r="A89" s="19" t="n">
        <v>86</v>
      </c>
      <c r="B89" s="17" t="inlineStr">
        <is>
          <t>2025-12-06</t>
        </is>
      </c>
      <c r="C89" s="17" t="inlineStr">
        <is>
          <t>Doky Melendez</t>
        </is>
      </c>
      <c r="D89" s="17" t="inlineStr">
        <is>
          <t>bañ mediano + corte higienico</t>
        </is>
      </c>
      <c r="E89" s="17" t="inlineStr">
        <is>
          <t>Grooming</t>
        </is>
      </c>
      <c r="F89" s="54" t="n">
        <v>1439</v>
      </c>
      <c r="G89" s="17" t="inlineStr">
        <is>
          <t>efectivo</t>
        </is>
      </c>
      <c r="H89" s="17" t="inlineStr">
        <is>
          <t>laura</t>
        </is>
      </c>
      <c r="I89" s="17" t="n"/>
    </row>
    <row r="90" ht="18" customHeight="1" s="149">
      <c r="A90" s="15" t="n">
        <v>87</v>
      </c>
      <c r="B90" s="9" t="inlineStr">
        <is>
          <t>2025-12-06</t>
        </is>
      </c>
      <c r="C90" s="9" t="inlineStr">
        <is>
          <t>Luna Pola</t>
        </is>
      </c>
      <c r="D90" s="9" t="inlineStr">
        <is>
          <t>baño pequeño</t>
        </is>
      </c>
      <c r="E90" s="9" t="inlineStr">
        <is>
          <t>Grooming</t>
        </is>
      </c>
      <c r="F90" s="14" t="n">
        <v>799</v>
      </c>
      <c r="G90" s="9" t="inlineStr">
        <is>
          <t>efectivo</t>
        </is>
      </c>
      <c r="H90" s="9" t="inlineStr">
        <is>
          <t>laura</t>
        </is>
      </c>
      <c r="I90" s="9" t="inlineStr">
        <is>
          <t>Propina Alexander</t>
        </is>
      </c>
    </row>
    <row r="91" ht="18" customHeight="1" s="149">
      <c r="A91" s="19" t="n">
        <v>88</v>
      </c>
      <c r="B91" s="17" t="inlineStr">
        <is>
          <t>2025-12-06</t>
        </is>
      </c>
      <c r="C91" s="17" t="inlineStr">
        <is>
          <t>3</t>
        </is>
      </c>
      <c r="D91" s="17" t="inlineStr">
        <is>
          <t>baño pequeño</t>
        </is>
      </c>
      <c r="E91" s="17" t="inlineStr">
        <is>
          <t>Grooming</t>
        </is>
      </c>
      <c r="F91" s="54" t="n">
        <v>799</v>
      </c>
      <c r="G91" s="17" t="inlineStr">
        <is>
          <t>efectivo</t>
        </is>
      </c>
      <c r="H91" s="17" t="inlineStr">
        <is>
          <t>laura</t>
        </is>
      </c>
      <c r="I91" s="17" t="n"/>
    </row>
    <row r="92" ht="18" customHeight="1" s="149">
      <c r="A92" s="15" t="n">
        <v>89</v>
      </c>
      <c r="B92" s="9" t="inlineStr">
        <is>
          <t>2025-12-06</t>
        </is>
      </c>
      <c r="C92" s="9" t="inlineStr">
        <is>
          <t>Cocha</t>
        </is>
      </c>
      <c r="D92" s="9" t="inlineStr">
        <is>
          <t>baño pequeño + corte completo</t>
        </is>
      </c>
      <c r="E92" s="9" t="inlineStr">
        <is>
          <t>Grooming</t>
        </is>
      </c>
      <c r="F92" s="14" t="n">
        <v>1548</v>
      </c>
      <c r="G92" s="9" t="inlineStr">
        <is>
          <t>efectivo</t>
        </is>
      </c>
      <c r="H92" s="9" t="inlineStr">
        <is>
          <t>Laura</t>
        </is>
      </c>
      <c r="I92" s="9" t="inlineStr">
        <is>
          <t>NEXGARD</t>
        </is>
      </c>
    </row>
    <row r="93" ht="18" customHeight="1" s="149">
      <c r="A93" s="19" t="n">
        <v>90</v>
      </c>
      <c r="B93" s="17" t="inlineStr">
        <is>
          <t>2025-12-06</t>
        </is>
      </c>
      <c r="C93" s="17" t="inlineStr">
        <is>
          <t>Copito Sanchez</t>
        </is>
      </c>
      <c r="D93" s="17" t="inlineStr">
        <is>
          <t>Baño pequeño + corte higienico</t>
        </is>
      </c>
      <c r="E93" s="17" t="inlineStr">
        <is>
          <t>Grooming</t>
        </is>
      </c>
      <c r="F93" s="54" t="n">
        <v>1289</v>
      </c>
      <c r="G93" s="17" t="inlineStr">
        <is>
          <t>Transferencia (ban.reserv.)</t>
        </is>
      </c>
      <c r="H93" s="17" t="inlineStr">
        <is>
          <t>Laura</t>
        </is>
      </c>
      <c r="I93" s="17" t="inlineStr">
        <is>
          <t>Dejo menudo de mas.</t>
        </is>
      </c>
    </row>
    <row r="94" ht="18" customHeight="1" s="149">
      <c r="A94" s="15" t="n">
        <v>91</v>
      </c>
      <c r="B94" s="9" t="inlineStr">
        <is>
          <t>2025-12-06</t>
        </is>
      </c>
      <c r="C94" s="9" t="inlineStr">
        <is>
          <t>Niko</t>
        </is>
      </c>
      <c r="D94" s="9" t="inlineStr">
        <is>
          <t>baño pequeño</t>
        </is>
      </c>
      <c r="E94" s="9" t="inlineStr">
        <is>
          <t>Grooming</t>
        </is>
      </c>
      <c r="F94" s="14" t="n">
        <v>799</v>
      </c>
      <c r="G94" s="9" t="inlineStr">
        <is>
          <t>Transferencia (ban.reserv.)</t>
        </is>
      </c>
      <c r="H94" s="9" t="inlineStr">
        <is>
          <t>Laura</t>
        </is>
      </c>
      <c r="I94" s="9" t="inlineStr">
        <is>
          <t>Collar dispensador</t>
        </is>
      </c>
    </row>
    <row r="95" ht="18" customHeight="1" s="149">
      <c r="A95" s="19" t="n">
        <v>92</v>
      </c>
      <c r="B95" s="17" t="inlineStr">
        <is>
          <t>2025-12-06</t>
        </is>
      </c>
      <c r="C95" s="17" t="inlineStr">
        <is>
          <t>Luna Juliao</t>
        </is>
      </c>
      <c r="D95" s="17" t="inlineStr">
        <is>
          <t>Baño pequeño + corte higienico</t>
        </is>
      </c>
      <c r="E95" s="17" t="inlineStr">
        <is>
          <t>Grooming</t>
        </is>
      </c>
      <c r="F95" s="54" t="n">
        <v>1200</v>
      </c>
      <c r="G95" s="17" t="inlineStr">
        <is>
          <t>transferencia popular</t>
        </is>
      </c>
      <c r="H95" s="17" t="inlineStr">
        <is>
          <t>Laura</t>
        </is>
      </c>
      <c r="I95" s="17" t="inlineStr">
        <is>
          <t>Se hizo descuento de $89</t>
        </is>
      </c>
    </row>
    <row r="96" ht="18" customHeight="1" s="149">
      <c r="A96" s="15" t="n">
        <v>93</v>
      </c>
      <c r="B96" s="9" t="inlineStr">
        <is>
          <t>2025-12-06</t>
        </is>
      </c>
      <c r="C96" s="9" t="inlineStr">
        <is>
          <t>Bebe</t>
        </is>
      </c>
      <c r="D96" s="9" t="inlineStr">
        <is>
          <t>baño grande</t>
        </is>
      </c>
      <c r="E96" s="9" t="inlineStr">
        <is>
          <t>Grooming</t>
        </is>
      </c>
      <c r="F96" s="14" t="n">
        <v>1149</v>
      </c>
      <c r="G96" s="9" t="inlineStr">
        <is>
          <t>Transferencia (ban.reserv.)</t>
        </is>
      </c>
      <c r="H96" s="9" t="inlineStr">
        <is>
          <t>Laura</t>
        </is>
      </c>
      <c r="I96" s="9" t="n"/>
    </row>
    <row r="97" ht="18" customHeight="1" s="149">
      <c r="A97" s="19" t="n">
        <v>94</v>
      </c>
      <c r="B97" s="17" t="inlineStr">
        <is>
          <t>2025-12-05</t>
        </is>
      </c>
      <c r="C97" s="17" t="inlineStr">
        <is>
          <t>Beka Santiago</t>
        </is>
      </c>
      <c r="D97" s="17" t="inlineStr">
        <is>
          <t>Baño pequeño</t>
        </is>
      </c>
      <c r="E97" s="17" t="inlineStr">
        <is>
          <t>Grooming</t>
        </is>
      </c>
      <c r="F97" s="54" t="n">
        <v>799</v>
      </c>
      <c r="G97" s="17" t="inlineStr">
        <is>
          <t>Transferencia (ban.reserv.)</t>
        </is>
      </c>
      <c r="H97" s="17" t="inlineStr">
        <is>
          <t>Laura</t>
        </is>
      </c>
      <c r="I97" s="17" t="n"/>
    </row>
    <row r="98" ht="18" customHeight="1" s="149">
      <c r="A98" s="15" t="n">
        <v>95</v>
      </c>
      <c r="B98" s="9" t="inlineStr">
        <is>
          <t>2025-12-05</t>
        </is>
      </c>
      <c r="C98" s="9" t="inlineStr">
        <is>
          <t>Ferxxi Rocha</t>
        </is>
      </c>
      <c r="D98" s="9" t="inlineStr">
        <is>
          <t>baño pequeño + corte completo + desenrede</t>
        </is>
      </c>
      <c r="E98" s="9" t="inlineStr">
        <is>
          <t>Grooming</t>
        </is>
      </c>
      <c r="F98" s="14" t="n">
        <v>2238</v>
      </c>
      <c r="G98" s="9" t="inlineStr">
        <is>
          <t>transferencia popular</t>
        </is>
      </c>
      <c r="H98" s="9" t="inlineStr">
        <is>
          <t>Laura</t>
        </is>
      </c>
      <c r="I98" s="9" t="n"/>
    </row>
    <row r="99" ht="18" customHeight="1" s="149">
      <c r="A99" s="19" t="n">
        <v>96</v>
      </c>
      <c r="B99" s="17" t="inlineStr">
        <is>
          <t>2025-12-04</t>
        </is>
      </c>
      <c r="C99" s="17" t="inlineStr">
        <is>
          <t>Braulin</t>
        </is>
      </c>
      <c r="D99" s="17" t="inlineStr">
        <is>
          <t>baño pequeño</t>
        </is>
      </c>
      <c r="E99" s="17" t="inlineStr">
        <is>
          <t>Grooming</t>
        </is>
      </c>
      <c r="F99" s="54" t="n">
        <v>799</v>
      </c>
      <c r="G99" s="17" t="inlineStr">
        <is>
          <t>efectivo</t>
        </is>
      </c>
      <c r="H99" s="17" t="inlineStr">
        <is>
          <t>Laura</t>
        </is>
      </c>
      <c r="I99" s="17" t="n"/>
    </row>
    <row r="100" ht="18" customHeight="1" s="149">
      <c r="A100" s="15" t="n">
        <v>97</v>
      </c>
      <c r="B100" s="9" t="inlineStr">
        <is>
          <t>2025-12-04</t>
        </is>
      </c>
      <c r="C100" s="9" t="inlineStr">
        <is>
          <t>Benji Cabrera</t>
        </is>
      </c>
      <c r="D100" s="9" t="inlineStr">
        <is>
          <t>Baño pequeño + corte higienico</t>
        </is>
      </c>
      <c r="E100" s="9" t="inlineStr">
        <is>
          <t>Grooming</t>
        </is>
      </c>
      <c r="F100" s="14" t="n">
        <v>1289</v>
      </c>
      <c r="G100" s="9" t="inlineStr">
        <is>
          <t>efectivo</t>
        </is>
      </c>
      <c r="H100" s="9" t="inlineStr">
        <is>
          <t>Laura</t>
        </is>
      </c>
      <c r="I100" s="9" t="inlineStr">
        <is>
          <t>Dejó menudo de mas.</t>
        </is>
      </c>
    </row>
    <row r="101" ht="18" customHeight="1" s="149">
      <c r="A101" s="19" t="n">
        <v>98</v>
      </c>
      <c r="B101" s="17" t="inlineStr">
        <is>
          <t>2025-12-04</t>
        </is>
      </c>
      <c r="C101" s="17" t="inlineStr">
        <is>
          <t>Klaus Fulgencio</t>
        </is>
      </c>
      <c r="D101" s="17" t="inlineStr">
        <is>
          <t>baño pequeño + corte completo</t>
        </is>
      </c>
      <c r="E101" s="17" t="inlineStr">
        <is>
          <t>Grooming</t>
        </is>
      </c>
      <c r="F101" s="54" t="n">
        <v>1548</v>
      </c>
      <c r="G101" s="17" t="inlineStr">
        <is>
          <t>Transferencia (ban.reserv.)</t>
        </is>
      </c>
      <c r="H101" s="17" t="inlineStr">
        <is>
          <t>Laura</t>
        </is>
      </c>
      <c r="I101" s="17" t="inlineStr">
        <is>
          <t>Propina Alexander</t>
        </is>
      </c>
    </row>
    <row r="102" ht="18" customHeight="1" s="149">
      <c r="A102" s="15" t="n">
        <v>99</v>
      </c>
      <c r="B102" s="9" t="inlineStr">
        <is>
          <t>2025-12-04</t>
        </is>
      </c>
      <c r="C102" s="9" t="inlineStr">
        <is>
          <t>Luna De la Rosa</t>
        </is>
      </c>
      <c r="D102" s="9" t="inlineStr">
        <is>
          <t>baño pequeño + corte completo</t>
        </is>
      </c>
      <c r="E102" s="9" t="inlineStr">
        <is>
          <t>Grooming</t>
        </is>
      </c>
      <c r="F102" s="14" t="n">
        <v>1548</v>
      </c>
      <c r="G102" s="9" t="inlineStr">
        <is>
          <t>transferencia popular</t>
        </is>
      </c>
      <c r="H102" s="9" t="inlineStr">
        <is>
          <t>Laura</t>
        </is>
      </c>
      <c r="I102" s="9" t="n"/>
    </row>
    <row r="103" ht="18" customHeight="1" s="149">
      <c r="A103" s="19" t="n">
        <v>100</v>
      </c>
      <c r="B103" s="17" t="inlineStr">
        <is>
          <t>2025-12-03</t>
        </is>
      </c>
      <c r="C103" s="17" t="inlineStr">
        <is>
          <t>Gary 600</t>
        </is>
      </c>
      <c r="D103" s="17" t="inlineStr">
        <is>
          <t>Baño pequeño + corte higiencio</t>
        </is>
      </c>
      <c r="E103" s="17" t="inlineStr">
        <is>
          <t>Grooming</t>
        </is>
      </c>
      <c r="F103" s="54" t="n">
        <v>1289</v>
      </c>
      <c r="G103" s="17" t="inlineStr">
        <is>
          <t>transferencia popular</t>
        </is>
      </c>
      <c r="H103" s="17" t="inlineStr">
        <is>
          <t>Laura</t>
        </is>
      </c>
      <c r="I103" s="17" t="n"/>
    </row>
    <row r="104" ht="18" customHeight="1" s="149">
      <c r="A104" s="15" t="n">
        <v>101</v>
      </c>
      <c r="B104" s="9" t="inlineStr">
        <is>
          <t>2025-12-03</t>
        </is>
      </c>
      <c r="C104" s="9" t="inlineStr">
        <is>
          <t>Odie</t>
        </is>
      </c>
      <c r="D104" s="9" t="inlineStr">
        <is>
          <t>Baño pequeño</t>
        </is>
      </c>
      <c r="E104" s="9" t="inlineStr">
        <is>
          <t>Grooming</t>
        </is>
      </c>
      <c r="F104" s="14" t="n">
        <v>800</v>
      </c>
      <c r="G104" s="9" t="inlineStr">
        <is>
          <t>transferencia popular</t>
        </is>
      </c>
      <c r="H104" s="9" t="inlineStr">
        <is>
          <t>Laura</t>
        </is>
      </c>
      <c r="I104" s="9" t="inlineStr">
        <is>
          <t>Transporte</t>
        </is>
      </c>
    </row>
    <row r="105" ht="18" customHeight="1" s="149">
      <c r="A105" s="19" t="n">
        <v>102</v>
      </c>
      <c r="B105" s="17" t="inlineStr">
        <is>
          <t>2025-11-30</t>
        </is>
      </c>
      <c r="C105" s="17" t="inlineStr">
        <is>
          <t>Oliver</t>
        </is>
      </c>
      <c r="D105" s="17" t="inlineStr">
        <is>
          <t>baño pequeño</t>
        </is>
      </c>
      <c r="E105" s="17" t="inlineStr">
        <is>
          <t>Grooming</t>
        </is>
      </c>
      <c r="F105" s="54" t="n">
        <v>800</v>
      </c>
      <c r="G105" s="17" t="inlineStr">
        <is>
          <t>transferencia (ban.popular)</t>
        </is>
      </c>
      <c r="H105" s="17" t="n"/>
      <c r="I105" s="17" t="n"/>
    </row>
    <row r="106" ht="18" customHeight="1" s="149">
      <c r="A106" s="15" t="n">
        <v>103</v>
      </c>
      <c r="B106" s="9" t="inlineStr">
        <is>
          <t>2025-11-30</t>
        </is>
      </c>
      <c r="C106" s="9" t="inlineStr">
        <is>
          <t>Honey Taveras</t>
        </is>
      </c>
      <c r="D106" s="9" t="inlineStr">
        <is>
          <t>baño pequeño</t>
        </is>
      </c>
      <c r="E106" s="9" t="inlineStr">
        <is>
          <t>Grooming</t>
        </is>
      </c>
      <c r="F106" s="14" t="n">
        <v>800</v>
      </c>
      <c r="G106" s="9" t="inlineStr">
        <is>
          <t>transferencia popular victor</t>
        </is>
      </c>
      <c r="H106" s="9" t="n"/>
      <c r="I106" s="9" t="n"/>
    </row>
    <row r="107" ht="18" customHeight="1" s="149">
      <c r="A107" s="19" t="n">
        <v>104</v>
      </c>
      <c r="B107" s="17" t="inlineStr">
        <is>
          <t>2025-11-30</t>
        </is>
      </c>
      <c r="C107" s="17" t="inlineStr">
        <is>
          <t>Gucci</t>
        </is>
      </c>
      <c r="D107" s="17" t="inlineStr">
        <is>
          <t>baño pequeño + corte completo</t>
        </is>
      </c>
      <c r="E107" s="17" t="inlineStr">
        <is>
          <t>Grooming</t>
        </is>
      </c>
      <c r="F107" s="54" t="n">
        <v>1550</v>
      </c>
      <c r="G107" s="17" t="inlineStr">
        <is>
          <t>transferencia (ban.popular)</t>
        </is>
      </c>
      <c r="H107" s="17" t="n"/>
      <c r="I107" s="17" t="n"/>
    </row>
    <row r="108" ht="18" customHeight="1" s="149">
      <c r="A108" s="15" t="n">
        <v>105</v>
      </c>
      <c r="B108" s="9" t="inlineStr">
        <is>
          <t>2025-11-30</t>
        </is>
      </c>
      <c r="C108" s="9" t="inlineStr">
        <is>
          <t>Kaki Taveras</t>
        </is>
      </c>
      <c r="D108" s="9" t="inlineStr">
        <is>
          <t>baño pequeño</t>
        </is>
      </c>
      <c r="E108" s="9" t="inlineStr">
        <is>
          <t>Grooming</t>
        </is>
      </c>
      <c r="F108" s="14" t="n">
        <v>800</v>
      </c>
      <c r="G108" s="9" t="inlineStr">
        <is>
          <t>transferencia popular victor</t>
        </is>
      </c>
      <c r="H108" s="9" t="n"/>
      <c r="I108" s="9" t="n"/>
    </row>
    <row r="109" ht="18" customHeight="1" s="149">
      <c r="A109" s="19" t="n">
        <v>106</v>
      </c>
      <c r="B109" s="17" t="inlineStr">
        <is>
          <t>2025-11-30</t>
        </is>
      </c>
      <c r="C109" s="17" t="inlineStr">
        <is>
          <t>Jimmy</t>
        </is>
      </c>
      <c r="D109" s="17" t="inlineStr">
        <is>
          <t>baño cachorro</t>
        </is>
      </c>
      <c r="E109" s="17" t="inlineStr">
        <is>
          <t>Grooming</t>
        </is>
      </c>
      <c r="F109" s="54" t="n">
        <v>699</v>
      </c>
      <c r="G109" s="17" t="inlineStr">
        <is>
          <t>transferencia (ban.popular)</t>
        </is>
      </c>
      <c r="H109" s="17" t="n"/>
      <c r="I109" s="17" t="inlineStr">
        <is>
          <t>Plato de comida</t>
        </is>
      </c>
    </row>
    <row r="110" ht="18" customHeight="1" s="149">
      <c r="A110" s="15" t="n">
        <v>107</v>
      </c>
      <c r="B110" s="9" t="inlineStr">
        <is>
          <t>2025-11-30</t>
        </is>
      </c>
      <c r="C110" s="9" t="inlineStr">
        <is>
          <t>Iroh Rojas</t>
        </is>
      </c>
      <c r="D110" s="9" t="inlineStr">
        <is>
          <t>baño cachorro</t>
        </is>
      </c>
      <c r="E110" s="9" t="inlineStr">
        <is>
          <t>Grooming</t>
        </is>
      </c>
      <c r="F110" s="14" t="n">
        <v>699</v>
      </c>
      <c r="G110" s="9" t="inlineStr">
        <is>
          <t>Transferencia (ban.reserv.)</t>
        </is>
      </c>
      <c r="H110" s="9" t="n"/>
      <c r="I110" s="9" t="inlineStr">
        <is>
          <t>Simparica (desparasitante)</t>
        </is>
      </c>
    </row>
    <row r="111" ht="18" customHeight="1" s="149">
      <c r="A111" s="19" t="n">
        <v>108</v>
      </c>
      <c r="B111" s="17" t="inlineStr">
        <is>
          <t>2025-11-29</t>
        </is>
      </c>
      <c r="C111" s="17" t="inlineStr">
        <is>
          <t>Rocco</t>
        </is>
      </c>
      <c r="D111" s="17" t="inlineStr">
        <is>
          <t>baño pequeño</t>
        </is>
      </c>
      <c r="E111" s="17" t="inlineStr">
        <is>
          <t>Grooming</t>
        </is>
      </c>
      <c r="F111" s="54" t="n">
        <v>800</v>
      </c>
      <c r="G111" s="17" t="inlineStr">
        <is>
          <t>transferencia (ban.popular)</t>
        </is>
      </c>
      <c r="H111" s="17" t="n"/>
      <c r="I111" s="17" t="n"/>
    </row>
    <row r="112" ht="18" customHeight="1" s="149">
      <c r="A112" s="15" t="n">
        <v>109</v>
      </c>
      <c r="B112" s="9" t="inlineStr">
        <is>
          <t>2025-11-29</t>
        </is>
      </c>
      <c r="C112" s="9" t="inlineStr">
        <is>
          <t>Karim Plasencia</t>
        </is>
      </c>
      <c r="D112" s="9" t="inlineStr">
        <is>
          <t>baño pequeño - medicado</t>
        </is>
      </c>
      <c r="E112" s="9" t="inlineStr">
        <is>
          <t>Grooming</t>
        </is>
      </c>
      <c r="F112" s="14" t="n">
        <v>799</v>
      </c>
      <c r="G112" s="9" t="n"/>
      <c r="H112" s="9" t="n"/>
      <c r="I112" s="9" t="n"/>
    </row>
    <row r="113" ht="18" customHeight="1" s="149">
      <c r="A113" s="19" t="n">
        <v>110</v>
      </c>
      <c r="B113" s="17" t="inlineStr">
        <is>
          <t>2025-11-29</t>
        </is>
      </c>
      <c r="C113" s="17" t="inlineStr">
        <is>
          <t>Noah Pujols</t>
        </is>
      </c>
      <c r="D113" s="17" t="inlineStr">
        <is>
          <t>baño pequeño + corte higienico</t>
        </is>
      </c>
      <c r="E113" s="17" t="inlineStr">
        <is>
          <t>Grooming</t>
        </is>
      </c>
      <c r="F113" s="54" t="n">
        <v>1289</v>
      </c>
      <c r="G113" s="17" t="n"/>
      <c r="H113" s="17" t="n"/>
      <c r="I113" s="17" t="n"/>
    </row>
    <row r="114" ht="18" customHeight="1" s="149">
      <c r="A114" s="15" t="n">
        <v>111</v>
      </c>
      <c r="B114" s="9" t="inlineStr">
        <is>
          <t>2025-11-28</t>
        </is>
      </c>
      <c r="C114" s="9" t="inlineStr">
        <is>
          <t>Luna Gomez</t>
        </is>
      </c>
      <c r="D114" s="9" t="inlineStr">
        <is>
          <t>baño pequeño</t>
        </is>
      </c>
      <c r="E114" s="9" t="inlineStr">
        <is>
          <t>Grooming</t>
        </is>
      </c>
      <c r="F114" s="14" t="n">
        <v>700</v>
      </c>
      <c r="G114" s="9" t="n"/>
      <c r="H114" s="9" t="n"/>
      <c r="I114" s="9" t="n"/>
    </row>
    <row r="115" ht="18" customHeight="1" s="149">
      <c r="A115" s="19" t="n">
        <v>112</v>
      </c>
      <c r="B115" s="17" t="inlineStr">
        <is>
          <t>2025-11-28</t>
        </is>
      </c>
      <c r="C115" s="17" t="inlineStr">
        <is>
          <t>Lia  Gomez</t>
        </is>
      </c>
      <c r="D115" s="17" t="inlineStr">
        <is>
          <t>baño pequeño</t>
        </is>
      </c>
      <c r="E115" s="17" t="inlineStr">
        <is>
          <t>Grooming</t>
        </is>
      </c>
      <c r="F115" s="54" t="n">
        <v>700</v>
      </c>
      <c r="G115" s="17" t="inlineStr">
        <is>
          <t>Transferencia (ban.reserv.)</t>
        </is>
      </c>
      <c r="H115" s="17" t="n"/>
      <c r="I115" s="17" t="n"/>
    </row>
    <row r="116" ht="18" customHeight="1" s="149">
      <c r="A116" s="15" t="n">
        <v>113</v>
      </c>
      <c r="B116" s="9" t="inlineStr">
        <is>
          <t>2025-11-28</t>
        </is>
      </c>
      <c r="C116" s="9" t="inlineStr">
        <is>
          <t>Pinos</t>
        </is>
      </c>
      <c r="D116" s="9" t="inlineStr">
        <is>
          <t>baño pequeño</t>
        </is>
      </c>
      <c r="E116" s="9" t="inlineStr">
        <is>
          <t>Grooming</t>
        </is>
      </c>
      <c r="F116" s="14" t="n">
        <v>800</v>
      </c>
      <c r="G116" s="9" t="inlineStr">
        <is>
          <t>efectivo</t>
        </is>
      </c>
      <c r="H116" s="9" t="n"/>
      <c r="I116" s="9" t="n"/>
    </row>
    <row r="117" ht="18" customHeight="1" s="149">
      <c r="A117" s="19" t="n">
        <v>114</v>
      </c>
      <c r="B117" s="17" t="inlineStr">
        <is>
          <t>2025-11-28</t>
        </is>
      </c>
      <c r="C117" s="17" t="inlineStr">
        <is>
          <t>Tuti</t>
        </is>
      </c>
      <c r="D117" s="17" t="inlineStr">
        <is>
          <t>baño pequeño</t>
        </is>
      </c>
      <c r="E117" s="17" t="inlineStr">
        <is>
          <t>Grooming</t>
        </is>
      </c>
      <c r="F117" s="54" t="n">
        <v>800</v>
      </c>
      <c r="G117" s="17" t="inlineStr">
        <is>
          <t>Transferencia (ban.reserv.)</t>
        </is>
      </c>
      <c r="H117" s="17" t="n"/>
      <c r="I117" s="17" t="n"/>
    </row>
    <row r="118" ht="18" customHeight="1" s="149">
      <c r="A118" s="15" t="n">
        <v>115</v>
      </c>
      <c r="B118" s="9" t="inlineStr">
        <is>
          <t>2025-11-27</t>
        </is>
      </c>
      <c r="C118" s="9" t="inlineStr">
        <is>
          <t>Tommy</t>
        </is>
      </c>
      <c r="D118" s="9" t="inlineStr">
        <is>
          <t>baño pequeño</t>
        </is>
      </c>
      <c r="E118" s="9" t="inlineStr">
        <is>
          <t>Grooming</t>
        </is>
      </c>
      <c r="F118" s="14" t="n">
        <v>719</v>
      </c>
      <c r="G118" s="9" t="inlineStr">
        <is>
          <t>efectivo</t>
        </is>
      </c>
      <c r="H118" s="9" t="n"/>
      <c r="I118" s="9" t="n"/>
    </row>
    <row r="119" ht="18" customHeight="1" s="149">
      <c r="A119" s="19" t="n">
        <v>116</v>
      </c>
      <c r="B119" s="17" t="inlineStr">
        <is>
          <t>2025-11-26</t>
        </is>
      </c>
      <c r="C119" s="17" t="inlineStr">
        <is>
          <t>Luna Polo</t>
        </is>
      </c>
      <c r="D119" s="17" t="inlineStr">
        <is>
          <t>baño pequeño + corte higienico + desenrede</t>
        </is>
      </c>
      <c r="E119" s="17" t="inlineStr">
        <is>
          <t>Grooming</t>
        </is>
      </c>
      <c r="F119" s="54" t="n">
        <v>1600</v>
      </c>
      <c r="G119" s="17" t="inlineStr">
        <is>
          <t>efectivo</t>
        </is>
      </c>
      <c r="H119" s="17" t="n"/>
      <c r="I119" s="17" t="n"/>
    </row>
    <row r="120" ht="18" customHeight="1" s="149">
      <c r="A120" s="15" t="n">
        <v>117</v>
      </c>
      <c r="B120" s="9" t="inlineStr">
        <is>
          <t>2025-11-24</t>
        </is>
      </c>
      <c r="C120" s="9" t="inlineStr">
        <is>
          <t>Manguito</t>
        </is>
      </c>
      <c r="D120" s="9" t="inlineStr">
        <is>
          <t>baño cachorro</t>
        </is>
      </c>
      <c r="E120" s="9" t="inlineStr">
        <is>
          <t>Grooming</t>
        </is>
      </c>
      <c r="F120" s="14" t="n">
        <v>699</v>
      </c>
      <c r="G120" s="9" t="inlineStr">
        <is>
          <t>Transferencia (ban.reserv.)</t>
        </is>
      </c>
      <c r="H120" s="9" t="inlineStr">
        <is>
          <t>Laura</t>
        </is>
      </c>
      <c r="I120" s="9" t="inlineStr">
        <is>
          <t>Crema Saniderm ($611) + Kit navidad ($690)</t>
        </is>
      </c>
    </row>
    <row r="121" ht="18" customHeight="1" s="149">
      <c r="A121" s="19" t="n">
        <v>118</v>
      </c>
      <c r="B121" s="17" t="inlineStr">
        <is>
          <t>2025-11-23</t>
        </is>
      </c>
      <c r="C121" s="17" t="inlineStr">
        <is>
          <t>Luna Jimenez</t>
        </is>
      </c>
      <c r="D121" s="17" t="inlineStr">
        <is>
          <t>baño pequeño</t>
        </is>
      </c>
      <c r="E121" s="17" t="inlineStr">
        <is>
          <t>Grooming</t>
        </is>
      </c>
      <c r="F121" s="54" t="n">
        <v>799</v>
      </c>
      <c r="G121" s="17" t="n"/>
      <c r="H121" s="17" t="n"/>
      <c r="I121" s="17" t="n"/>
    </row>
    <row r="122" ht="18" customHeight="1" s="149">
      <c r="A122" s="15" t="n">
        <v>119</v>
      </c>
      <c r="B122" s="9" t="inlineStr">
        <is>
          <t>2025-11-23</t>
        </is>
      </c>
      <c r="C122" s="9" t="inlineStr">
        <is>
          <t>Doris</t>
        </is>
      </c>
      <c r="D122" s="9" t="inlineStr">
        <is>
          <t>baño pequeño</t>
        </is>
      </c>
      <c r="E122" s="9" t="inlineStr">
        <is>
          <t>Grooming</t>
        </is>
      </c>
      <c r="F122" s="14" t="n">
        <v>799</v>
      </c>
      <c r="G122" s="9" t="inlineStr">
        <is>
          <t>Transferencia (ban.reserv.)</t>
        </is>
      </c>
      <c r="H122" s="9" t="n"/>
      <c r="I122" s="9" t="n"/>
    </row>
    <row r="123" ht="18" customHeight="1" s="149">
      <c r="A123" s="19" t="n">
        <v>120</v>
      </c>
      <c r="B123" s="17" t="inlineStr">
        <is>
          <t>2025-11-23</t>
        </is>
      </c>
      <c r="C123" s="17" t="inlineStr">
        <is>
          <t>Sasha</t>
        </is>
      </c>
      <c r="D123" s="17" t="inlineStr">
        <is>
          <t>baño cachorro</t>
        </is>
      </c>
      <c r="E123" s="17" t="inlineStr">
        <is>
          <t>Grooming</t>
        </is>
      </c>
      <c r="F123" s="54" t="n">
        <v>699</v>
      </c>
      <c r="G123" s="17" t="inlineStr">
        <is>
          <t>Transferencia (ban.reserv.)</t>
        </is>
      </c>
      <c r="H123" s="17" t="n"/>
      <c r="I123" s="17" t="inlineStr">
        <is>
          <t>Compraron 2 collares de $250</t>
        </is>
      </c>
    </row>
    <row r="124" ht="18" customHeight="1" s="149">
      <c r="A124" s="15" t="n">
        <v>121</v>
      </c>
      <c r="B124" s="9" t="inlineStr">
        <is>
          <t>2025-11-23</t>
        </is>
      </c>
      <c r="C124" s="9" t="inlineStr">
        <is>
          <t>Minie</t>
        </is>
      </c>
      <c r="D124" s="9" t="inlineStr">
        <is>
          <t>baño pequeño + corte completo</t>
        </is>
      </c>
      <c r="E124" s="9" t="inlineStr">
        <is>
          <t>Grooming</t>
        </is>
      </c>
      <c r="F124" s="14" t="n">
        <v>1548</v>
      </c>
      <c r="G124" s="9" t="inlineStr">
        <is>
          <t>efectivo</t>
        </is>
      </c>
      <c r="H124" s="9" t="n"/>
      <c r="I124" s="9" t="n"/>
    </row>
    <row r="125" ht="18" customHeight="1" s="149">
      <c r="A125" s="19" t="n">
        <v>122</v>
      </c>
      <c r="B125" s="17" t="inlineStr">
        <is>
          <t>2025-11-20</t>
        </is>
      </c>
      <c r="C125" s="17" t="inlineStr">
        <is>
          <t>Mia PON</t>
        </is>
      </c>
      <c r="D125" s="17" t="inlineStr">
        <is>
          <t>baño pequeño + corte completo</t>
        </is>
      </c>
      <c r="E125" s="17" t="inlineStr">
        <is>
          <t>Grooming</t>
        </is>
      </c>
      <c r="F125" s="54" t="n">
        <v>1393</v>
      </c>
      <c r="G125" s="17" t="inlineStr">
        <is>
          <t>efectivo</t>
        </is>
      </c>
      <c r="H125" s="17" t="n"/>
      <c r="I125" s="17" t="inlineStr">
        <is>
          <t>Compro un plato para perro</t>
        </is>
      </c>
    </row>
    <row r="126" ht="18" customHeight="1" s="149">
      <c r="A126" s="15" t="n">
        <v>123</v>
      </c>
      <c r="B126" s="9" t="inlineStr">
        <is>
          <t>2025-11-20</t>
        </is>
      </c>
      <c r="C126" s="9" t="inlineStr">
        <is>
          <t>Dohko</t>
        </is>
      </c>
      <c r="D126" s="9" t="inlineStr">
        <is>
          <t>baño pequeño + corte completo</t>
        </is>
      </c>
      <c r="E126" s="9" t="inlineStr">
        <is>
          <t>Grooming</t>
        </is>
      </c>
      <c r="F126" s="14" t="n">
        <v>1548</v>
      </c>
      <c r="G126" s="9" t="inlineStr">
        <is>
          <t>efectivo</t>
        </is>
      </c>
      <c r="H126" s="9" t="n"/>
      <c r="I126" s="9" t="n"/>
    </row>
    <row r="127" ht="18" customHeight="1" s="149">
      <c r="A127" s="19" t="n">
        <v>124</v>
      </c>
      <c r="B127" s="17" t="inlineStr">
        <is>
          <t>2025-11-20</t>
        </is>
      </c>
      <c r="C127" s="17" t="inlineStr">
        <is>
          <t>Black</t>
        </is>
      </c>
      <c r="D127" s="17" t="inlineStr">
        <is>
          <t>baño pequeño</t>
        </is>
      </c>
      <c r="E127" s="17" t="inlineStr">
        <is>
          <t>Grooming</t>
        </is>
      </c>
      <c r="F127" s="54" t="n">
        <v>719</v>
      </c>
      <c r="G127" s="17" t="n"/>
      <c r="H127" s="17" t="n"/>
      <c r="I127" s="17" t="n"/>
    </row>
    <row r="128" ht="18" customHeight="1" s="149">
      <c r="A128" s="15" t="n">
        <v>125</v>
      </c>
      <c r="B128" s="9" t="inlineStr">
        <is>
          <t>2025-11-20</t>
        </is>
      </c>
      <c r="C128" s="9" t="inlineStr">
        <is>
          <t>Tuti</t>
        </is>
      </c>
      <c r="D128" s="9" t="inlineStr">
        <is>
          <t>baño pequeño</t>
        </is>
      </c>
      <c r="E128" s="9" t="inlineStr">
        <is>
          <t>Grooming</t>
        </is>
      </c>
      <c r="F128" s="14" t="n">
        <v>800</v>
      </c>
      <c r="G128" s="9" t="inlineStr">
        <is>
          <t>Transferencia (ban.reserv.)</t>
        </is>
      </c>
      <c r="H128" s="9" t="n"/>
      <c r="I128" s="9" t="n"/>
    </row>
    <row r="129" ht="18" customHeight="1" s="149">
      <c r="A129" s="19" t="n">
        <v>126</v>
      </c>
      <c r="B129" s="17" t="inlineStr">
        <is>
          <t>2025-11-18</t>
        </is>
      </c>
      <c r="C129" s="17" t="inlineStr">
        <is>
          <t>Area Luna</t>
        </is>
      </c>
      <c r="D129" s="17" t="inlineStr">
        <is>
          <t>baño cachorro + corte higienico</t>
        </is>
      </c>
      <c r="E129" s="17" t="inlineStr">
        <is>
          <t>Grooming</t>
        </is>
      </c>
      <c r="F129" s="54" t="n">
        <v>1189</v>
      </c>
      <c r="G129" s="17" t="inlineStr">
        <is>
          <t>transferencia (ban.popular)</t>
        </is>
      </c>
      <c r="H129" s="17" t="n"/>
      <c r="I129" s="17" t="n"/>
    </row>
    <row r="130" ht="18" customHeight="1" s="149">
      <c r="A130" s="15" t="n">
        <v>127</v>
      </c>
      <c r="B130" s="9" t="inlineStr">
        <is>
          <t>2025-11-18</t>
        </is>
      </c>
      <c r="C130" s="9" t="inlineStr">
        <is>
          <t>Alie</t>
        </is>
      </c>
      <c r="D130" s="9" t="inlineStr">
        <is>
          <t>baño pequeño</t>
        </is>
      </c>
      <c r="E130" s="9" t="inlineStr">
        <is>
          <t>Grooming</t>
        </is>
      </c>
      <c r="F130" s="14" t="n">
        <v>800</v>
      </c>
      <c r="G130" s="9" t="inlineStr">
        <is>
          <t>efectivo</t>
        </is>
      </c>
      <c r="H130" s="9" t="n"/>
      <c r="I130" s="9" t="n"/>
    </row>
    <row r="131" ht="18" customHeight="1" s="149">
      <c r="A131" s="19" t="n">
        <v>128</v>
      </c>
      <c r="B131" s="17" t="inlineStr">
        <is>
          <t>2025-11-17</t>
        </is>
      </c>
      <c r="C131" s="17" t="inlineStr">
        <is>
          <t>Nick ORTIZ</t>
        </is>
      </c>
      <c r="D131" s="17" t="inlineStr">
        <is>
          <t>baño pequeño + corte completo</t>
        </is>
      </c>
      <c r="E131" s="17" t="inlineStr">
        <is>
          <t>Grooming</t>
        </is>
      </c>
      <c r="F131" s="54" t="n">
        <v>1589</v>
      </c>
      <c r="G131" s="17" t="inlineStr">
        <is>
          <t>Transferencia (ban.reserv.)</t>
        </is>
      </c>
      <c r="H131" s="17" t="n"/>
      <c r="I131" s="17" t="n"/>
    </row>
    <row r="132" ht="18" customHeight="1" s="149">
      <c r="A132" s="15" t="n">
        <v>129</v>
      </c>
      <c r="B132" s="9" t="inlineStr">
        <is>
          <t>2025-11-17</t>
        </is>
      </c>
      <c r="C132" s="9" t="inlineStr">
        <is>
          <t>Niko</t>
        </is>
      </c>
      <c r="D132" s="9" t="inlineStr">
        <is>
          <t>baño pequeño + corte completo</t>
        </is>
      </c>
      <c r="E132" s="9" t="inlineStr">
        <is>
          <t>Grooming</t>
        </is>
      </c>
      <c r="F132" s="14" t="n">
        <v>1340</v>
      </c>
      <c r="G132" s="9" t="n"/>
      <c r="H132" s="9" t="n"/>
      <c r="I132" s="9" t="n"/>
    </row>
    <row r="133" ht="18" customHeight="1" s="149">
      <c r="A133" s="19" t="n">
        <v>130</v>
      </c>
      <c r="B133" s="17" t="inlineStr">
        <is>
          <t>2025-11-17</t>
        </is>
      </c>
      <c r="C133" s="17" t="inlineStr">
        <is>
          <t>Kira</t>
        </is>
      </c>
      <c r="D133" s="17" t="inlineStr">
        <is>
          <t>baño pequeño</t>
        </is>
      </c>
      <c r="E133" s="17" t="inlineStr">
        <is>
          <t>Grooming</t>
        </is>
      </c>
      <c r="F133" s="54" t="n">
        <v>800</v>
      </c>
      <c r="G133" s="17" t="inlineStr">
        <is>
          <t>efectivo</t>
        </is>
      </c>
      <c r="H133" s="17" t="n"/>
      <c r="I133" s="17" t="n"/>
    </row>
    <row r="134" ht="18" customHeight="1" s="149">
      <c r="A134" s="15" t="n">
        <v>131</v>
      </c>
      <c r="B134" s="9" t="inlineStr">
        <is>
          <t>2025-11-17</t>
        </is>
      </c>
      <c r="C134" s="9" t="inlineStr">
        <is>
          <t>Chiqui</t>
        </is>
      </c>
      <c r="D134" s="9" t="inlineStr">
        <is>
          <t>baño pequeño + corte higienico</t>
        </is>
      </c>
      <c r="E134" s="9" t="inlineStr">
        <is>
          <t>Grooming</t>
        </is>
      </c>
      <c r="F134" s="14" t="n">
        <v>1289</v>
      </c>
      <c r="G134" s="9" t="inlineStr">
        <is>
          <t>transferencia (ban.popular)</t>
        </is>
      </c>
      <c r="H134" s="9" t="n"/>
      <c r="I134" s="9" t="n"/>
    </row>
    <row r="135" ht="18" customHeight="1" s="149">
      <c r="A135" s="19" t="n">
        <v>132</v>
      </c>
      <c r="B135" s="17" t="inlineStr">
        <is>
          <t>2025-11-17</t>
        </is>
      </c>
      <c r="C135" s="17" t="inlineStr">
        <is>
          <t>Ruthi</t>
        </is>
      </c>
      <c r="D135" s="17" t="inlineStr">
        <is>
          <t>baño pequeño</t>
        </is>
      </c>
      <c r="E135" s="17" t="inlineStr">
        <is>
          <t>Grooming</t>
        </is>
      </c>
      <c r="F135" s="54" t="n">
        <v>800</v>
      </c>
      <c r="G135" s="17" t="inlineStr">
        <is>
          <t>efectivo</t>
        </is>
      </c>
      <c r="H135" s="17" t="n"/>
      <c r="I135" s="17" t="n"/>
    </row>
    <row r="136" ht="18" customHeight="1" s="149">
      <c r="A136" s="15" t="n">
        <v>133</v>
      </c>
      <c r="B136" s="9" t="inlineStr">
        <is>
          <t>2025-11-16</t>
        </is>
      </c>
      <c r="C136" s="9" t="inlineStr">
        <is>
          <t>Rodolfo</t>
        </is>
      </c>
      <c r="D136" s="9" t="inlineStr">
        <is>
          <t>baño pequeño</t>
        </is>
      </c>
      <c r="E136" s="9" t="inlineStr">
        <is>
          <t>Grooming</t>
        </is>
      </c>
      <c r="F136" s="14" t="n">
        <v>800</v>
      </c>
      <c r="G136" s="9" t="inlineStr">
        <is>
          <t>efectivo</t>
        </is>
      </c>
      <c r="H136" s="9" t="inlineStr">
        <is>
          <t>Laura</t>
        </is>
      </c>
      <c r="I136" s="9" t="n"/>
    </row>
    <row r="137" ht="18" customHeight="1" s="149">
      <c r="A137" s="19" t="n">
        <v>134</v>
      </c>
      <c r="B137" s="17" t="inlineStr">
        <is>
          <t>2025-11-16</t>
        </is>
      </c>
      <c r="C137" s="17" t="inlineStr">
        <is>
          <t>Copito SANCHEZ</t>
        </is>
      </c>
      <c r="D137" s="17" t="inlineStr">
        <is>
          <t>baño pequeño + corte higienico</t>
        </is>
      </c>
      <c r="E137" s="17" t="inlineStr">
        <is>
          <t>Grooming</t>
        </is>
      </c>
      <c r="F137" s="54" t="n">
        <v>1289</v>
      </c>
      <c r="G137" s="17" t="inlineStr">
        <is>
          <t>transferencia (ban.popular)</t>
        </is>
      </c>
      <c r="H137" s="17" t="inlineStr">
        <is>
          <t>Laura</t>
        </is>
      </c>
      <c r="I137" s="17" t="n"/>
    </row>
    <row r="138" ht="18" customHeight="1" s="149">
      <c r="A138" s="15" t="n">
        <v>135</v>
      </c>
      <c r="B138" s="9" t="inlineStr">
        <is>
          <t>2025-11-16</t>
        </is>
      </c>
      <c r="C138" s="9" t="inlineStr">
        <is>
          <t>Teddy</t>
        </is>
      </c>
      <c r="D138" s="9" t="inlineStr">
        <is>
          <t>baño cachorro + corte higienico</t>
        </is>
      </c>
      <c r="E138" s="9" t="inlineStr">
        <is>
          <t>Grooming</t>
        </is>
      </c>
      <c r="F138" s="14" t="n">
        <v>1200</v>
      </c>
      <c r="G138" s="9" t="inlineStr">
        <is>
          <t>transferencia (ban.popular) Victor</t>
        </is>
      </c>
      <c r="H138" s="9" t="inlineStr">
        <is>
          <t>Laura</t>
        </is>
      </c>
      <c r="I138" s="9" t="inlineStr">
        <is>
          <t>Compro una colonia Lulu</t>
        </is>
      </c>
    </row>
    <row r="139" ht="18" customHeight="1" s="149">
      <c r="A139" s="19" t="n">
        <v>136</v>
      </c>
      <c r="B139" s="17" t="inlineStr">
        <is>
          <t>2025-11-16</t>
        </is>
      </c>
      <c r="C139" s="17" t="inlineStr">
        <is>
          <t>Kaki</t>
        </is>
      </c>
      <c r="D139" s="17" t="inlineStr">
        <is>
          <t>baño pequeño</t>
        </is>
      </c>
      <c r="E139" s="17" t="inlineStr">
        <is>
          <t>Grooming</t>
        </is>
      </c>
      <c r="F139" s="54" t="n">
        <v>800</v>
      </c>
      <c r="G139" s="17" t="inlineStr">
        <is>
          <t>efectivo</t>
        </is>
      </c>
      <c r="H139" s="17" t="inlineStr">
        <is>
          <t>Laura</t>
        </is>
      </c>
      <c r="I139" s="17" t="n"/>
    </row>
    <row r="140" ht="18" customHeight="1" s="149">
      <c r="A140" s="15" t="n">
        <v>137</v>
      </c>
      <c r="B140" s="9" t="inlineStr">
        <is>
          <t>2025-11-16</t>
        </is>
      </c>
      <c r="C140" s="9" t="inlineStr">
        <is>
          <t>Honey</t>
        </is>
      </c>
      <c r="D140" s="9" t="inlineStr">
        <is>
          <t>baño pequeño</t>
        </is>
      </c>
      <c r="E140" s="9" t="inlineStr">
        <is>
          <t>Grooming</t>
        </is>
      </c>
      <c r="F140" s="14" t="n">
        <v>800</v>
      </c>
      <c r="G140" s="9" t="inlineStr">
        <is>
          <t>efectivo</t>
        </is>
      </c>
      <c r="H140" s="9" t="inlineStr">
        <is>
          <t>Laura</t>
        </is>
      </c>
      <c r="I140" s="9" t="n"/>
    </row>
    <row r="141" ht="18" customHeight="1" s="149">
      <c r="A141" s="19" t="n">
        <v>138</v>
      </c>
      <c r="B141" s="17" t="inlineStr">
        <is>
          <t>2025-11-15</t>
        </is>
      </c>
      <c r="C141" s="17" t="inlineStr">
        <is>
          <t>Odie Cavallo</t>
        </is>
      </c>
      <c r="D141" s="17" t="inlineStr">
        <is>
          <t>baño pequeño + corte higienico</t>
        </is>
      </c>
      <c r="E141" s="17" t="inlineStr">
        <is>
          <t>Grooming</t>
        </is>
      </c>
      <c r="F141" s="54" t="n">
        <v>1289</v>
      </c>
      <c r="G141" s="17" t="inlineStr">
        <is>
          <t>transferencia (ban.popular)</t>
        </is>
      </c>
      <c r="H141" s="17" t="inlineStr">
        <is>
          <t>Laura</t>
        </is>
      </c>
      <c r="I141" s="17" t="n"/>
    </row>
    <row r="142" ht="18" customHeight="1" s="149">
      <c r="A142" s="15" t="n">
        <v>139</v>
      </c>
      <c r="B142" s="9" t="inlineStr">
        <is>
          <t>2025-11-15</t>
        </is>
      </c>
      <c r="C142" s="9" t="inlineStr">
        <is>
          <t>Daiky</t>
        </is>
      </c>
      <c r="D142" s="9" t="inlineStr">
        <is>
          <t>baño pequeño + corte completo</t>
        </is>
      </c>
      <c r="E142" s="9" t="inlineStr">
        <is>
          <t>Grooming</t>
        </is>
      </c>
      <c r="F142" s="14" t="n">
        <v>1390</v>
      </c>
      <c r="G142" s="9" t="inlineStr">
        <is>
          <t>efectivo</t>
        </is>
      </c>
      <c r="H142" s="9" t="inlineStr">
        <is>
          <t>Laura</t>
        </is>
      </c>
      <c r="I142" s="9" t="n"/>
    </row>
    <row r="143" ht="18" customHeight="1" s="149">
      <c r="A143" s="19" t="n">
        <v>140</v>
      </c>
      <c r="B143" s="17" t="inlineStr">
        <is>
          <t>2025-11-15</t>
        </is>
      </c>
      <c r="C143" s="17" t="inlineStr">
        <is>
          <t>Jerry</t>
        </is>
      </c>
      <c r="D143" s="17" t="inlineStr">
        <is>
          <t>baño pequeño + corte completo+ desenrede</t>
        </is>
      </c>
      <c r="E143" s="17" t="inlineStr">
        <is>
          <t>Grooming</t>
        </is>
      </c>
      <c r="F143" s="54" t="n">
        <v>2000</v>
      </c>
      <c r="G143" s="17" t="inlineStr">
        <is>
          <t>efectivo</t>
        </is>
      </c>
      <c r="H143" s="17" t="inlineStr">
        <is>
          <t>Laura</t>
        </is>
      </c>
      <c r="I143" s="17" t="inlineStr">
        <is>
          <t>Se le aplico $238 de descuento</t>
        </is>
      </c>
    </row>
    <row r="144" ht="18" customHeight="1" s="149">
      <c r="A144" s="15" t="n">
        <v>141</v>
      </c>
      <c r="B144" s="9" t="inlineStr">
        <is>
          <t>2025-11-15</t>
        </is>
      </c>
      <c r="C144" s="9" t="inlineStr">
        <is>
          <t>Shadow</t>
        </is>
      </c>
      <c r="D144" s="9" t="inlineStr">
        <is>
          <t>baño mediano</t>
        </is>
      </c>
      <c r="E144" s="9" t="inlineStr">
        <is>
          <t>Grooming</t>
        </is>
      </c>
      <c r="F144" s="14" t="n">
        <v>949</v>
      </c>
      <c r="G144" s="9" t="inlineStr">
        <is>
          <t>Transferencia (ban.reserv.)</t>
        </is>
      </c>
      <c r="H144" s="9" t="inlineStr">
        <is>
          <t>Laura</t>
        </is>
      </c>
      <c r="I144" s="9" t="n"/>
    </row>
    <row r="145" ht="18" customHeight="1" s="149">
      <c r="A145" s="19" t="n">
        <v>142</v>
      </c>
      <c r="B145" s="17" t="inlineStr">
        <is>
          <t>2025-11-15</t>
        </is>
      </c>
      <c r="C145" s="17" t="inlineStr">
        <is>
          <t>Nick</t>
        </is>
      </c>
      <c r="D145" s="17" t="inlineStr">
        <is>
          <t>baño pequeño + corte completo</t>
        </is>
      </c>
      <c r="E145" s="17" t="inlineStr">
        <is>
          <t>Grooming</t>
        </is>
      </c>
      <c r="F145" s="54" t="n">
        <v>1390</v>
      </c>
      <c r="G145" s="17" t="inlineStr">
        <is>
          <t>transferencia (ban.popular)</t>
        </is>
      </c>
      <c r="H145" s="17" t="inlineStr">
        <is>
          <t>Laura</t>
        </is>
      </c>
      <c r="I145" s="17" t="n"/>
    </row>
    <row r="146" ht="18" customHeight="1" s="149">
      <c r="A146" s="15" t="n">
        <v>143</v>
      </c>
      <c r="B146" s="9" t="inlineStr">
        <is>
          <t>2025-11-14</t>
        </is>
      </c>
      <c r="C146" s="9" t="inlineStr">
        <is>
          <t>Cofy</t>
        </is>
      </c>
      <c r="D146" s="9" t="inlineStr">
        <is>
          <t>baño pequeño + grooming</t>
        </is>
      </c>
      <c r="E146" s="9" t="inlineStr">
        <is>
          <t>Grooming</t>
        </is>
      </c>
      <c r="F146" s="14" t="n">
        <v>1698</v>
      </c>
      <c r="G146" s="9" t="inlineStr">
        <is>
          <t>transferencia (ban.popular)</t>
        </is>
      </c>
      <c r="H146" s="9" t="inlineStr">
        <is>
          <t>Laura</t>
        </is>
      </c>
      <c r="I146" s="9" t="n"/>
    </row>
    <row r="147" ht="18" customHeight="1" s="149">
      <c r="A147" s="19" t="n">
        <v>144</v>
      </c>
      <c r="B147" s="17" t="inlineStr">
        <is>
          <t>2025-11-13</t>
        </is>
      </c>
      <c r="C147" s="17" t="inlineStr">
        <is>
          <t>Bella</t>
        </is>
      </c>
      <c r="D147" s="17" t="inlineStr">
        <is>
          <t>baño pequeño + corte completo</t>
        </is>
      </c>
      <c r="E147" s="17" t="inlineStr">
        <is>
          <t>Grooming</t>
        </is>
      </c>
      <c r="F147" s="54" t="n">
        <v>1340</v>
      </c>
      <c r="G147" s="17" t="inlineStr">
        <is>
          <t>Transferencia (ban.reserv.)</t>
        </is>
      </c>
      <c r="H147" s="17" t="inlineStr">
        <is>
          <t>Laura</t>
        </is>
      </c>
      <c r="I147" s="17" t="inlineStr">
        <is>
          <t>Compro hueso para perro</t>
        </is>
      </c>
    </row>
    <row r="148" ht="18" customHeight="1" s="149">
      <c r="A148" s="15" t="n">
        <v>145</v>
      </c>
      <c r="B148" s="9" t="inlineStr">
        <is>
          <t>2025-11-12</t>
        </is>
      </c>
      <c r="C148" s="9" t="inlineStr">
        <is>
          <t>Shyguy</t>
        </is>
      </c>
      <c r="D148" s="9" t="inlineStr">
        <is>
          <t>baño pequeño</t>
        </is>
      </c>
      <c r="E148" s="9" t="inlineStr">
        <is>
          <t>Grooming</t>
        </is>
      </c>
      <c r="F148" s="14" t="n">
        <v>800</v>
      </c>
      <c r="G148" s="9" t="inlineStr">
        <is>
          <t>efectivo</t>
        </is>
      </c>
      <c r="H148" s="9" t="inlineStr">
        <is>
          <t>Laura</t>
        </is>
      </c>
      <c r="I148" s="9" t="n"/>
    </row>
    <row r="149" ht="18" customHeight="1" s="149">
      <c r="A149" s="19" t="n">
        <v>146</v>
      </c>
      <c r="B149" s="17" t="inlineStr">
        <is>
          <t>2025-11-12</t>
        </is>
      </c>
      <c r="C149" s="17" t="inlineStr">
        <is>
          <t>Tuti</t>
        </is>
      </c>
      <c r="D149" s="17" t="inlineStr">
        <is>
          <t>baño pequeño + corte completo</t>
        </is>
      </c>
      <c r="E149" s="17" t="inlineStr">
        <is>
          <t>Grooming</t>
        </is>
      </c>
      <c r="F149" s="54" t="n">
        <v>1548</v>
      </c>
      <c r="G149" s="17" t="inlineStr">
        <is>
          <t>Transferencia (ban.reserv.)</t>
        </is>
      </c>
      <c r="H149" s="17" t="inlineStr">
        <is>
          <t>Laura</t>
        </is>
      </c>
      <c r="I149" s="17" t="n"/>
    </row>
    <row r="150" ht="18" customHeight="1" s="149">
      <c r="A150" s="15" t="n">
        <v>147</v>
      </c>
      <c r="B150" s="9" t="inlineStr">
        <is>
          <t>2025-11-11</t>
        </is>
      </c>
      <c r="C150" s="9" t="inlineStr">
        <is>
          <t>Gari  600</t>
        </is>
      </c>
      <c r="D150" s="9" t="inlineStr">
        <is>
          <t>baño pequeño</t>
        </is>
      </c>
      <c r="E150" s="9" t="inlineStr">
        <is>
          <t>Grooming</t>
        </is>
      </c>
      <c r="F150" s="14" t="n">
        <v>800</v>
      </c>
      <c r="G150" s="9" t="inlineStr">
        <is>
          <t>transferencia (ban.popular)</t>
        </is>
      </c>
      <c r="H150" s="9" t="inlineStr">
        <is>
          <t>Laura</t>
        </is>
      </c>
      <c r="I150" s="9" t="n"/>
    </row>
    <row r="151" ht="18" customHeight="1" s="149">
      <c r="A151" s="19" t="n">
        <v>148</v>
      </c>
      <c r="B151" s="17" t="inlineStr">
        <is>
          <t>2025-11-08</t>
        </is>
      </c>
      <c r="C151" s="17" t="inlineStr">
        <is>
          <t>Rocco</t>
        </is>
      </c>
      <c r="D151" s="17" t="inlineStr">
        <is>
          <t>baño pequeño + corte completo</t>
        </is>
      </c>
      <c r="E151" s="17" t="inlineStr">
        <is>
          <t>Grooming</t>
        </is>
      </c>
      <c r="F151" s="54" t="n">
        <v>1600</v>
      </c>
      <c r="G151" s="17" t="inlineStr">
        <is>
          <t>transferencia (ban.popular)</t>
        </is>
      </c>
      <c r="H151" s="17" t="inlineStr">
        <is>
          <t>Laura</t>
        </is>
      </c>
      <c r="I151" s="17" t="n"/>
    </row>
    <row r="152" ht="18" customHeight="1" s="149">
      <c r="A152" s="15" t="n">
        <v>149</v>
      </c>
      <c r="B152" s="9" t="inlineStr">
        <is>
          <t>2025-11-08</t>
        </is>
      </c>
      <c r="C152" s="9" t="inlineStr">
        <is>
          <t>Milo</t>
        </is>
      </c>
      <c r="D152" s="9" t="inlineStr">
        <is>
          <t>baño pequeño + corte higienico</t>
        </is>
      </c>
      <c r="E152" s="9" t="inlineStr">
        <is>
          <t>Grooming</t>
        </is>
      </c>
      <c r="F152" s="14" t="n">
        <v>1289</v>
      </c>
      <c r="G152" s="9" t="inlineStr">
        <is>
          <t>efectivo</t>
        </is>
      </c>
      <c r="H152" s="9" t="n"/>
      <c r="I152" s="9" t="n"/>
    </row>
    <row r="153" ht="18" customHeight="1" s="149">
      <c r="A153" s="19" t="n">
        <v>150</v>
      </c>
      <c r="B153" s="17" t="inlineStr">
        <is>
          <t>2025-11-08</t>
        </is>
      </c>
      <c r="C153" s="17" t="inlineStr">
        <is>
          <t>Luna</t>
        </is>
      </c>
      <c r="D153" s="17" t="inlineStr">
        <is>
          <t>baño cachorro</t>
        </is>
      </c>
      <c r="E153" s="17" t="inlineStr">
        <is>
          <t>Grooming</t>
        </is>
      </c>
      <c r="F153" s="54" t="n">
        <v>699</v>
      </c>
      <c r="G153" s="17" t="inlineStr">
        <is>
          <t>efectivo</t>
        </is>
      </c>
      <c r="H153" s="17" t="n"/>
      <c r="I153" s="17" t="n"/>
    </row>
    <row r="154" ht="18" customHeight="1" s="149">
      <c r="A154" s="15" t="n">
        <v>151</v>
      </c>
      <c r="B154" s="9" t="inlineStr">
        <is>
          <t>2025-11-07</t>
        </is>
      </c>
      <c r="C154" s="9" t="inlineStr">
        <is>
          <t>MAX (Marcos)</t>
        </is>
      </c>
      <c r="D154" s="9" t="inlineStr">
        <is>
          <t>baño pequeño + desenrede</t>
        </is>
      </c>
      <c r="E154" s="9" t="inlineStr">
        <is>
          <t>Grooming</t>
        </is>
      </c>
      <c r="F154" s="14" t="n">
        <v>1304</v>
      </c>
      <c r="G154" s="9" t="inlineStr">
        <is>
          <t>Transferencia (ban.reserv.) victor</t>
        </is>
      </c>
      <c r="H154" s="9" t="n"/>
      <c r="I154" s="9" t="n"/>
    </row>
    <row r="155" ht="18" customHeight="1" s="149">
      <c r="A155" s="19" t="n">
        <v>152</v>
      </c>
      <c r="B155" s="17" t="inlineStr">
        <is>
          <t>2025-11-04</t>
        </is>
      </c>
      <c r="C155" s="17" t="inlineStr">
        <is>
          <t>Estrella Arnud</t>
        </is>
      </c>
      <c r="D155" s="17" t="inlineStr">
        <is>
          <t>baño pequeño + corte completo</t>
        </is>
      </c>
      <c r="E155" s="17" t="inlineStr">
        <is>
          <t>Grooming</t>
        </is>
      </c>
      <c r="F155" s="54" t="n">
        <v>1390</v>
      </c>
      <c r="G155" s="17" t="inlineStr">
        <is>
          <t>efectivo</t>
        </is>
      </c>
      <c r="H155" s="17" t="inlineStr">
        <is>
          <t>Laura</t>
        </is>
      </c>
      <c r="I155" s="17" t="n"/>
    </row>
    <row r="156" ht="18" customHeight="1" s="149">
      <c r="A156" s="15" t="n">
        <v>153</v>
      </c>
      <c r="B156" s="9" t="inlineStr">
        <is>
          <t>2025-11-04</t>
        </is>
      </c>
      <c r="C156" s="9" t="inlineStr">
        <is>
          <t>Luca Mejia</t>
        </is>
      </c>
      <c r="D156" s="9" t="inlineStr">
        <is>
          <t>baño pequeño</t>
        </is>
      </c>
      <c r="E156" s="9" t="inlineStr">
        <is>
          <t>Grooming</t>
        </is>
      </c>
      <c r="F156" s="14" t="n">
        <v>719</v>
      </c>
      <c r="G156" s="9" t="inlineStr">
        <is>
          <t>efectivo</t>
        </is>
      </c>
      <c r="H156" s="9" t="inlineStr">
        <is>
          <t>Laura</t>
        </is>
      </c>
      <c r="I156" s="9" t="inlineStr">
        <is>
          <t>Dejo $81 demas.</t>
        </is>
      </c>
    </row>
    <row r="157" ht="18" customHeight="1" s="149">
      <c r="A157" s="19" t="n">
        <v>154</v>
      </c>
      <c r="B157" s="17" t="inlineStr">
        <is>
          <t>2025-11-03</t>
        </is>
      </c>
      <c r="C157" s="17" t="inlineStr">
        <is>
          <t>Shayna SANCHEZ</t>
        </is>
      </c>
      <c r="D157" s="17" t="inlineStr">
        <is>
          <t>baño pequeño + deslanado</t>
        </is>
      </c>
      <c r="E157" s="17" t="inlineStr">
        <is>
          <t>Grooming</t>
        </is>
      </c>
      <c r="F157" s="54" t="n">
        <v>1431</v>
      </c>
      <c r="G157" s="17" t="inlineStr">
        <is>
          <t>Transferencia (ban.reserv.)</t>
        </is>
      </c>
      <c r="H157" s="17" t="inlineStr">
        <is>
          <t>Laura</t>
        </is>
      </c>
      <c r="I157" s="17" t="n"/>
    </row>
    <row r="158" ht="18" customHeight="1" s="149">
      <c r="A158" s="15" t="n">
        <v>155</v>
      </c>
      <c r="B158" s="9" t="inlineStr">
        <is>
          <t>2025-11-02</t>
        </is>
      </c>
      <c r="C158" s="9" t="inlineStr">
        <is>
          <t>Tobby</t>
        </is>
      </c>
      <c r="D158" s="9" t="inlineStr">
        <is>
          <t>baño pequeño + corte completo</t>
        </is>
      </c>
      <c r="E158" s="9" t="inlineStr">
        <is>
          <t>Grooming</t>
        </is>
      </c>
      <c r="F158" s="14" t="n">
        <v>1548</v>
      </c>
      <c r="G158" s="9" t="inlineStr">
        <is>
          <t>Transferencia (ban.reserv.)</t>
        </is>
      </c>
      <c r="H158" s="9" t="inlineStr">
        <is>
          <t>LAURA</t>
        </is>
      </c>
      <c r="I158" s="9" t="inlineStr">
        <is>
          <t>compro un plato (200) + arnes para perro ($300)</t>
        </is>
      </c>
    </row>
    <row r="159" ht="18" customHeight="1" s="149">
      <c r="A159" s="19" t="n">
        <v>156</v>
      </c>
      <c r="B159" s="17" t="inlineStr">
        <is>
          <t>2025-11-02</t>
        </is>
      </c>
      <c r="C159" s="17" t="inlineStr">
        <is>
          <t>Loki</t>
        </is>
      </c>
      <c r="D159" s="17" t="inlineStr">
        <is>
          <t>baño pequeño + corte completo</t>
        </is>
      </c>
      <c r="E159" s="17" t="inlineStr">
        <is>
          <t>Grooming</t>
        </is>
      </c>
      <c r="F159" s="54" t="n">
        <v>1390</v>
      </c>
      <c r="G159" s="17" t="inlineStr">
        <is>
          <t>transferencia (ban.popular)</t>
        </is>
      </c>
      <c r="H159" s="17" t="inlineStr">
        <is>
          <t>LAURA</t>
        </is>
      </c>
      <c r="I159" s="17" t="n"/>
    </row>
    <row r="160" ht="18" customHeight="1" s="149">
      <c r="A160" s="15" t="n">
        <v>157</v>
      </c>
      <c r="B160" s="9" t="inlineStr">
        <is>
          <t>2025-11-02</t>
        </is>
      </c>
      <c r="C160" s="9" t="inlineStr">
        <is>
          <t>Chorito</t>
        </is>
      </c>
      <c r="D160" s="9" t="inlineStr">
        <is>
          <t>baño pequeño + corte completo</t>
        </is>
      </c>
      <c r="E160" s="9" t="inlineStr">
        <is>
          <t>Grooming</t>
        </is>
      </c>
      <c r="F160" s="14" t="n">
        <v>1548</v>
      </c>
      <c r="G160" s="9" t="inlineStr">
        <is>
          <t>transferencia (ban.popular)</t>
        </is>
      </c>
      <c r="H160" s="9" t="inlineStr">
        <is>
          <t>LAURA</t>
        </is>
      </c>
      <c r="I160" s="9" t="inlineStr">
        <is>
          <t>compró Bravecto 4,5 kg</t>
        </is>
      </c>
    </row>
    <row r="161" ht="18" customHeight="1" s="149">
      <c r="A161" s="19" t="n">
        <v>158</v>
      </c>
      <c r="B161" s="17" t="inlineStr">
        <is>
          <t>2025-11-01</t>
        </is>
      </c>
      <c r="C161" s="17" t="inlineStr">
        <is>
          <t>Boddy Camilo</t>
        </is>
      </c>
      <c r="D161" s="17" t="inlineStr">
        <is>
          <t>baño pequeño + corte completo</t>
        </is>
      </c>
      <c r="E161" s="17" t="inlineStr">
        <is>
          <t>Grooming</t>
        </is>
      </c>
      <c r="F161" s="54" t="n">
        <v>1548</v>
      </c>
      <c r="G161" s="17" t="inlineStr">
        <is>
          <t>Transferencia (ban.reserv.)</t>
        </is>
      </c>
      <c r="H161" s="17" t="inlineStr">
        <is>
          <t>LAURA</t>
        </is>
      </c>
      <c r="I161" s="17" t="inlineStr">
        <is>
          <t>compro un hueso de juguete (pago en efectivo)</t>
        </is>
      </c>
    </row>
    <row r="162" ht="18" customHeight="1" s="149">
      <c r="A162" s="15" t="n">
        <v>159</v>
      </c>
      <c r="B162" s="9" t="inlineStr">
        <is>
          <t>2025-11-01</t>
        </is>
      </c>
      <c r="C162" s="9" t="inlineStr">
        <is>
          <t>Mia Roa</t>
        </is>
      </c>
      <c r="D162" s="9" t="inlineStr">
        <is>
          <t>baño pequeño</t>
        </is>
      </c>
      <c r="E162" s="9" t="inlineStr">
        <is>
          <t>Grooming</t>
        </is>
      </c>
      <c r="F162" s="14" t="n">
        <v>800</v>
      </c>
      <c r="G162" s="9" t="inlineStr">
        <is>
          <t>efectivo</t>
        </is>
      </c>
      <c r="H162" s="9" t="inlineStr">
        <is>
          <t>LAURA</t>
        </is>
      </c>
      <c r="I162" s="9" t="inlineStr">
        <is>
          <t>compró colonia Lulu</t>
        </is>
      </c>
    </row>
    <row r="163" ht="18" customHeight="1" s="149">
      <c r="A163" s="19" t="n">
        <v>160</v>
      </c>
      <c r="B163" s="17" t="inlineStr">
        <is>
          <t>2025-11-01</t>
        </is>
      </c>
      <c r="C163" s="17" t="inlineStr">
        <is>
          <t>Sky Guerra</t>
        </is>
      </c>
      <c r="D163" s="17" t="inlineStr">
        <is>
          <t>baño pequeño + corte completo</t>
        </is>
      </c>
      <c r="E163" s="17" t="inlineStr">
        <is>
          <t>Grooming</t>
        </is>
      </c>
      <c r="F163" s="54" t="n">
        <v>1500</v>
      </c>
      <c r="G163" s="17" t="inlineStr">
        <is>
          <t>efectivo</t>
        </is>
      </c>
      <c r="H163" s="17" t="inlineStr">
        <is>
          <t>LAURA</t>
        </is>
      </c>
      <c r="I163" s="17" t="n"/>
    </row>
    <row r="164" ht="18" customHeight="1" s="149">
      <c r="A164" s="15" t="n">
        <v>161</v>
      </c>
      <c r="B164" s="9" t="inlineStr">
        <is>
          <t>2025-11-01</t>
        </is>
      </c>
      <c r="C164" s="9" t="inlineStr">
        <is>
          <t>Everest Cuevas</t>
        </is>
      </c>
      <c r="D164" s="9" t="inlineStr">
        <is>
          <t>baño grande</t>
        </is>
      </c>
      <c r="E164" s="9" t="inlineStr">
        <is>
          <t>Grooming</t>
        </is>
      </c>
      <c r="F164" s="14" t="n">
        <v>1149</v>
      </c>
      <c r="G164" s="9" t="inlineStr">
        <is>
          <t>transferencia (ban.popular)</t>
        </is>
      </c>
      <c r="H164" s="9" t="inlineStr">
        <is>
          <t>LAURA</t>
        </is>
      </c>
      <c r="I164" s="9" t="n"/>
    </row>
    <row r="165" ht="18" customHeight="1" s="149">
      <c r="A165" s="19" t="n">
        <v>162</v>
      </c>
      <c r="B165" s="17" t="inlineStr">
        <is>
          <t>2025-11-01</t>
        </is>
      </c>
      <c r="C165" s="17" t="inlineStr">
        <is>
          <t>Oliver Matos Rosario</t>
        </is>
      </c>
      <c r="D165" s="17" t="inlineStr">
        <is>
          <t>baño pequeño + corte completo</t>
        </is>
      </c>
      <c r="E165" s="17" t="inlineStr">
        <is>
          <t>Grooming</t>
        </is>
      </c>
      <c r="F165" s="54" t="n">
        <v>1550</v>
      </c>
      <c r="G165" s="17" t="inlineStr">
        <is>
          <t>Transferencia (ban.reserv.)</t>
        </is>
      </c>
      <c r="H165" s="17" t="inlineStr">
        <is>
          <t>LAURA</t>
        </is>
      </c>
      <c r="I165" s="17" t="n"/>
    </row>
    <row r="166" ht="18" customHeight="1" s="149">
      <c r="A166" s="15" t="n">
        <v>163</v>
      </c>
      <c r="B166" s="9" t="inlineStr">
        <is>
          <t>2025-11-01</t>
        </is>
      </c>
      <c r="C166" s="9" t="inlineStr">
        <is>
          <t>Bella Mera</t>
        </is>
      </c>
      <c r="D166" s="9" t="inlineStr">
        <is>
          <t>baño cachorro + corte completo</t>
        </is>
      </c>
      <c r="E166" s="9" t="inlineStr">
        <is>
          <t>Grooming</t>
        </is>
      </c>
      <c r="F166" s="14" t="n">
        <v>1340</v>
      </c>
      <c r="G166" s="9" t="inlineStr">
        <is>
          <t>Transferencia (ban.reserv.)</t>
        </is>
      </c>
      <c r="H166" s="9" t="inlineStr">
        <is>
          <t>LAURA</t>
        </is>
      </c>
      <c r="I166" s="9" t="inlineStr">
        <is>
          <t>dejo propina</t>
        </is>
      </c>
    </row>
    <row r="167" ht="18" customHeight="1" s="149">
      <c r="A167" s="19" t="n">
        <v>164</v>
      </c>
      <c r="B167" s="17" t="inlineStr">
        <is>
          <t>2025-11-01</t>
        </is>
      </c>
      <c r="C167" s="17" t="inlineStr">
        <is>
          <t>Ares  Ramos</t>
        </is>
      </c>
      <c r="D167" s="17" t="inlineStr">
        <is>
          <t>baño cachorro</t>
        </is>
      </c>
      <c r="E167" s="17" t="inlineStr">
        <is>
          <t>Grooming</t>
        </is>
      </c>
      <c r="F167" s="54" t="n">
        <v>699</v>
      </c>
      <c r="G167" s="17" t="inlineStr">
        <is>
          <t>efectivo</t>
        </is>
      </c>
      <c r="H167" s="17" t="inlineStr">
        <is>
          <t>LAURA</t>
        </is>
      </c>
      <c r="I167" s="17" t="inlineStr">
        <is>
          <t>Compró pads de absorcion</t>
        </is>
      </c>
    </row>
    <row r="168" ht="18" customHeight="1" s="149">
      <c r="A168" s="15" t="n">
        <v>165</v>
      </c>
      <c r="B168" s="9" t="inlineStr">
        <is>
          <t>2025-10-31</t>
        </is>
      </c>
      <c r="C168" s="9" t="inlineStr">
        <is>
          <t>Cleo</t>
        </is>
      </c>
      <c r="D168" s="9" t="inlineStr">
        <is>
          <t>baño pequeño + corte completo</t>
        </is>
      </c>
      <c r="E168" s="9" t="inlineStr">
        <is>
          <t>Grooming</t>
        </is>
      </c>
      <c r="F168" s="14" t="n">
        <v>1392</v>
      </c>
      <c r="G168" s="9" t="inlineStr">
        <is>
          <t>Transferencia (ban.reserv.) laura</t>
        </is>
      </c>
      <c r="H168" s="9" t="inlineStr">
        <is>
          <t>LAURA</t>
        </is>
      </c>
      <c r="I168" s="9" t="n"/>
    </row>
    <row r="169" ht="18" customHeight="1" s="149">
      <c r="A169" s="19" t="n">
        <v>166</v>
      </c>
      <c r="B169" s="17" t="inlineStr">
        <is>
          <t>2025-10-31</t>
        </is>
      </c>
      <c r="C169" s="17" t="inlineStr">
        <is>
          <t>Milo</t>
        </is>
      </c>
      <c r="D169" s="17" t="inlineStr">
        <is>
          <t>baño pequeño</t>
        </is>
      </c>
      <c r="E169" s="17" t="inlineStr">
        <is>
          <t>Grooming</t>
        </is>
      </c>
      <c r="F169" s="54" t="n">
        <v>719</v>
      </c>
      <c r="G169" s="17" t="inlineStr">
        <is>
          <t>transferencia (ban.popular) Victor</t>
        </is>
      </c>
      <c r="H169" s="17" t="inlineStr">
        <is>
          <t>LAURA</t>
        </is>
      </c>
      <c r="I169" s="17" t="n"/>
    </row>
    <row r="170" ht="18" customHeight="1" s="149">
      <c r="A170" s="15" t="n">
        <v>167</v>
      </c>
      <c r="B170" s="9" t="inlineStr">
        <is>
          <t>2025-10-31</t>
        </is>
      </c>
      <c r="C170" s="9" t="inlineStr">
        <is>
          <t>Luna Polo</t>
        </is>
      </c>
      <c r="D170" s="9" t="inlineStr">
        <is>
          <t>baño pequeño + corte higienico</t>
        </is>
      </c>
      <c r="E170" s="9" t="inlineStr">
        <is>
          <t>Grooming</t>
        </is>
      </c>
      <c r="F170" s="14" t="n">
        <v>1390</v>
      </c>
      <c r="G170" s="9" t="inlineStr">
        <is>
          <t>efectivo</t>
        </is>
      </c>
      <c r="H170" s="9" t="inlineStr">
        <is>
          <t>LAURA</t>
        </is>
      </c>
      <c r="I170" s="9" t="n"/>
    </row>
    <row r="171" ht="18" customHeight="1" s="149">
      <c r="A171" s="19" t="n">
        <v>168</v>
      </c>
      <c r="B171" s="17" t="inlineStr">
        <is>
          <t>2025-10-30</t>
        </is>
      </c>
      <c r="C171" s="17" t="inlineStr">
        <is>
          <t>Luna Juliao</t>
        </is>
      </c>
      <c r="D171" s="17" t="inlineStr">
        <is>
          <t>baño pequeño + corte higienico</t>
        </is>
      </c>
      <c r="E171" s="17" t="inlineStr">
        <is>
          <t>Grooming</t>
        </is>
      </c>
      <c r="F171" s="54" t="n">
        <v>1390</v>
      </c>
      <c r="G171" s="17" t="inlineStr">
        <is>
          <t>efectivo</t>
        </is>
      </c>
      <c r="H171" s="17" t="inlineStr">
        <is>
          <t>LAURA</t>
        </is>
      </c>
      <c r="I171" s="17" t="n"/>
    </row>
    <row r="172" ht="18" customHeight="1" s="149">
      <c r="A172" s="15" t="n">
        <v>169</v>
      </c>
      <c r="B172" s="9" t="inlineStr">
        <is>
          <t>2025-10-27</t>
        </is>
      </c>
      <c r="C172" s="9" t="inlineStr">
        <is>
          <t>Nick Ortiz</t>
        </is>
      </c>
      <c r="D172" s="9" t="inlineStr">
        <is>
          <t>baño pequeño</t>
        </is>
      </c>
      <c r="E172" s="9" t="inlineStr">
        <is>
          <t>Grooming</t>
        </is>
      </c>
      <c r="F172" s="14" t="n">
        <v>719</v>
      </c>
      <c r="G172" s="9" t="inlineStr">
        <is>
          <t>transferencia (ban.popular)</t>
        </is>
      </c>
      <c r="H172" s="9" t="inlineStr">
        <is>
          <t>LAURA</t>
        </is>
      </c>
      <c r="I172" s="9" t="n"/>
    </row>
    <row r="173" ht="18" customHeight="1" s="149">
      <c r="A173" s="19" t="n">
        <v>170</v>
      </c>
      <c r="B173" s="17" t="inlineStr">
        <is>
          <t>2025-10-26</t>
        </is>
      </c>
      <c r="C173" s="17" t="inlineStr">
        <is>
          <t>Mila</t>
        </is>
      </c>
      <c r="D173" s="17" t="inlineStr">
        <is>
          <t>baño pequeño + corte completo</t>
        </is>
      </c>
      <c r="E173" s="17" t="inlineStr">
        <is>
          <t>Grooming</t>
        </is>
      </c>
      <c r="F173" s="54" t="n">
        <v>1390</v>
      </c>
      <c r="G173" s="17" t="inlineStr">
        <is>
          <t>Transferencia (ban.reserv.)</t>
        </is>
      </c>
      <c r="H173" s="17" t="inlineStr">
        <is>
          <t>LAURA</t>
        </is>
      </c>
      <c r="I173" s="17" t="n"/>
    </row>
    <row r="174" ht="18" customHeight="1" s="149">
      <c r="A174" s="15" t="n">
        <v>171</v>
      </c>
      <c r="B174" s="9" t="inlineStr">
        <is>
          <t>2025-10-26</t>
        </is>
      </c>
      <c r="C174" s="9" t="inlineStr">
        <is>
          <t>Oreo (cocker spaniel)</t>
        </is>
      </c>
      <c r="D174" s="9" t="inlineStr">
        <is>
          <t>baño mediano</t>
        </is>
      </c>
      <c r="E174" s="9" t="inlineStr">
        <is>
          <t>Grooming</t>
        </is>
      </c>
      <c r="F174" s="14" t="n">
        <v>800</v>
      </c>
      <c r="G174" s="9" t="inlineStr">
        <is>
          <t>Transferencia (ban.reserv.)</t>
        </is>
      </c>
      <c r="H174" s="9" t="inlineStr">
        <is>
          <t>LAURA</t>
        </is>
      </c>
      <c r="I174" s="9" t="n"/>
    </row>
    <row r="175" ht="18" customHeight="1" s="149">
      <c r="A175" s="19" t="n">
        <v>172</v>
      </c>
      <c r="B175" s="17" t="inlineStr">
        <is>
          <t>2025-10-25</t>
        </is>
      </c>
      <c r="C175" s="17" t="inlineStr">
        <is>
          <t>Mia Pon</t>
        </is>
      </c>
      <c r="D175" s="17" t="inlineStr">
        <is>
          <t>baño pequeño + corte completo</t>
        </is>
      </c>
      <c r="E175" s="17" t="inlineStr">
        <is>
          <t>Grooming</t>
        </is>
      </c>
      <c r="F175" s="54" t="n">
        <v>1393</v>
      </c>
      <c r="G175" s="17" t="inlineStr">
        <is>
          <t>transferencia (ban.popular)</t>
        </is>
      </c>
      <c r="H175" s="17" t="inlineStr">
        <is>
          <t>LAURA</t>
        </is>
      </c>
      <c r="I175" s="17" t="n"/>
    </row>
    <row r="176" ht="18" customHeight="1" s="149">
      <c r="A176" s="15" t="n">
        <v>173</v>
      </c>
      <c r="B176" s="9" t="inlineStr">
        <is>
          <t>2025-10-21</t>
        </is>
      </c>
      <c r="C176" s="9" t="inlineStr">
        <is>
          <t>Gari 600</t>
        </is>
      </c>
      <c r="D176" s="9" t="inlineStr">
        <is>
          <t>baño pequeño</t>
        </is>
      </c>
      <c r="E176" s="9" t="inlineStr">
        <is>
          <t>Grooming</t>
        </is>
      </c>
      <c r="F176" s="14" t="n">
        <v>800</v>
      </c>
      <c r="G176" s="9" t="inlineStr">
        <is>
          <t>Transferencia (ban.reserv.)</t>
        </is>
      </c>
      <c r="H176" s="9" t="inlineStr">
        <is>
          <t>LAURA</t>
        </is>
      </c>
      <c r="I176" s="9" t="n"/>
    </row>
    <row r="177" ht="18" customHeight="1" s="149">
      <c r="A177" s="19" t="n">
        <v>174</v>
      </c>
      <c r="B177" s="17" t="inlineStr">
        <is>
          <t>2025-10-20</t>
        </is>
      </c>
      <c r="C177" s="17" t="inlineStr">
        <is>
          <t>Bella Mejia</t>
        </is>
      </c>
      <c r="D177" s="17" t="inlineStr">
        <is>
          <t>baño pequeño + corte higienico</t>
        </is>
      </c>
      <c r="E177" s="17" t="inlineStr">
        <is>
          <t>Grooming</t>
        </is>
      </c>
      <c r="F177" s="54" t="n">
        <v>1160</v>
      </c>
      <c r="G177" s="17" t="inlineStr">
        <is>
          <t>efectivo</t>
        </is>
      </c>
      <c r="H177" s="17" t="n"/>
      <c r="I177" s="17" t="inlineStr">
        <is>
          <t>10% descuento</t>
        </is>
      </c>
    </row>
    <row r="178" ht="18" customHeight="1" s="149">
      <c r="A178" s="15" t="n">
        <v>175</v>
      </c>
      <c r="B178" s="9" t="inlineStr">
        <is>
          <t>2025-10-19</t>
        </is>
      </c>
      <c r="C178" s="9" t="inlineStr">
        <is>
          <t>Guigui</t>
        </is>
      </c>
      <c r="D178" s="9" t="inlineStr">
        <is>
          <t>baño pequeño</t>
        </is>
      </c>
      <c r="E178" s="9" t="inlineStr">
        <is>
          <t>Grooming</t>
        </is>
      </c>
      <c r="F178" s="14" t="n">
        <v>1353</v>
      </c>
      <c r="G178" s="9" t="inlineStr">
        <is>
          <t>efectivo</t>
        </is>
      </c>
      <c r="H178" s="9" t="inlineStr">
        <is>
          <t>LAURA</t>
        </is>
      </c>
      <c r="I178" s="9" t="n"/>
    </row>
    <row r="179" ht="18" customHeight="1" s="149">
      <c r="A179" s="19" t="n">
        <v>176</v>
      </c>
      <c r="B179" s="17" t="inlineStr">
        <is>
          <t>2025-10-19</t>
        </is>
      </c>
      <c r="C179" s="17" t="inlineStr">
        <is>
          <t>Lili Alcantara</t>
        </is>
      </c>
      <c r="D179" s="17" t="inlineStr">
        <is>
          <t>baño pequeño + corte completo</t>
        </is>
      </c>
      <c r="E179" s="17" t="inlineStr">
        <is>
          <t>Grooming</t>
        </is>
      </c>
      <c r="F179" s="54" t="n">
        <v>1393</v>
      </c>
      <c r="G179" s="17" t="inlineStr">
        <is>
          <t>Transferencia (ban.reserv.)</t>
        </is>
      </c>
      <c r="H179" s="17" t="inlineStr">
        <is>
          <t>LAURA</t>
        </is>
      </c>
      <c r="I179" s="17" t="n"/>
    </row>
    <row r="180" ht="18" customHeight="1" s="149">
      <c r="A180" s="15" t="n">
        <v>177</v>
      </c>
      <c r="B180" s="9" t="inlineStr">
        <is>
          <t>2025-10-19</t>
        </is>
      </c>
      <c r="C180" s="9" t="inlineStr">
        <is>
          <t>Teddy</t>
        </is>
      </c>
      <c r="D180" s="9" t="inlineStr">
        <is>
          <t>baño de cachorro</t>
        </is>
      </c>
      <c r="E180" s="9" t="inlineStr">
        <is>
          <t>Grooming</t>
        </is>
      </c>
      <c r="F180" s="14" t="n">
        <v>700</v>
      </c>
      <c r="G180" s="9" t="inlineStr">
        <is>
          <t>transferencia (ban.popular)</t>
        </is>
      </c>
      <c r="H180" s="9" t="inlineStr">
        <is>
          <t>LAURA</t>
        </is>
      </c>
      <c r="I180" s="9" t="n"/>
    </row>
    <row r="181" ht="18" customHeight="1" s="149">
      <c r="A181" s="19" t="n">
        <v>178</v>
      </c>
      <c r="B181" s="17" t="inlineStr">
        <is>
          <t>2025-10-18</t>
        </is>
      </c>
      <c r="C181" s="17" t="inlineStr">
        <is>
          <t>Copito PEREZ</t>
        </is>
      </c>
      <c r="D181" s="17" t="inlineStr">
        <is>
          <t>baño pequeño+desenrede+corte higienico</t>
        </is>
      </c>
      <c r="E181" s="17" t="inlineStr">
        <is>
          <t>Grooming</t>
        </is>
      </c>
      <c r="F181" s="54" t="n">
        <v>1789</v>
      </c>
      <c r="G181" s="17" t="inlineStr">
        <is>
          <t>efectivo</t>
        </is>
      </c>
      <c r="H181" s="17" t="inlineStr">
        <is>
          <t>LAURA</t>
        </is>
      </c>
      <c r="I181" s="17" t="n"/>
    </row>
    <row r="182" ht="18" customHeight="1" s="149">
      <c r="A182" s="15" t="n">
        <v>179</v>
      </c>
      <c r="B182" s="9" t="inlineStr">
        <is>
          <t>2025-10-18</t>
        </is>
      </c>
      <c r="C182" s="9" t="inlineStr">
        <is>
          <t>Ruthi Severino</t>
        </is>
      </c>
      <c r="D182" s="9" t="inlineStr">
        <is>
          <t>baño pequeño</t>
        </is>
      </c>
      <c r="E182" s="9" t="inlineStr">
        <is>
          <t>Grooming</t>
        </is>
      </c>
      <c r="F182" s="14" t="n">
        <v>719</v>
      </c>
      <c r="G182" s="9" t="inlineStr">
        <is>
          <t>efectivo</t>
        </is>
      </c>
      <c r="H182" s="9" t="inlineStr">
        <is>
          <t>LAURA</t>
        </is>
      </c>
      <c r="I182" s="9" t="n"/>
    </row>
    <row r="183" ht="18" customHeight="1" s="149">
      <c r="A183" s="19" t="n">
        <v>180</v>
      </c>
      <c r="B183" s="17" t="inlineStr">
        <is>
          <t>2025-10-18</t>
        </is>
      </c>
      <c r="C183" s="17" t="inlineStr">
        <is>
          <t>Caramelo</t>
        </is>
      </c>
      <c r="D183" s="17" t="inlineStr">
        <is>
          <t>baño pequeño</t>
        </is>
      </c>
      <c r="E183" s="17" t="inlineStr">
        <is>
          <t>Grooming</t>
        </is>
      </c>
      <c r="F183" s="54" t="n">
        <v>719</v>
      </c>
      <c r="G183" s="17" t="inlineStr">
        <is>
          <t>efectivo</t>
        </is>
      </c>
      <c r="H183" s="17" t="inlineStr">
        <is>
          <t>LAURA</t>
        </is>
      </c>
      <c r="I183" s="17" t="inlineStr">
        <is>
          <t>$120 de juguete hueso</t>
        </is>
      </c>
    </row>
    <row r="184" ht="18" customHeight="1" s="149">
      <c r="A184" s="15" t="n">
        <v>181</v>
      </c>
      <c r="B184" s="9" t="inlineStr">
        <is>
          <t>2025-10-18</t>
        </is>
      </c>
      <c r="C184" s="9" t="inlineStr">
        <is>
          <t>Kira</t>
        </is>
      </c>
      <c r="D184" s="9" t="inlineStr">
        <is>
          <t>baño pequeño + corte higienico</t>
        </is>
      </c>
      <c r="E184" s="9" t="inlineStr">
        <is>
          <t>Grooming</t>
        </is>
      </c>
      <c r="F184" s="14" t="n">
        <v>2190</v>
      </c>
      <c r="G184" s="9" t="inlineStr">
        <is>
          <t>$2000 efectivo</t>
        </is>
      </c>
      <c r="H184" s="9" t="inlineStr">
        <is>
          <t>LAURA</t>
        </is>
      </c>
      <c r="I184" s="9" t="inlineStr">
        <is>
          <t>Se le aplicó 15% de descuento</t>
        </is>
      </c>
    </row>
    <row r="185" ht="18" customHeight="1" s="149">
      <c r="A185" s="19" t="n">
        <v>182</v>
      </c>
      <c r="B185" s="17" t="inlineStr">
        <is>
          <t>2025-10-17</t>
        </is>
      </c>
      <c r="C185" s="17" t="inlineStr">
        <is>
          <t>Kira</t>
        </is>
      </c>
      <c r="D185" s="17" t="inlineStr">
        <is>
          <t>baño pequeño + corte completo</t>
        </is>
      </c>
      <c r="E185" s="17" t="inlineStr">
        <is>
          <t>Grooming</t>
        </is>
      </c>
      <c r="F185" s="54" t="n">
        <v>1400</v>
      </c>
      <c r="G185" s="17" t="inlineStr">
        <is>
          <t>transferencia (ban.popular)</t>
        </is>
      </c>
      <c r="H185" s="17" t="inlineStr">
        <is>
          <t>LAURA</t>
        </is>
      </c>
      <c r="I185" s="17" t="inlineStr">
        <is>
          <t>pagó $8 pesos demas.</t>
        </is>
      </c>
    </row>
    <row r="186" ht="18" customHeight="1" s="149">
      <c r="A186" s="15" t="n">
        <v>183</v>
      </c>
      <c r="B186" s="9" t="inlineStr">
        <is>
          <t>2025-10-17</t>
        </is>
      </c>
      <c r="C186" s="9" t="inlineStr">
        <is>
          <t>Shayna Sanchez</t>
        </is>
      </c>
      <c r="D186" s="9" t="inlineStr">
        <is>
          <t>baño pequeño</t>
        </is>
      </c>
      <c r="E186" s="9" t="inlineStr">
        <is>
          <t>Grooming</t>
        </is>
      </c>
      <c r="F186" s="14" t="n">
        <v>1020</v>
      </c>
      <c r="G186" s="9" t="inlineStr">
        <is>
          <t>Transferencia (ban.reserv.)</t>
        </is>
      </c>
      <c r="H186" s="9" t="inlineStr">
        <is>
          <t>LAURA</t>
        </is>
      </c>
      <c r="I186" s="9" t="inlineStr">
        <is>
          <t>$300 colonia Lulu</t>
        </is>
      </c>
    </row>
    <row r="187" ht="18" customHeight="1" s="149">
      <c r="A187" s="19" t="n">
        <v>184</v>
      </c>
      <c r="B187" s="17" t="inlineStr">
        <is>
          <t>2025-10-16</t>
        </is>
      </c>
      <c r="C187" s="17" t="inlineStr">
        <is>
          <t>Yaki</t>
        </is>
      </c>
      <c r="D187" s="17" t="inlineStr">
        <is>
          <t>baño mediano</t>
        </is>
      </c>
      <c r="E187" s="17" t="inlineStr">
        <is>
          <t>Grooming</t>
        </is>
      </c>
      <c r="F187" s="54" t="n">
        <v>949</v>
      </c>
      <c r="G187" s="17" t="inlineStr">
        <is>
          <t>transferencia (ban.popular)</t>
        </is>
      </c>
      <c r="H187" s="17" t="inlineStr">
        <is>
          <t>LAURA</t>
        </is>
      </c>
      <c r="I187" s="17" t="n"/>
    </row>
    <row r="188" ht="18" customHeight="1" s="149">
      <c r="A188" s="15" t="n">
        <v>185</v>
      </c>
      <c r="B188" s="9" t="inlineStr">
        <is>
          <t>2025-10-15</t>
        </is>
      </c>
      <c r="C188" s="9" t="inlineStr">
        <is>
          <t>Nala</t>
        </is>
      </c>
      <c r="D188" s="9" t="inlineStr">
        <is>
          <t>baño pequeño + corte higienico</t>
        </is>
      </c>
      <c r="E188" s="9" t="inlineStr">
        <is>
          <t>Grooming</t>
        </is>
      </c>
      <c r="F188" s="14" t="n">
        <v>1160</v>
      </c>
      <c r="G188" s="9" t="inlineStr">
        <is>
          <t>Transferencia (ban.reserv.)</t>
        </is>
      </c>
      <c r="H188" s="9" t="inlineStr">
        <is>
          <t>LAURA</t>
        </is>
      </c>
      <c r="I188" s="9" t="n"/>
    </row>
    <row r="189" ht="18" customHeight="1" s="149">
      <c r="A189" s="19" t="n">
        <v>186</v>
      </c>
      <c r="B189" s="17" t="inlineStr">
        <is>
          <t>2025-10-13</t>
        </is>
      </c>
      <c r="C189" s="17" t="inlineStr">
        <is>
          <t>Kaki TAVERAS</t>
        </is>
      </c>
      <c r="D189" s="17" t="inlineStr">
        <is>
          <t>baño pequeño</t>
        </is>
      </c>
      <c r="E189" s="17" t="inlineStr">
        <is>
          <t>Grooming</t>
        </is>
      </c>
      <c r="F189" s="54" t="n">
        <v>719</v>
      </c>
      <c r="G189" s="17" t="n"/>
      <c r="H189" s="17" t="inlineStr">
        <is>
          <t>LAURA</t>
        </is>
      </c>
      <c r="I189" s="17" t="n"/>
    </row>
    <row r="190" ht="18" customHeight="1" s="149">
      <c r="A190" s="15" t="n">
        <v>187</v>
      </c>
      <c r="B190" s="9" t="inlineStr">
        <is>
          <t>2025-10-13</t>
        </is>
      </c>
      <c r="C190" s="9" t="inlineStr">
        <is>
          <t>Honey TAVERAZ</t>
        </is>
      </c>
      <c r="D190" s="9" t="inlineStr">
        <is>
          <t>baño pequeño + corte higienico</t>
        </is>
      </c>
      <c r="E190" s="9" t="inlineStr">
        <is>
          <t>Grooming</t>
        </is>
      </c>
      <c r="F190" s="14" t="n">
        <v>1160</v>
      </c>
      <c r="G190" s="9" t="inlineStr">
        <is>
          <t>transferencia (ban.popular)</t>
        </is>
      </c>
      <c r="H190" s="9" t="inlineStr">
        <is>
          <t>LAURA</t>
        </is>
      </c>
      <c r="I190" s="9" t="n"/>
    </row>
    <row r="191" ht="18" customHeight="1" s="149">
      <c r="A191" s="19" t="n">
        <v>188</v>
      </c>
      <c r="B191" s="17" t="inlineStr">
        <is>
          <t>2025-10-12</t>
        </is>
      </c>
      <c r="C191" s="17" t="inlineStr">
        <is>
          <t>Guccy</t>
        </is>
      </c>
      <c r="D191" s="17" t="inlineStr">
        <is>
          <t>baño pequeño + corte completo</t>
        </is>
      </c>
      <c r="E191" s="17" t="inlineStr">
        <is>
          <t>Grooming</t>
        </is>
      </c>
      <c r="F191" s="54" t="n">
        <v>1548</v>
      </c>
      <c r="G191" s="17" t="inlineStr">
        <is>
          <t>Transferencia (ban.reserv.)</t>
        </is>
      </c>
      <c r="H191" s="17" t="inlineStr">
        <is>
          <t>LAURA</t>
        </is>
      </c>
      <c r="I191" s="17" t="n"/>
    </row>
    <row r="192" ht="18" customHeight="1" s="149">
      <c r="A192" s="15" t="n">
        <v>189</v>
      </c>
      <c r="B192" s="9" t="inlineStr">
        <is>
          <t>2025-10-11</t>
        </is>
      </c>
      <c r="C192" s="9" t="inlineStr">
        <is>
          <t>Luna Juliao</t>
        </is>
      </c>
      <c r="D192" s="9" t="inlineStr">
        <is>
          <t>baño cachorro</t>
        </is>
      </c>
      <c r="E192" s="9" t="inlineStr">
        <is>
          <t>Grooming</t>
        </is>
      </c>
      <c r="F192" s="14" t="n">
        <v>630</v>
      </c>
      <c r="G192" s="9" t="inlineStr">
        <is>
          <t>transferencia (ban.popular)</t>
        </is>
      </c>
      <c r="H192" s="9" t="inlineStr">
        <is>
          <t>LAURA</t>
        </is>
      </c>
      <c r="I192" s="9" t="inlineStr">
        <is>
          <t>$300 colonia Lulu</t>
        </is>
      </c>
    </row>
    <row r="193" ht="18" customHeight="1" s="149">
      <c r="A193" s="19" t="n">
        <v>190</v>
      </c>
      <c r="B193" s="17" t="inlineStr">
        <is>
          <t>2025-10-11</t>
        </is>
      </c>
      <c r="C193" s="17" t="inlineStr">
        <is>
          <t>Zeus</t>
        </is>
      </c>
      <c r="D193" s="17" t="inlineStr">
        <is>
          <t>baño pequeño</t>
        </is>
      </c>
      <c r="E193" s="17" t="inlineStr">
        <is>
          <t>Grooming</t>
        </is>
      </c>
      <c r="F193" s="54" t="n">
        <v>800</v>
      </c>
      <c r="G193" s="17" t="inlineStr">
        <is>
          <t>efectivo</t>
        </is>
      </c>
      <c r="H193" s="17" t="inlineStr">
        <is>
          <t>LAURA</t>
        </is>
      </c>
      <c r="I193" s="17" t="n"/>
    </row>
    <row r="194" ht="18" customHeight="1" s="149">
      <c r="A194" s="15" t="n">
        <v>191</v>
      </c>
      <c r="B194" s="9" t="inlineStr">
        <is>
          <t>2025-10-08</t>
        </is>
      </c>
      <c r="C194" s="9" t="inlineStr">
        <is>
          <t>Ferxxi</t>
        </is>
      </c>
      <c r="D194" s="9" t="inlineStr">
        <is>
          <t>baño pequeño + desenrede</t>
        </is>
      </c>
      <c r="E194" s="9" t="inlineStr">
        <is>
          <t>Grooming</t>
        </is>
      </c>
      <c r="F194" s="14" t="n">
        <v>1169</v>
      </c>
      <c r="G194" s="9" t="inlineStr">
        <is>
          <t>transferencia (ban.popular)</t>
        </is>
      </c>
      <c r="H194" s="9" t="inlineStr">
        <is>
          <t>LAURA</t>
        </is>
      </c>
      <c r="I194" s="9" t="n"/>
    </row>
    <row r="195" ht="18" customHeight="1" s="149">
      <c r="A195" s="19" t="n">
        <v>192</v>
      </c>
      <c r="B195" s="17" t="inlineStr">
        <is>
          <t>2025-10-06</t>
        </is>
      </c>
      <c r="C195" s="17" t="inlineStr">
        <is>
          <t>Luna CHECO</t>
        </is>
      </c>
      <c r="D195" s="17" t="inlineStr">
        <is>
          <t>baño pequeño + corte completo</t>
        </is>
      </c>
      <c r="E195" s="17" t="inlineStr">
        <is>
          <t>Grooming</t>
        </is>
      </c>
      <c r="F195" s="54" t="n">
        <v>1392</v>
      </c>
      <c r="G195" s="17" t="inlineStr">
        <is>
          <t>efectivo</t>
        </is>
      </c>
      <c r="H195" s="17" t="inlineStr">
        <is>
          <t>LAURA</t>
        </is>
      </c>
      <c r="I195" s="17" t="n"/>
    </row>
    <row r="196" ht="18" customHeight="1" s="149">
      <c r="A196" s="15" t="n">
        <v>193</v>
      </c>
      <c r="B196" s="9" t="inlineStr">
        <is>
          <t>2025-10-05</t>
        </is>
      </c>
      <c r="C196" s="9" t="inlineStr">
        <is>
          <t>Shyguy</t>
        </is>
      </c>
      <c r="D196" s="9" t="inlineStr">
        <is>
          <t>baño pequeño + desenrede</t>
        </is>
      </c>
      <c r="E196" s="9" t="inlineStr">
        <is>
          <t>Grooming</t>
        </is>
      </c>
      <c r="F196" s="14" t="n">
        <v>1340</v>
      </c>
      <c r="G196" s="9" t="inlineStr">
        <is>
          <t>transferencia (ban.popular)</t>
        </is>
      </c>
      <c r="H196" s="9" t="inlineStr">
        <is>
          <t>LAURA</t>
        </is>
      </c>
      <c r="I196" s="9" t="n"/>
    </row>
    <row r="197" ht="18" customHeight="1" s="149">
      <c r="A197" s="19" t="n">
        <v>194</v>
      </c>
      <c r="B197" s="17" t="inlineStr">
        <is>
          <t>2025-10-05</t>
        </is>
      </c>
      <c r="C197" s="17" t="inlineStr">
        <is>
          <t>Susie</t>
        </is>
      </c>
      <c r="D197" s="17" t="inlineStr">
        <is>
          <t>baño pequeño</t>
        </is>
      </c>
      <c r="E197" s="17" t="inlineStr">
        <is>
          <t>Grooming</t>
        </is>
      </c>
      <c r="F197" s="54" t="n">
        <v>719</v>
      </c>
      <c r="G197" s="17" t="inlineStr">
        <is>
          <t>efectivo</t>
        </is>
      </c>
      <c r="H197" s="17" t="inlineStr">
        <is>
          <t>LAURA</t>
        </is>
      </c>
      <c r="I197" s="17" t="n"/>
    </row>
    <row r="198" ht="18" customHeight="1" s="149">
      <c r="A198" s="15" t="n">
        <v>195</v>
      </c>
      <c r="B198" s="9" t="inlineStr">
        <is>
          <t>2025-10-05</t>
        </is>
      </c>
      <c r="C198" s="9" t="inlineStr">
        <is>
          <t>MAX (Marcos)</t>
        </is>
      </c>
      <c r="D198" s="9" t="inlineStr">
        <is>
          <t>baño pequeño + corte higienico</t>
        </is>
      </c>
      <c r="E198" s="9" t="inlineStr">
        <is>
          <t>Grooming</t>
        </is>
      </c>
      <c r="F198" s="14" t="n">
        <v>1160</v>
      </c>
      <c r="G198" s="9" t="inlineStr">
        <is>
          <t>Transferencia (ban.reserv.)</t>
        </is>
      </c>
      <c r="H198" s="9" t="inlineStr">
        <is>
          <t>LAURA</t>
        </is>
      </c>
      <c r="I198" s="9" t="n"/>
    </row>
    <row r="199" ht="18" customHeight="1" s="149">
      <c r="A199" s="19" t="n">
        <v>196</v>
      </c>
      <c r="B199" s="17" t="inlineStr">
        <is>
          <t>2025-10-05</t>
        </is>
      </c>
      <c r="C199" s="17" t="inlineStr">
        <is>
          <t>Poki</t>
        </is>
      </c>
      <c r="D199" s="17" t="inlineStr">
        <is>
          <t>baño pequeño + corte higienico</t>
        </is>
      </c>
      <c r="E199" s="17" t="inlineStr">
        <is>
          <t>Grooming</t>
        </is>
      </c>
      <c r="F199" s="54" t="n">
        <v>1160</v>
      </c>
      <c r="G199" s="17" t="inlineStr">
        <is>
          <t>transferencia (ban.popular)</t>
        </is>
      </c>
      <c r="H199" s="17" t="inlineStr">
        <is>
          <t>LAURA</t>
        </is>
      </c>
      <c r="I199" s="17" t="n"/>
    </row>
    <row r="200" ht="18" customHeight="1" s="149">
      <c r="A200" s="15" t="n">
        <v>197</v>
      </c>
      <c r="B200" s="9" t="inlineStr">
        <is>
          <t>2025-10-05</t>
        </is>
      </c>
      <c r="C200" s="9" t="inlineStr">
        <is>
          <t>Honey TAVERAZ</t>
        </is>
      </c>
      <c r="D200" s="9" t="inlineStr">
        <is>
          <t>baño pequeño</t>
        </is>
      </c>
      <c r="E200" s="9" t="inlineStr">
        <is>
          <t>Grooming</t>
        </is>
      </c>
      <c r="F200" s="14" t="n">
        <v>716</v>
      </c>
      <c r="G200" s="9" t="inlineStr">
        <is>
          <t>transferencia (ban.popular)</t>
        </is>
      </c>
      <c r="H200" s="9" t="inlineStr">
        <is>
          <t>LAURA</t>
        </is>
      </c>
      <c r="I200" s="9" t="n"/>
    </row>
    <row r="201" ht="18" customHeight="1" s="149">
      <c r="A201" s="19" t="n">
        <v>198</v>
      </c>
      <c r="B201" s="17" t="inlineStr">
        <is>
          <t>2025-10-05</t>
        </is>
      </c>
      <c r="C201" s="17" t="inlineStr">
        <is>
          <t>Kaki TAVERAS</t>
        </is>
      </c>
      <c r="D201" s="17" t="inlineStr">
        <is>
          <t>baño pequeño</t>
        </is>
      </c>
      <c r="E201" s="17" t="inlineStr">
        <is>
          <t>Grooming</t>
        </is>
      </c>
      <c r="F201" s="54" t="n">
        <v>716</v>
      </c>
      <c r="G201" s="17" t="inlineStr">
        <is>
          <t>transferencia (ban.popular)</t>
        </is>
      </c>
      <c r="H201" s="17" t="inlineStr">
        <is>
          <t>LAURA</t>
        </is>
      </c>
      <c r="I201" s="17" t="n"/>
    </row>
    <row r="202" ht="18" customHeight="1" s="149">
      <c r="A202" s="15" t="n">
        <v>199</v>
      </c>
      <c r="B202" s="9" t="inlineStr">
        <is>
          <t>2025-10-05</t>
        </is>
      </c>
      <c r="C202" s="9" t="inlineStr">
        <is>
          <t>Teddy</t>
        </is>
      </c>
      <c r="D202" s="9" t="inlineStr">
        <is>
          <t>baño cachorro + corte higienico</t>
        </is>
      </c>
      <c r="E202" s="9" t="inlineStr">
        <is>
          <t>Grooming</t>
        </is>
      </c>
      <c r="F202" s="14" t="n">
        <v>1070</v>
      </c>
      <c r="G202" s="9" t="inlineStr">
        <is>
          <t>transferencia (ban.popular)</t>
        </is>
      </c>
      <c r="H202" s="9" t="inlineStr">
        <is>
          <t>LAURA</t>
        </is>
      </c>
      <c r="I202" s="9" t="n"/>
    </row>
    <row r="203" ht="18" customHeight="1" s="149">
      <c r="A203" s="19" t="n">
        <v>200</v>
      </c>
      <c r="B203" s="17" t="inlineStr">
        <is>
          <t>2025-10-04</t>
        </is>
      </c>
      <c r="C203" s="17" t="inlineStr">
        <is>
          <t>Zoé</t>
        </is>
      </c>
      <c r="D203" s="17" t="inlineStr">
        <is>
          <t>baño pequeño + corte higienico</t>
        </is>
      </c>
      <c r="E203" s="17" t="inlineStr">
        <is>
          <t>Grooming</t>
        </is>
      </c>
      <c r="F203" s="54" t="n">
        <v>1160</v>
      </c>
      <c r="G203" s="17" t="inlineStr">
        <is>
          <t>efectivo</t>
        </is>
      </c>
      <c r="H203" s="17" t="inlineStr">
        <is>
          <t>LAURA</t>
        </is>
      </c>
      <c r="I203" s="17" t="n"/>
    </row>
    <row r="204" ht="18" customHeight="1" s="149">
      <c r="A204" s="15" t="n">
        <v>201</v>
      </c>
      <c r="B204" s="9" t="inlineStr">
        <is>
          <t>2025-10-02</t>
        </is>
      </c>
      <c r="C204" s="9" t="inlineStr">
        <is>
          <t>Bella VARGAS</t>
        </is>
      </c>
      <c r="D204" s="9" t="inlineStr">
        <is>
          <t>baño pequeño + corte completo</t>
        </is>
      </c>
      <c r="E204" s="9" t="inlineStr">
        <is>
          <t>Grooming</t>
        </is>
      </c>
      <c r="F204" s="14" t="n">
        <v>1393</v>
      </c>
      <c r="G204" s="9" t="inlineStr">
        <is>
          <t>efectivo</t>
        </is>
      </c>
      <c r="H204" s="9" t="inlineStr">
        <is>
          <t>LAURA</t>
        </is>
      </c>
      <c r="I204" s="9" t="n"/>
    </row>
    <row r="205" ht="18" customHeight="1" s="149">
      <c r="A205" s="19" t="n">
        <v>202</v>
      </c>
      <c r="B205" s="17" t="inlineStr">
        <is>
          <t>2025-10-01</t>
        </is>
      </c>
      <c r="C205" s="17" t="inlineStr">
        <is>
          <t>MEL</t>
        </is>
      </c>
      <c r="D205" s="17" t="inlineStr">
        <is>
          <t>Baño pequeño + desenrede</t>
        </is>
      </c>
      <c r="E205" s="17" t="inlineStr">
        <is>
          <t>Grooming</t>
        </is>
      </c>
      <c r="F205" s="54" t="n">
        <v>1490</v>
      </c>
      <c r="G205" s="17" t="inlineStr">
        <is>
          <t>transferencia (ban.popular)</t>
        </is>
      </c>
      <c r="H205" s="17" t="inlineStr">
        <is>
          <t>LAURA</t>
        </is>
      </c>
      <c r="I205" s="17" t="n"/>
    </row>
    <row r="206" ht="18" customHeight="1" s="149">
      <c r="A206" s="15" t="n">
        <v>203</v>
      </c>
      <c r="B206" s="9" t="inlineStr">
        <is>
          <t>2025-09-30</t>
        </is>
      </c>
      <c r="C206" s="9" t="inlineStr">
        <is>
          <t>Shih Tzu Massiel Ramirez</t>
        </is>
      </c>
      <c r="D206" s="9" t="inlineStr">
        <is>
          <t>baño pequeño + corte completo</t>
        </is>
      </c>
      <c r="E206" s="9" t="inlineStr">
        <is>
          <t>Grooming</t>
        </is>
      </c>
      <c r="F206" s="14" t="n">
        <v>1393</v>
      </c>
      <c r="G206" s="9" t="inlineStr">
        <is>
          <t>transferencia (ban.popular)</t>
        </is>
      </c>
      <c r="H206" s="9" t="inlineStr">
        <is>
          <t>LAURA</t>
        </is>
      </c>
      <c r="I206" s="9" t="inlineStr">
        <is>
          <t>Se aplicó 10% de descuento</t>
        </is>
      </c>
    </row>
    <row r="207" ht="18" customHeight="1" s="149">
      <c r="A207" s="19" t="n">
        <v>204</v>
      </c>
      <c r="B207" s="17" t="inlineStr">
        <is>
          <t>2025-09-30</t>
        </is>
      </c>
      <c r="C207" s="17" t="inlineStr">
        <is>
          <t>Benji  DIAZ</t>
        </is>
      </c>
      <c r="D207" s="17" t="inlineStr">
        <is>
          <t>baño mediano</t>
        </is>
      </c>
      <c r="E207" s="17" t="inlineStr">
        <is>
          <t>Grooming</t>
        </is>
      </c>
      <c r="F207" s="54" t="n">
        <v>900</v>
      </c>
      <c r="G207" s="17" t="inlineStr">
        <is>
          <t>Transferencia (ban.reserv.)</t>
        </is>
      </c>
      <c r="H207" s="17" t="inlineStr">
        <is>
          <t>LAURA</t>
        </is>
      </c>
      <c r="I207" s="17" t="inlineStr">
        <is>
          <t>Se aplicó 10% de descuento</t>
        </is>
      </c>
    </row>
    <row r="208" ht="18" customHeight="1" s="149">
      <c r="A208" s="15" t="n">
        <v>205</v>
      </c>
      <c r="B208" s="9" t="inlineStr">
        <is>
          <t>2025-09-29</t>
        </is>
      </c>
      <c r="C208" s="9" t="inlineStr">
        <is>
          <t>Minie</t>
        </is>
      </c>
      <c r="D208" s="9" t="inlineStr">
        <is>
          <t>baño pequeño + corte higienico</t>
        </is>
      </c>
      <c r="E208" s="9" t="inlineStr">
        <is>
          <t>Grooming</t>
        </is>
      </c>
      <c r="F208" s="14" t="n">
        <v>1160</v>
      </c>
      <c r="G208" s="9" t="inlineStr">
        <is>
          <t>efectivo</t>
        </is>
      </c>
      <c r="H208" s="9" t="inlineStr">
        <is>
          <t>LAURA</t>
        </is>
      </c>
      <c r="I208" s="9" t="inlineStr">
        <is>
          <t>Se aplicó 10% de descuento por 1ra vez</t>
        </is>
      </c>
    </row>
    <row r="209" ht="18" customHeight="1" s="149">
      <c r="A209" s="19" t="n">
        <v>206</v>
      </c>
      <c r="B209" s="17" t="inlineStr">
        <is>
          <t>2025-09-27</t>
        </is>
      </c>
      <c r="C209" s="17" t="inlineStr">
        <is>
          <t>Nick Ortiz</t>
        </is>
      </c>
      <c r="D209" s="17" t="inlineStr">
        <is>
          <t>baño mediano + corte higienico</t>
        </is>
      </c>
      <c r="E209" s="17" t="inlineStr">
        <is>
          <t>Grooming</t>
        </is>
      </c>
      <c r="F209" s="54" t="n">
        <v>1160</v>
      </c>
      <c r="G209" s="17" t="inlineStr">
        <is>
          <t>transferencia (ban.popular)</t>
        </is>
      </c>
      <c r="H209" s="17" t="inlineStr">
        <is>
          <t>LAURA</t>
        </is>
      </c>
      <c r="I209" s="17" t="inlineStr">
        <is>
          <t>Se aplicó 10% de descuento por 1ra vez</t>
        </is>
      </c>
    </row>
    <row r="210" ht="18" customHeight="1" s="149">
      <c r="A210" s="15" t="n">
        <v>207</v>
      </c>
      <c r="B210" s="9" t="inlineStr">
        <is>
          <t>2025-09-25</t>
        </is>
      </c>
      <c r="C210" s="9" t="inlineStr">
        <is>
          <t>Princesa Vargas</t>
        </is>
      </c>
      <c r="D210" s="9" t="inlineStr">
        <is>
          <t>baño pequeño</t>
        </is>
      </c>
      <c r="E210" s="9" t="inlineStr">
        <is>
          <t>Grooming</t>
        </is>
      </c>
      <c r="F210" s="14" t="n">
        <v>719</v>
      </c>
      <c r="G210" s="9" t="inlineStr">
        <is>
          <t>efectivo</t>
        </is>
      </c>
      <c r="H210" s="9" t="inlineStr">
        <is>
          <t>LAURA</t>
        </is>
      </c>
      <c r="I210" s="9" t="inlineStr">
        <is>
          <t>Se aplicó 10% de descuento por 1ra vez</t>
        </is>
      </c>
    </row>
    <row r="211" ht="18" customHeight="1" s="149">
      <c r="A211" s="19" t="n">
        <v>208</v>
      </c>
      <c r="B211" s="17" t="inlineStr">
        <is>
          <t>2025-09-25</t>
        </is>
      </c>
      <c r="C211" s="17" t="inlineStr">
        <is>
          <t>Bella Vargas</t>
        </is>
      </c>
      <c r="D211" s="17" t="inlineStr">
        <is>
          <t>baño pequeño + corte completo</t>
        </is>
      </c>
      <c r="E211" s="17" t="inlineStr">
        <is>
          <t>Grooming</t>
        </is>
      </c>
      <c r="F211" s="54" t="n">
        <v>1393</v>
      </c>
      <c r="G211" s="17" t="inlineStr">
        <is>
          <t>efectivo</t>
        </is>
      </c>
      <c r="H211" s="17" t="inlineStr">
        <is>
          <t>LAURA</t>
        </is>
      </c>
      <c r="I211" s="17" t="inlineStr">
        <is>
          <t>Se aplicó 10% de descuento por 1ra vez</t>
        </is>
      </c>
    </row>
    <row r="212" ht="18" customHeight="1" s="149">
      <c r="A212" s="15" t="n">
        <v>209</v>
      </c>
      <c r="B212" s="9" t="inlineStr">
        <is>
          <t>2025-09-23</t>
        </is>
      </c>
      <c r="C212" s="9" t="inlineStr">
        <is>
          <t>Mia PON SANCHEZ</t>
        </is>
      </c>
      <c r="D212" s="9" t="inlineStr">
        <is>
          <t>baño pequeño + corte completo</t>
        </is>
      </c>
      <c r="E212" s="9" t="inlineStr">
        <is>
          <t>Grooming</t>
        </is>
      </c>
      <c r="F212" s="14" t="n">
        <v>1393</v>
      </c>
      <c r="G212" s="9" t="inlineStr">
        <is>
          <t>Transferencia (ban.reserv.)</t>
        </is>
      </c>
      <c r="H212" s="9" t="inlineStr">
        <is>
          <t>LAURA</t>
        </is>
      </c>
      <c r="I212" s="9" t="inlineStr">
        <is>
          <t>Se aplicó 10% de descuento por 1ra vez</t>
        </is>
      </c>
    </row>
    <row r="213" ht="18" customHeight="1" s="149">
      <c r="A213" s="19" t="n">
        <v>210</v>
      </c>
      <c r="B213" s="17" t="inlineStr">
        <is>
          <t>2025-09-22</t>
        </is>
      </c>
      <c r="C213" s="17" t="inlineStr">
        <is>
          <t>Luna Juliao</t>
        </is>
      </c>
      <c r="D213" s="17" t="inlineStr">
        <is>
          <t>baño cachorro + corte higienico</t>
        </is>
      </c>
      <c r="E213" s="17" t="inlineStr">
        <is>
          <t>Grooming</t>
        </is>
      </c>
      <c r="F213" s="54" t="n">
        <v>1000</v>
      </c>
      <c r="G213" s="17" t="inlineStr">
        <is>
          <t>transferencia (ban.popular)</t>
        </is>
      </c>
      <c r="H213" s="17" t="inlineStr">
        <is>
          <t>LAURA</t>
        </is>
      </c>
      <c r="I213" s="17" t="inlineStr">
        <is>
          <t>Se aplicó 10% de descuento por 1ra vez</t>
        </is>
      </c>
    </row>
    <row r="214" ht="18" customHeight="1" s="149">
      <c r="A214" s="15" t="n">
        <v>211</v>
      </c>
      <c r="B214" s="9" t="inlineStr">
        <is>
          <t>2025-09-21</t>
        </is>
      </c>
      <c r="C214" s="9" t="inlineStr">
        <is>
          <t>Max (Marcos)</t>
        </is>
      </c>
      <c r="D214" s="9" t="inlineStr">
        <is>
          <t>baño pequeño + corte higienico</t>
        </is>
      </c>
      <c r="E214" s="9" t="inlineStr">
        <is>
          <t>Grooming</t>
        </is>
      </c>
      <c r="F214" s="14" t="n">
        <v>1160</v>
      </c>
      <c r="G214" s="9" t="inlineStr">
        <is>
          <t>Transferencia (ban.reserv.)</t>
        </is>
      </c>
      <c r="H214" s="9" t="inlineStr">
        <is>
          <t>LAURA</t>
        </is>
      </c>
      <c r="I214" s="9" t="inlineStr">
        <is>
          <t>Se aplicó 10% de descuento por 1ra vez</t>
        </is>
      </c>
    </row>
    <row r="215" ht="18" customHeight="1" s="149">
      <c r="A215" s="19" t="n">
        <v>212</v>
      </c>
      <c r="B215" s="17" t="inlineStr">
        <is>
          <t>2025-09-20</t>
        </is>
      </c>
      <c r="C215" s="17" t="inlineStr">
        <is>
          <t>Lia Garcia</t>
        </is>
      </c>
      <c r="D215" s="17" t="inlineStr">
        <is>
          <t>baño grande</t>
        </is>
      </c>
      <c r="E215" s="17" t="inlineStr">
        <is>
          <t>Grooming</t>
        </is>
      </c>
      <c r="F215" s="54" t="n">
        <v>1000</v>
      </c>
      <c r="G215" s="17" t="inlineStr">
        <is>
          <t>Transferencia (ban.reserv.)</t>
        </is>
      </c>
      <c r="H215" s="17" t="inlineStr">
        <is>
          <t>LAURA</t>
        </is>
      </c>
      <c r="I215" s="17" t="n"/>
    </row>
    <row r="216" ht="18" customHeight="1" s="149">
      <c r="A216" s="15" t="n">
        <v>213</v>
      </c>
      <c r="B216" s="9" t="inlineStr">
        <is>
          <t>2025-09-18</t>
        </is>
      </c>
      <c r="C216" s="9" t="inlineStr">
        <is>
          <t>Gari 600</t>
        </is>
      </c>
      <c r="D216" s="9" t="inlineStr">
        <is>
          <t>baño pequeño</t>
        </is>
      </c>
      <c r="E216" s="9" t="inlineStr">
        <is>
          <t>Grooming</t>
        </is>
      </c>
      <c r="F216" s="14" t="n">
        <v>800</v>
      </c>
      <c r="G216" s="9" t="inlineStr">
        <is>
          <t>efectivo</t>
        </is>
      </c>
      <c r="H216" s="9" t="inlineStr">
        <is>
          <t>LAURA</t>
        </is>
      </c>
      <c r="I216" s="9" t="n"/>
    </row>
    <row r="217" ht="18" customHeight="1" s="149">
      <c r="A217" s="19" t="n">
        <v>214</v>
      </c>
      <c r="B217" s="17" t="inlineStr">
        <is>
          <t>2025-09-18</t>
        </is>
      </c>
      <c r="C217" s="17" t="inlineStr">
        <is>
          <t>Guccy</t>
        </is>
      </c>
      <c r="D217" s="17" t="inlineStr">
        <is>
          <t>baño pequeño + corte higienico</t>
        </is>
      </c>
      <c r="E217" s="17" t="inlineStr">
        <is>
          <t>Grooming</t>
        </is>
      </c>
      <c r="F217" s="54" t="n">
        <v>1160</v>
      </c>
      <c r="G217" s="17" t="inlineStr">
        <is>
          <t>efectivo</t>
        </is>
      </c>
      <c r="H217" s="17" t="inlineStr">
        <is>
          <t>LAURA</t>
        </is>
      </c>
      <c r="I217" s="17" t="n"/>
    </row>
    <row r="218" ht="18" customHeight="1" s="149">
      <c r="A218" s="15" t="n">
        <v>215</v>
      </c>
      <c r="B218" s="9" t="inlineStr">
        <is>
          <t>2025-09-16</t>
        </is>
      </c>
      <c r="C218" s="9" t="inlineStr">
        <is>
          <t>Chiquito</t>
        </is>
      </c>
      <c r="D218" s="9" t="inlineStr">
        <is>
          <t>baño pequeño + corte completo</t>
        </is>
      </c>
      <c r="E218" s="9" t="inlineStr">
        <is>
          <t>Grooming</t>
        </is>
      </c>
      <c r="F218" s="14" t="n">
        <v>1393</v>
      </c>
      <c r="G218" s="9" t="inlineStr">
        <is>
          <t>efectivo</t>
        </is>
      </c>
      <c r="H218" s="9" t="inlineStr">
        <is>
          <t>LAURA</t>
        </is>
      </c>
      <c r="I218" s="9" t="n"/>
    </row>
    <row r="219" ht="18" customHeight="1" s="149">
      <c r="A219" s="19" t="n">
        <v>216</v>
      </c>
      <c r="B219" s="17" t="inlineStr">
        <is>
          <t>2025-09-16</t>
        </is>
      </c>
      <c r="C219" s="17" t="inlineStr">
        <is>
          <t>Ruthi Severino</t>
        </is>
      </c>
      <c r="D219" s="17" t="inlineStr">
        <is>
          <t>baño pequeño</t>
        </is>
      </c>
      <c r="E219" s="17" t="inlineStr">
        <is>
          <t>Grooming</t>
        </is>
      </c>
      <c r="F219" s="54" t="n">
        <v>800</v>
      </c>
      <c r="G219" s="17" t="inlineStr">
        <is>
          <t>efectivo</t>
        </is>
      </c>
      <c r="H219" s="17" t="inlineStr">
        <is>
          <t>LAURA</t>
        </is>
      </c>
      <c r="I219" s="17" t="n"/>
    </row>
    <row r="220" ht="18" customHeight="1" s="149">
      <c r="A220" s="15" t="n">
        <v>217</v>
      </c>
      <c r="B220" s="9" t="inlineStr">
        <is>
          <t>2025-09-14</t>
        </is>
      </c>
      <c r="C220" s="9" t="inlineStr">
        <is>
          <t>Honey TAVERAS</t>
        </is>
      </c>
      <c r="D220" s="9" t="inlineStr">
        <is>
          <t>baño pequeño</t>
        </is>
      </c>
      <c r="E220" s="9" t="inlineStr">
        <is>
          <t>Grooming</t>
        </is>
      </c>
      <c r="F220" s="14" t="n">
        <v>719</v>
      </c>
      <c r="G220" s="9" t="inlineStr">
        <is>
          <t>efectivo</t>
        </is>
      </c>
      <c r="H220" s="9" t="inlineStr">
        <is>
          <t>LAURA</t>
        </is>
      </c>
      <c r="I220" s="9" t="n"/>
    </row>
    <row r="221" ht="18" customHeight="1" s="149">
      <c r="A221" s="19" t="n">
        <v>218</v>
      </c>
      <c r="B221" s="17" t="inlineStr">
        <is>
          <t>2025-09-14</t>
        </is>
      </c>
      <c r="C221" s="17" t="inlineStr">
        <is>
          <t>Kaki TAVERAS</t>
        </is>
      </c>
      <c r="D221" s="17" t="inlineStr">
        <is>
          <t>baño pequeño</t>
        </is>
      </c>
      <c r="E221" s="17" t="inlineStr">
        <is>
          <t>Grooming</t>
        </is>
      </c>
      <c r="F221" s="54" t="n">
        <v>719</v>
      </c>
      <c r="G221" s="17" t="inlineStr">
        <is>
          <t>efectivo</t>
        </is>
      </c>
      <c r="H221" s="17" t="inlineStr">
        <is>
          <t>LAURA</t>
        </is>
      </c>
      <c r="I221" s="17" t="n"/>
    </row>
    <row r="222" ht="18" customHeight="1" s="149">
      <c r="A222" s="15" t="n">
        <v>219</v>
      </c>
      <c r="B222" s="9" t="inlineStr">
        <is>
          <t>2025-09-14</t>
        </is>
      </c>
      <c r="C222" s="9" t="inlineStr">
        <is>
          <t>Luna JULIAO</t>
        </is>
      </c>
      <c r="D222" s="9" t="inlineStr">
        <is>
          <t>baño pequeño + corte completo</t>
        </is>
      </c>
      <c r="E222" s="9" t="inlineStr">
        <is>
          <t>Grooming</t>
        </is>
      </c>
      <c r="F222" s="14" t="n">
        <v>1793</v>
      </c>
      <c r="G222" s="9" t="inlineStr">
        <is>
          <t>transferencia (ban.popular)</t>
        </is>
      </c>
      <c r="H222" s="9" t="inlineStr">
        <is>
          <t>LAURA</t>
        </is>
      </c>
      <c r="I222" s="9" t="inlineStr">
        <is>
          <t>Se aplicó 10% de descuento por 1ra vez</t>
        </is>
      </c>
    </row>
    <row r="223" ht="18" customHeight="1" s="149">
      <c r="A223" s="19" t="n">
        <v>220</v>
      </c>
      <c r="B223" s="17" t="inlineStr">
        <is>
          <t>2025-09-13</t>
        </is>
      </c>
      <c r="C223" s="17" t="inlineStr">
        <is>
          <t>Luna Checo</t>
        </is>
      </c>
      <c r="D223" s="17" t="inlineStr">
        <is>
          <t>baño pequeño + corte completo + collar</t>
        </is>
      </c>
      <c r="E223" s="17" t="inlineStr">
        <is>
          <t>Grooming</t>
        </is>
      </c>
      <c r="F223" s="54" t="n">
        <v>1528</v>
      </c>
      <c r="G223" s="17" t="n"/>
      <c r="H223" s="17" t="inlineStr">
        <is>
          <t>LAURA</t>
        </is>
      </c>
      <c r="I223" s="17" t="inlineStr">
        <is>
          <t>Se aplicó 10% de descuento por 1ra vez</t>
        </is>
      </c>
    </row>
    <row r="224" ht="18" customHeight="1" s="149">
      <c r="A224" s="15" t="n">
        <v>221</v>
      </c>
      <c r="B224" s="9" t="inlineStr">
        <is>
          <t>2025-09-13</t>
        </is>
      </c>
      <c r="C224" s="9" t="inlineStr">
        <is>
          <t>Max Marcano</t>
        </is>
      </c>
      <c r="D224" s="9" t="inlineStr">
        <is>
          <t>baño cachorro + corte completo + desenrede</t>
        </is>
      </c>
      <c r="E224" s="9" t="inlineStr">
        <is>
          <t>Grooming</t>
        </is>
      </c>
      <c r="F224" s="14" t="n">
        <v>1835.1</v>
      </c>
      <c r="G224" s="9" t="inlineStr">
        <is>
          <t>efectivo</t>
        </is>
      </c>
      <c r="H224" s="9" t="inlineStr">
        <is>
          <t>LAURA</t>
        </is>
      </c>
      <c r="I224" s="9" t="inlineStr">
        <is>
          <t>Se aplicó 10% de descuento por 1ra vez</t>
        </is>
      </c>
    </row>
    <row r="225" ht="18" customHeight="1" s="149">
      <c r="A225" s="19" t="n">
        <v>222</v>
      </c>
      <c r="B225" s="17" t="inlineStr">
        <is>
          <t>2025-09-10</t>
        </is>
      </c>
      <c r="C225" s="17" t="inlineStr">
        <is>
          <t>Estrella CUSTODIO</t>
        </is>
      </c>
      <c r="D225" s="17" t="inlineStr">
        <is>
          <t>baño pequeño + corte completo</t>
        </is>
      </c>
      <c r="E225" s="17" t="inlineStr">
        <is>
          <t>Grooming</t>
        </is>
      </c>
      <c r="F225" s="54" t="n">
        <v>1393</v>
      </c>
      <c r="G225" s="17" t="inlineStr">
        <is>
          <t>efectivo</t>
        </is>
      </c>
      <c r="H225" s="17" t="inlineStr">
        <is>
          <t>LAURA</t>
        </is>
      </c>
      <c r="I225" s="17" t="inlineStr">
        <is>
          <t>Se aplicó 10% de descuento por 1ra vez</t>
        </is>
      </c>
    </row>
    <row r="226" ht="18" customHeight="1" s="149">
      <c r="A226" s="15" t="n">
        <v>223</v>
      </c>
      <c r="B226" s="9" t="inlineStr">
        <is>
          <t>2025-09-09</t>
        </is>
      </c>
      <c r="C226" s="9" t="inlineStr">
        <is>
          <t>Maicol</t>
        </is>
      </c>
      <c r="D226" s="9" t="inlineStr">
        <is>
          <t>baño pequeño + corte higienico</t>
        </is>
      </c>
      <c r="E226" s="9" t="inlineStr">
        <is>
          <t>Grooming</t>
        </is>
      </c>
      <c r="F226" s="14" t="n">
        <v>1160</v>
      </c>
      <c r="G226" s="9" t="inlineStr">
        <is>
          <t>transferencia (ban.popular)</t>
        </is>
      </c>
      <c r="H226" s="9" t="inlineStr">
        <is>
          <t>LAURA</t>
        </is>
      </c>
      <c r="I226" s="9" t="inlineStr">
        <is>
          <t>Se aplicó 10% de descuento por 1ra vez</t>
        </is>
      </c>
    </row>
    <row r="227" ht="18" customHeight="1" s="149">
      <c r="A227" s="19" t="n">
        <v>224</v>
      </c>
      <c r="B227" s="17" t="inlineStr">
        <is>
          <t>2025-09-08</t>
        </is>
      </c>
      <c r="C227" s="17" t="inlineStr">
        <is>
          <t>Andrws</t>
        </is>
      </c>
      <c r="D227" s="17" t="inlineStr">
        <is>
          <t>baño grande + corte completo</t>
        </is>
      </c>
      <c r="E227" s="17" t="inlineStr">
        <is>
          <t>Grooming</t>
        </is>
      </c>
      <c r="F227" s="54" t="n">
        <v>1700</v>
      </c>
      <c r="G227" s="17" t="inlineStr">
        <is>
          <t>efectivo</t>
        </is>
      </c>
      <c r="H227" s="17" t="inlineStr">
        <is>
          <t>LAURA</t>
        </is>
      </c>
      <c r="I227" s="17" t="inlineStr">
        <is>
          <t>Monto a pagar $1670 porque se le aplicó 200 pesos de descuento. Dejó $30 de regalo.</t>
        </is>
      </c>
    </row>
    <row r="228" ht="18" customHeight="1" s="149">
      <c r="A228" s="15" t="n">
        <v>225</v>
      </c>
      <c r="B228" s="9" t="inlineStr">
        <is>
          <t>2025-09-06</t>
        </is>
      </c>
      <c r="C228" s="9" t="inlineStr">
        <is>
          <t>Jerry</t>
        </is>
      </c>
      <c r="D228" s="9" t="inlineStr">
        <is>
          <t>baño pequeño + corte completo</t>
        </is>
      </c>
      <c r="E228" s="9" t="inlineStr">
        <is>
          <t>Grooming</t>
        </is>
      </c>
      <c r="F228" s="14" t="n">
        <v>1393</v>
      </c>
      <c r="G228" s="9" t="inlineStr">
        <is>
          <t>transferencia (ban.popular)</t>
        </is>
      </c>
      <c r="H228" s="9" t="inlineStr">
        <is>
          <t>LAURA</t>
        </is>
      </c>
      <c r="I228" s="9" t="inlineStr">
        <is>
          <t>Se aplicó 10% de descuento por 1ra vez</t>
        </is>
      </c>
    </row>
    <row r="229" ht="18" customHeight="1" s="149">
      <c r="A229" s="19" t="n">
        <v>226</v>
      </c>
      <c r="B229" s="17" t="inlineStr">
        <is>
          <t>2025-09-05</t>
        </is>
      </c>
      <c r="C229" s="17" t="inlineStr">
        <is>
          <t>Max (Marcos)</t>
        </is>
      </c>
      <c r="D229" s="17" t="inlineStr">
        <is>
          <t>baño pequeño</t>
        </is>
      </c>
      <c r="E229" s="17" t="inlineStr">
        <is>
          <t>Grooming</t>
        </is>
      </c>
      <c r="F229" s="54" t="n">
        <v>700</v>
      </c>
      <c r="G229" s="17" t="inlineStr">
        <is>
          <t>Transferencia (ban.reserv.)</t>
        </is>
      </c>
      <c r="H229" s="17" t="inlineStr">
        <is>
          <t>LAURA</t>
        </is>
      </c>
      <c r="I229" s="17" t="inlineStr">
        <is>
          <t>Se aplicó 10% de descuento por 1ra vez</t>
        </is>
      </c>
    </row>
    <row r="230" ht="18" customHeight="1" s="149">
      <c r="A230" s="15" t="n">
        <v>227</v>
      </c>
      <c r="B230" s="9" t="inlineStr">
        <is>
          <t>2025-09-05</t>
        </is>
      </c>
      <c r="C230" s="9" t="inlineStr">
        <is>
          <t>Mia Pon</t>
        </is>
      </c>
      <c r="D230" s="9" t="inlineStr">
        <is>
          <t>baño pequeño + corte completo</t>
        </is>
      </c>
      <c r="E230" s="9" t="inlineStr">
        <is>
          <t>Grooming</t>
        </is>
      </c>
      <c r="F230" s="14" t="n">
        <v>1393</v>
      </c>
      <c r="G230" s="9" t="inlineStr">
        <is>
          <t>Transferencia (ban.reserv.)</t>
        </is>
      </c>
      <c r="H230" s="9" t="inlineStr">
        <is>
          <t>LAURA</t>
        </is>
      </c>
      <c r="I230" s="9" t="inlineStr">
        <is>
          <t>Se aplicó 10% de descuento por 1ra vez</t>
        </is>
      </c>
    </row>
    <row r="231" ht="18" customHeight="1" s="149">
      <c r="A231" s="19" t="n">
        <v>228</v>
      </c>
      <c r="B231" s="17" t="inlineStr">
        <is>
          <t>2025-09-05</t>
        </is>
      </c>
      <c r="C231" s="17" t="inlineStr">
        <is>
          <t>Copito PEREZ</t>
        </is>
      </c>
      <c r="D231" s="17" t="inlineStr">
        <is>
          <t>baño pequeño + corte completo</t>
        </is>
      </c>
      <c r="E231" s="17" t="inlineStr">
        <is>
          <t>Grooming</t>
        </is>
      </c>
      <c r="F231" s="54" t="n">
        <v>1393</v>
      </c>
      <c r="G231" s="17" t="inlineStr">
        <is>
          <t>transferencia (ban.popular)</t>
        </is>
      </c>
      <c r="H231" s="17" t="inlineStr">
        <is>
          <t>LAURA</t>
        </is>
      </c>
      <c r="I231" s="17" t="inlineStr">
        <is>
          <t>Se aplicó 10% de descuento por 1ra vez</t>
        </is>
      </c>
    </row>
    <row r="232" ht="18" customHeight="1" s="149">
      <c r="A232" s="15" t="n">
        <v>229</v>
      </c>
      <c r="B232" s="9" t="inlineStr">
        <is>
          <t>2025-09-04</t>
        </is>
      </c>
      <c r="C232" s="9" t="inlineStr">
        <is>
          <t>Pinot</t>
        </is>
      </c>
      <c r="D232" s="9" t="inlineStr">
        <is>
          <t>baño pequeño</t>
        </is>
      </c>
      <c r="E232" s="9" t="inlineStr">
        <is>
          <t>Grooming</t>
        </is>
      </c>
      <c r="F232" s="14" t="n">
        <v>799</v>
      </c>
      <c r="G232" s="9" t="inlineStr">
        <is>
          <t>transferencia (ban.popular)</t>
        </is>
      </c>
      <c r="H232" s="9" t="inlineStr">
        <is>
          <t>LAURA</t>
        </is>
      </c>
      <c r="I232" s="9" t="n"/>
    </row>
    <row r="233" ht="18" customHeight="1" s="149">
      <c r="A233" s="19" t="n">
        <v>230</v>
      </c>
      <c r="B233" s="17" t="inlineStr">
        <is>
          <t>2025-09-03</t>
        </is>
      </c>
      <c r="C233" s="17" t="inlineStr">
        <is>
          <t>Lili</t>
        </is>
      </c>
      <c r="D233" s="17" t="inlineStr">
        <is>
          <t>baño pequeño + corte completo</t>
        </is>
      </c>
      <c r="E233" s="17" t="inlineStr">
        <is>
          <t>Grooming</t>
        </is>
      </c>
      <c r="F233" s="54" t="n">
        <v>1548</v>
      </c>
      <c r="G233" s="17" t="inlineStr">
        <is>
          <t>Transferencia (ban.reserv.)</t>
        </is>
      </c>
      <c r="H233" s="17" t="inlineStr">
        <is>
          <t>LAURA</t>
        </is>
      </c>
      <c r="I233" s="17" t="n"/>
    </row>
    <row r="234" ht="18" customHeight="1" s="149">
      <c r="A234" s="15" t="n">
        <v>231</v>
      </c>
      <c r="B234" s="9" t="inlineStr">
        <is>
          <t>2025-09-02</t>
        </is>
      </c>
      <c r="C234" s="9" t="inlineStr">
        <is>
          <t>Mel</t>
        </is>
      </c>
      <c r="D234" s="9" t="inlineStr">
        <is>
          <t>baño pequeño</t>
        </is>
      </c>
      <c r="E234" s="9" t="inlineStr">
        <is>
          <t>Grooming</t>
        </is>
      </c>
      <c r="F234" s="14" t="n">
        <v>799</v>
      </c>
      <c r="G234" s="9" t="inlineStr">
        <is>
          <t>transferencia (ban.popular)</t>
        </is>
      </c>
      <c r="H234" s="9" t="inlineStr">
        <is>
          <t>LAURA</t>
        </is>
      </c>
      <c r="I234" s="9" t="inlineStr">
        <is>
          <t>Compro colonia Lulu $437</t>
        </is>
      </c>
    </row>
    <row r="235" ht="18" customHeight="1" s="149">
      <c r="A235" s="19" t="n">
        <v>232</v>
      </c>
      <c r="B235" s="17" t="inlineStr">
        <is>
          <t>2025-09-01</t>
        </is>
      </c>
      <c r="C235" s="17" t="inlineStr">
        <is>
          <t>Cleo</t>
        </is>
      </c>
      <c r="D235" s="17" t="inlineStr">
        <is>
          <t>baño pequeño + corte completo</t>
        </is>
      </c>
      <c r="E235" s="17" t="inlineStr">
        <is>
          <t>Grooming</t>
        </is>
      </c>
      <c r="F235" s="54" t="n">
        <v>1548</v>
      </c>
      <c r="G235" s="17" t="inlineStr">
        <is>
          <t>Transferencia (ban.reserv.)</t>
        </is>
      </c>
      <c r="H235" s="17" t="inlineStr">
        <is>
          <t>LAURA</t>
        </is>
      </c>
      <c r="I235" s="17" t="inlineStr">
        <is>
          <t>Compró Nexgard Spectra de 7 a 16 lbs $1,581</t>
        </is>
      </c>
    </row>
    <row r="236" ht="18" customHeight="1" s="149">
      <c r="A236" s="15" t="n">
        <v>233</v>
      </c>
      <c r="B236" s="9" t="inlineStr">
        <is>
          <t>2025-09-01</t>
        </is>
      </c>
      <c r="C236" s="9" t="inlineStr">
        <is>
          <t>BENJI DIAZ</t>
        </is>
      </c>
      <c r="D236" s="9" t="inlineStr">
        <is>
          <t>Baño mediano + corte higienico</t>
        </is>
      </c>
      <c r="E236" s="9" t="inlineStr">
        <is>
          <t>Grooming</t>
        </is>
      </c>
      <c r="F236" s="14" t="n">
        <v>1439</v>
      </c>
      <c r="G236" s="9" t="inlineStr">
        <is>
          <t>Transferencia (ban.reserv.)</t>
        </is>
      </c>
      <c r="H236" s="9" t="inlineStr">
        <is>
          <t>LAURA</t>
        </is>
      </c>
      <c r="I236" s="9" t="n"/>
    </row>
    <row r="237" ht="18" customHeight="1" s="149">
      <c r="A237" s="19" t="n">
        <v>234</v>
      </c>
      <c r="B237" s="17" t="inlineStr">
        <is>
          <t>2025-08-29</t>
        </is>
      </c>
      <c r="C237" s="17" t="inlineStr">
        <is>
          <t>Braulin VARGAS</t>
        </is>
      </c>
      <c r="D237" s="17" t="inlineStr">
        <is>
          <t>baño pequeño</t>
        </is>
      </c>
      <c r="E237" s="17" t="inlineStr">
        <is>
          <t>Grooming</t>
        </is>
      </c>
      <c r="F237" s="54" t="n">
        <v>799</v>
      </c>
      <c r="G237" s="17" t="n"/>
      <c r="H237" s="17" t="inlineStr">
        <is>
          <t>LAURA</t>
        </is>
      </c>
      <c r="I237" s="17" t="n"/>
    </row>
    <row r="238" ht="18" customHeight="1" s="149">
      <c r="A238" s="15" t="n">
        <v>235</v>
      </c>
      <c r="B238" s="9" t="inlineStr">
        <is>
          <t>2025-08-24</t>
        </is>
      </c>
      <c r="C238" s="9" t="inlineStr">
        <is>
          <t>Loki Cabral</t>
        </is>
      </c>
      <c r="D238" s="9" t="inlineStr">
        <is>
          <t>baño pequeño + corte higienico</t>
        </is>
      </c>
      <c r="E238" s="9" t="inlineStr">
        <is>
          <t>Grooming</t>
        </is>
      </c>
      <c r="F238" s="14" t="n">
        <v>1289</v>
      </c>
      <c r="G238" s="9" t="inlineStr">
        <is>
          <t>Transferencia (ban.popular)</t>
        </is>
      </c>
      <c r="H238" s="9" t="inlineStr">
        <is>
          <t>LAURA</t>
        </is>
      </c>
      <c r="I238" s="9" t="n"/>
    </row>
    <row r="239" ht="18" customHeight="1" s="149">
      <c r="A239" s="19" t="n">
        <v>236</v>
      </c>
      <c r="B239" s="17" t="inlineStr">
        <is>
          <t>2025-08-24</t>
        </is>
      </c>
      <c r="C239" s="17" t="inlineStr">
        <is>
          <t>Luna Jimenez</t>
        </is>
      </c>
      <c r="D239" s="17" t="inlineStr">
        <is>
          <t>baño pequeño+ desenrede + corte</t>
        </is>
      </c>
      <c r="E239" s="17" t="inlineStr">
        <is>
          <t>Grooming</t>
        </is>
      </c>
      <c r="F239" s="54" t="n">
        <v>1500</v>
      </c>
      <c r="G239" s="17" t="inlineStr">
        <is>
          <t>Transferencia (ban.reserv.)</t>
        </is>
      </c>
      <c r="H239" s="17" t="inlineStr">
        <is>
          <t>LAURA</t>
        </is>
      </c>
      <c r="I239" s="17" t="inlineStr">
        <is>
          <t>Dejó $150 de propina</t>
        </is>
      </c>
    </row>
    <row r="240" ht="18" customHeight="1" s="149">
      <c r="A240" s="15" t="n">
        <v>237</v>
      </c>
      <c r="B240" s="9" t="inlineStr">
        <is>
          <t>2025-08-23</t>
        </is>
      </c>
      <c r="C240" s="9" t="inlineStr">
        <is>
          <t>Kaki TAVERAS</t>
        </is>
      </c>
      <c r="D240" s="9" t="inlineStr">
        <is>
          <t>baño pequeño</t>
        </is>
      </c>
      <c r="E240" s="9" t="inlineStr">
        <is>
          <t>Grooming</t>
        </is>
      </c>
      <c r="F240" s="14" t="n">
        <v>799</v>
      </c>
      <c r="G240" s="9" t="inlineStr">
        <is>
          <t>EFECTIVO</t>
        </is>
      </c>
      <c r="H240" s="9" t="inlineStr">
        <is>
          <t>LAURA</t>
        </is>
      </c>
      <c r="I240" s="9" t="n"/>
    </row>
    <row r="241" ht="18" customHeight="1" s="149">
      <c r="A241" s="19" t="n">
        <v>238</v>
      </c>
      <c r="B241" s="17" t="inlineStr">
        <is>
          <t>2025-08-23</t>
        </is>
      </c>
      <c r="C241" s="17" t="inlineStr">
        <is>
          <t>Otto Herrera</t>
        </is>
      </c>
      <c r="D241" s="17" t="inlineStr">
        <is>
          <t>baño mediano + corte higienico</t>
        </is>
      </c>
      <c r="E241" s="17" t="inlineStr">
        <is>
          <t>Grooming</t>
        </is>
      </c>
      <c r="F241" s="54" t="n">
        <v>1439</v>
      </c>
      <c r="G241" s="17" t="inlineStr">
        <is>
          <t>EFECTIVO</t>
        </is>
      </c>
      <c r="H241" s="17" t="inlineStr">
        <is>
          <t>LAURA</t>
        </is>
      </c>
      <c r="I241" s="17" t="n"/>
    </row>
    <row r="242" ht="18" customHeight="1" s="149">
      <c r="A242" s="15" t="n">
        <v>239</v>
      </c>
      <c r="B242" s="9" t="inlineStr">
        <is>
          <t>2025-08-23</t>
        </is>
      </c>
      <c r="C242" s="9" t="inlineStr">
        <is>
          <t>Honey TAVERAS</t>
        </is>
      </c>
      <c r="D242" s="9" t="inlineStr">
        <is>
          <t>baño pequeño</t>
        </is>
      </c>
      <c r="E242" s="9" t="inlineStr">
        <is>
          <t>Grooming</t>
        </is>
      </c>
      <c r="F242" s="14" t="n">
        <v>799</v>
      </c>
      <c r="G242" s="9" t="inlineStr">
        <is>
          <t>EFECTIVO</t>
        </is>
      </c>
      <c r="H242" s="9" t="inlineStr">
        <is>
          <t>LAURA</t>
        </is>
      </c>
      <c r="I242" s="9" t="n"/>
    </row>
    <row r="243" ht="18" customHeight="1" s="149">
      <c r="A243" s="19" t="n">
        <v>240</v>
      </c>
      <c r="B243" s="17" t="inlineStr">
        <is>
          <t>2025-08-23</t>
        </is>
      </c>
      <c r="C243" s="17" t="inlineStr">
        <is>
          <t>Luca Sanchez</t>
        </is>
      </c>
      <c r="D243" s="17" t="inlineStr">
        <is>
          <t>baño pequeño + grooming especializado</t>
        </is>
      </c>
      <c r="E243" s="17" t="inlineStr">
        <is>
          <t>Grooming</t>
        </is>
      </c>
      <c r="F243" s="54" t="n">
        <v>1689</v>
      </c>
      <c r="G243" s="17" t="inlineStr">
        <is>
          <t>Transferencia (ban.popular)</t>
        </is>
      </c>
      <c r="H243" s="17" t="inlineStr">
        <is>
          <t>LAURA</t>
        </is>
      </c>
      <c r="I243" s="17" t="n"/>
    </row>
    <row r="244" ht="18" customHeight="1" s="149">
      <c r="A244" s="15" t="n">
        <v>241</v>
      </c>
      <c r="B244" s="9" t="inlineStr">
        <is>
          <t>2025-08-23</t>
        </is>
      </c>
      <c r="C244" s="9" t="inlineStr">
        <is>
          <t>Shayna Sanchez</t>
        </is>
      </c>
      <c r="D244" s="9" t="inlineStr">
        <is>
          <t>baño pequeño</t>
        </is>
      </c>
      <c r="E244" s="9" t="inlineStr">
        <is>
          <t>Grooming</t>
        </is>
      </c>
      <c r="F244" s="14" t="n">
        <v>799</v>
      </c>
      <c r="G244" s="9" t="inlineStr">
        <is>
          <t>Transferencia (ban.reserv.)</t>
        </is>
      </c>
      <c r="H244" s="9" t="inlineStr">
        <is>
          <t>LAURA</t>
        </is>
      </c>
      <c r="I244" s="9" t="n"/>
    </row>
    <row r="245" ht="18" customHeight="1" s="149">
      <c r="A245" s="19" t="n">
        <v>242</v>
      </c>
      <c r="B245" s="17" t="inlineStr">
        <is>
          <t>2025-08-23</t>
        </is>
      </c>
      <c r="C245" s="17" t="inlineStr">
        <is>
          <t>Daiquiri</t>
        </is>
      </c>
      <c r="D245" s="17" t="inlineStr">
        <is>
          <t>Corte completo</t>
        </is>
      </c>
      <c r="E245" s="17" t="inlineStr">
        <is>
          <t>Grooming</t>
        </is>
      </c>
      <c r="F245" s="54" t="n">
        <v>799</v>
      </c>
      <c r="G245" s="17" t="inlineStr">
        <is>
          <t>EFECTIVO</t>
        </is>
      </c>
      <c r="H245" s="17" t="inlineStr">
        <is>
          <t>LAURA</t>
        </is>
      </c>
      <c r="I245" s="17" t="n"/>
    </row>
    <row r="246" ht="18" customHeight="1" s="149">
      <c r="A246" s="15" t="n">
        <v>243</v>
      </c>
      <c r="B246" s="9" t="inlineStr">
        <is>
          <t>2025-08-22</t>
        </is>
      </c>
      <c r="C246" s="9" t="inlineStr">
        <is>
          <t>Luna Estevez</t>
        </is>
      </c>
      <c r="D246" s="9" t="inlineStr">
        <is>
          <t>Corte completo</t>
        </is>
      </c>
      <c r="E246" s="9" t="inlineStr">
        <is>
          <t>Grooming</t>
        </is>
      </c>
      <c r="F246" s="14" t="n">
        <v>849</v>
      </c>
      <c r="G246" s="9" t="inlineStr">
        <is>
          <t>Transferencia (ban.popular)</t>
        </is>
      </c>
      <c r="H246" s="9" t="inlineStr">
        <is>
          <t>LAURA</t>
        </is>
      </c>
      <c r="I246" s="9" t="inlineStr">
        <is>
          <t>Nota: Dejó $100 de propina</t>
        </is>
      </c>
    </row>
    <row r="247" ht="18" customHeight="1" s="149">
      <c r="A247" s="19" t="n">
        <v>244</v>
      </c>
      <c r="B247" s="17" t="inlineStr">
        <is>
          <t>2025-08-21</t>
        </is>
      </c>
      <c r="C247" s="17" t="inlineStr">
        <is>
          <t>Popy</t>
        </is>
      </c>
      <c r="D247" s="17" t="inlineStr">
        <is>
          <t>baño pequeño+ corte higienico+desenrede</t>
        </is>
      </c>
      <c r="E247" s="17" t="inlineStr">
        <is>
          <t>Grooming</t>
        </is>
      </c>
      <c r="F247" s="54" t="n">
        <v>1979</v>
      </c>
      <c r="G247" s="17" t="inlineStr">
        <is>
          <t>EFECTIVO</t>
        </is>
      </c>
      <c r="H247" s="17" t="inlineStr">
        <is>
          <t>LAURA</t>
        </is>
      </c>
      <c r="I247" s="17" t="n"/>
    </row>
    <row r="248" ht="18" customHeight="1" s="149">
      <c r="A248" s="15" t="n">
        <v>245</v>
      </c>
      <c r="B248" s="9" t="inlineStr">
        <is>
          <t>2025-08-21</t>
        </is>
      </c>
      <c r="C248" s="9" t="inlineStr">
        <is>
          <t>Ferxxi</t>
        </is>
      </c>
      <c r="D248" s="9" t="inlineStr">
        <is>
          <t>baño pequeño + corte higienico</t>
        </is>
      </c>
      <c r="E248" s="9" t="inlineStr">
        <is>
          <t>Grooming</t>
        </is>
      </c>
      <c r="F248" s="14" t="n">
        <v>1289</v>
      </c>
      <c r="G248" s="9" t="inlineStr">
        <is>
          <t>Transferencia (ban.reserv.)</t>
        </is>
      </c>
      <c r="H248" s="9" t="inlineStr">
        <is>
          <t>LAURA</t>
        </is>
      </c>
      <c r="I248" s="9" t="n"/>
    </row>
    <row r="249" ht="18" customHeight="1" s="149">
      <c r="A249" s="19" t="n">
        <v>246</v>
      </c>
      <c r="B249" s="17" t="inlineStr">
        <is>
          <t>2025-08-18</t>
        </is>
      </c>
      <c r="C249" s="17" t="inlineStr">
        <is>
          <t>ShyGuy</t>
        </is>
      </c>
      <c r="D249" s="17" t="inlineStr">
        <is>
          <t>Corte completo + desenrede</t>
        </is>
      </c>
      <c r="E249" s="17" t="inlineStr">
        <is>
          <t>Grooming</t>
        </is>
      </c>
      <c r="F249" s="54" t="n">
        <v>1439</v>
      </c>
      <c r="G249" s="17" t="inlineStr">
        <is>
          <t>Transferencia (ban.reserv.)</t>
        </is>
      </c>
      <c r="H249" s="17" t="inlineStr">
        <is>
          <t>LAURA</t>
        </is>
      </c>
      <c r="I249" s="17" t="n"/>
    </row>
    <row r="250" ht="18" customHeight="1" s="149">
      <c r="A250" s="15" t="n">
        <v>247</v>
      </c>
      <c r="B250" s="9" t="inlineStr">
        <is>
          <t>2025-08-15</t>
        </is>
      </c>
      <c r="C250" s="9" t="inlineStr">
        <is>
          <t>Shaina</t>
        </is>
      </c>
      <c r="D250" s="9" t="inlineStr">
        <is>
          <t>baño pequeño + corte completo</t>
        </is>
      </c>
      <c r="E250" s="9" t="inlineStr">
        <is>
          <t>Grooming</t>
        </is>
      </c>
      <c r="F250" s="14" t="n">
        <v>1548</v>
      </c>
      <c r="G250" s="9" t="inlineStr">
        <is>
          <t>Efectivo</t>
        </is>
      </c>
      <c r="H250" s="9" t="inlineStr">
        <is>
          <t>LAURA</t>
        </is>
      </c>
      <c r="I250" s="9" t="n"/>
    </row>
    <row r="251" ht="18" customHeight="1" s="149">
      <c r="A251" s="19" t="n">
        <v>248</v>
      </c>
      <c r="B251" s="17" t="inlineStr">
        <is>
          <t>2025-08-15</t>
        </is>
      </c>
      <c r="C251" s="17" t="inlineStr">
        <is>
          <t>Luna Polo</t>
        </is>
      </c>
      <c r="D251" s="17" t="inlineStr">
        <is>
          <t>baño pequeño + corte higienico</t>
        </is>
      </c>
      <c r="E251" s="17" t="inlineStr">
        <is>
          <t>Grooming</t>
        </is>
      </c>
      <c r="F251" s="54" t="n">
        <v>1289</v>
      </c>
      <c r="G251" s="17" t="inlineStr">
        <is>
          <t>Efectivo</t>
        </is>
      </c>
      <c r="H251" s="17" t="inlineStr">
        <is>
          <t>LAURA</t>
        </is>
      </c>
      <c r="I251" s="17" t="n"/>
    </row>
    <row r="252" ht="18" customHeight="1" s="149">
      <c r="A252" s="15" t="n">
        <v>249</v>
      </c>
      <c r="B252" s="9" t="inlineStr">
        <is>
          <t>2025-08-14</t>
        </is>
      </c>
      <c r="C252" s="9" t="inlineStr">
        <is>
          <t>BELLA MEJIA</t>
        </is>
      </c>
      <c r="D252" s="9" t="inlineStr">
        <is>
          <t>baño pequeño + corte completo</t>
        </is>
      </c>
      <c r="E252" s="9" t="inlineStr">
        <is>
          <t>Grooming</t>
        </is>
      </c>
      <c r="F252" s="14" t="n">
        <v>1548</v>
      </c>
      <c r="G252" s="9" t="inlineStr">
        <is>
          <t>Efectivo</t>
        </is>
      </c>
      <c r="H252" s="9" t="inlineStr">
        <is>
          <t>LAURA</t>
        </is>
      </c>
      <c r="I252" s="9" t="n"/>
    </row>
    <row r="253" ht="18" customHeight="1" s="149">
      <c r="A253" s="19" t="n">
        <v>250</v>
      </c>
      <c r="B253" s="17" t="inlineStr">
        <is>
          <t>2025-05-28</t>
        </is>
      </c>
      <c r="C253" s="17" t="inlineStr">
        <is>
          <t>Klaus DE LA ROSA</t>
        </is>
      </c>
      <c r="D253" s="17" t="inlineStr">
        <is>
          <t>baño mediano + corte higiénico</t>
        </is>
      </c>
      <c r="E253" s="17" t="inlineStr">
        <is>
          <t>Grooming</t>
        </is>
      </c>
      <c r="F253" s="54" t="n">
        <v>1439</v>
      </c>
      <c r="G253" s="17" t="inlineStr">
        <is>
          <t>transferencia (ban.popular)</t>
        </is>
      </c>
      <c r="H253" s="17" t="inlineStr">
        <is>
          <t>LAURA</t>
        </is>
      </c>
      <c r="I253" s="17" t="n"/>
    </row>
    <row r="254" ht="18" customHeight="1" s="149">
      <c r="A254" s="15" t="n">
        <v>251</v>
      </c>
      <c r="B254" s="9" t="inlineStr">
        <is>
          <t>2025-05-26</t>
        </is>
      </c>
      <c r="C254" s="9" t="inlineStr">
        <is>
          <t>Puppy</t>
        </is>
      </c>
      <c r="D254" s="9" t="inlineStr">
        <is>
          <t>Corte completo+ corte higienico</t>
        </is>
      </c>
      <c r="E254" s="9" t="inlineStr">
        <is>
          <t>Grooming</t>
        </is>
      </c>
      <c r="F254" s="14" t="n">
        <v>1239</v>
      </c>
      <c r="G254" s="9" t="inlineStr">
        <is>
          <t>EFECTIVO</t>
        </is>
      </c>
      <c r="H254" s="9" t="inlineStr">
        <is>
          <t>LAURA</t>
        </is>
      </c>
      <c r="I254" s="9" t="n"/>
    </row>
    <row r="255" ht="18" customHeight="1" s="149">
      <c r="A255" s="0" t="n">
        <v>252</v>
      </c>
      <c r="B255" s="174" t="n">
        <v>46022</v>
      </c>
      <c r="C255" s="0" t="inlineStr">
        <is>
          <t>Nicky De los Santos</t>
        </is>
      </c>
      <c r="D255" s="0" t="inlineStr">
        <is>
          <t>Producto farmacia</t>
        </is>
      </c>
      <c r="E255" s="0" t="inlineStr">
        <is>
          <t>Farmacia/Shop</t>
        </is>
      </c>
      <c r="F255" s="0" t="n">
        <v>1345</v>
      </c>
    </row>
    <row r="256" ht="25.5" customHeight="1" s="149">
      <c r="A256" s="0" t="n">
        <v>253</v>
      </c>
      <c r="B256" s="174" t="n">
        <v>46022</v>
      </c>
      <c r="C256" s="0" t="inlineStr">
        <is>
          <t>Nicky De los Santos</t>
        </is>
      </c>
      <c r="D256" s="0" t="inlineStr">
        <is>
          <t>baño pequeño</t>
        </is>
      </c>
      <c r="E256" s="0" t="inlineStr">
        <is>
          <t>Grooming</t>
        </is>
      </c>
      <c r="F256" s="0" t="n">
        <v>799</v>
      </c>
      <c r="G256" s="0" t="inlineStr">
        <is>
          <t>Pagado con el prestamo de Alexander con Leydeli ($1000)</t>
        </is>
      </c>
      <c r="I256" s="0" t="inlineStr">
        <is>
          <t>Nexgard (pendiente de pago)</t>
        </is>
      </c>
    </row>
    <row r="257" ht="15.75" customHeight="1" s="149">
      <c r="A257" s="0" t="n">
        <v>254</v>
      </c>
      <c r="B257" s="174" t="n">
        <v>46022</v>
      </c>
      <c r="C257" s="0" t="inlineStr">
        <is>
          <t>Nicky De los Santos</t>
        </is>
      </c>
      <c r="D257" s="0" t="inlineStr">
        <is>
          <t>Consulta  (pendiente de pago)</t>
        </is>
      </c>
      <c r="E257" s="0" t="inlineStr">
        <is>
          <t>Veterinaria</t>
        </is>
      </c>
      <c r="F257" s="0" t="n">
        <v>1500</v>
      </c>
    </row>
    <row r="258" ht="15.75" customHeight="1" s="149">
      <c r="A258" s="0" t="n">
        <v>255</v>
      </c>
      <c r="B258" s="174" t="n">
        <v>46022</v>
      </c>
      <c r="C258" s="0" t="inlineStr">
        <is>
          <t>Luna Polo</t>
        </is>
      </c>
      <c r="D258" s="0" t="inlineStr">
        <is>
          <t>baño pequeño + corte higienico</t>
        </is>
      </c>
      <c r="E258" s="0" t="inlineStr">
        <is>
          <t>Grooming</t>
        </is>
      </c>
      <c r="F258" s="0" t="n">
        <v>1095</v>
      </c>
      <c r="G258" s="0" t="inlineStr">
        <is>
          <t>efectivo</t>
        </is>
      </c>
      <c r="H258" s="0" t="inlineStr">
        <is>
          <t>Laura</t>
        </is>
      </c>
      <c r="I258" s="0" t="inlineStr">
        <is>
          <t>15% OFF por cumpleaños/ $100 propina Alexander (ya se le pagó)</t>
        </is>
      </c>
    </row>
    <row r="259" ht="15.75" customHeight="1" s="149">
      <c r="A259" s="0" t="n">
        <v>256</v>
      </c>
      <c r="B259" s="174" t="n">
        <v>46022</v>
      </c>
      <c r="C259" s="0" t="inlineStr">
        <is>
          <t>Luna Juliao</t>
        </is>
      </c>
      <c r="D259" s="0" t="inlineStr">
        <is>
          <t>baño pequeño + corte higienico</t>
        </is>
      </c>
      <c r="E259" s="0" t="inlineStr">
        <is>
          <t>Grooming</t>
        </is>
      </c>
      <c r="F259" s="0" t="n">
        <v>1548</v>
      </c>
      <c r="G259" s="0" t="inlineStr">
        <is>
          <t>1548</t>
        </is>
      </c>
      <c r="H259" s="0" t="inlineStr">
        <is>
          <t>popular</t>
        </is>
      </c>
    </row>
    <row r="260" ht="15.75" customHeight="1" s="149">
      <c r="A260" s="0" t="n">
        <v>257</v>
      </c>
      <c r="B260" s="174" t="n">
        <v>46022</v>
      </c>
      <c r="C260" s="0" t="inlineStr">
        <is>
          <t>Shadow Felipe Maldonado</t>
        </is>
      </c>
      <c r="D260" s="0" t="inlineStr">
        <is>
          <t>baño grande</t>
        </is>
      </c>
      <c r="E260" s="0" t="inlineStr">
        <is>
          <t>Grooming</t>
        </is>
      </c>
      <c r="F260" s="0" t="n">
        <v>1034</v>
      </c>
      <c r="I260" s="0" t="inlineStr">
        <is>
          <t>10% OFF</t>
        </is>
      </c>
    </row>
    <row r="261" ht="15.75" customHeight="1" s="149">
      <c r="A261" s="0" t="n">
        <v>258</v>
      </c>
      <c r="B261" s="174" t="n">
        <v>46022</v>
      </c>
      <c r="C261" s="0" t="inlineStr">
        <is>
          <t>Bella Mejia</t>
        </is>
      </c>
      <c r="D261" s="0" t="inlineStr">
        <is>
          <t>baño pequeño con linea + corte completo</t>
        </is>
      </c>
      <c r="E261" s="0" t="inlineStr">
        <is>
          <t>Grooming</t>
        </is>
      </c>
      <c r="F261" s="0" t="n">
        <v>1573</v>
      </c>
      <c r="G261" s="0" t="inlineStr">
        <is>
          <t>efectivo</t>
        </is>
      </c>
    </row>
    <row r="262" ht="15.75" customHeight="1" s="149">
      <c r="A262" s="0" t="n">
        <v>259</v>
      </c>
      <c r="B262" s="174" t="n">
        <v>46022</v>
      </c>
      <c r="C262" s="0" t="inlineStr">
        <is>
          <t>Tommy Concet</t>
        </is>
      </c>
      <c r="D262" s="0" t="inlineStr">
        <is>
          <t>baño pequeño</t>
        </is>
      </c>
      <c r="E262" s="0" t="inlineStr">
        <is>
          <t>Grooming</t>
        </is>
      </c>
      <c r="F262" s="0" t="n">
        <v>799</v>
      </c>
      <c r="G262" s="0" t="inlineStr">
        <is>
          <t>efectivo</t>
        </is>
      </c>
      <c r="H262" s="0" t="inlineStr">
        <is>
          <t>Laura</t>
        </is>
      </c>
    </row>
    <row r="263" ht="15.75" customHeight="1" s="149">
      <c r="A263" s="0" t="n">
        <v>260</v>
      </c>
      <c r="B263" s="174" t="n">
        <v>45830</v>
      </c>
      <c r="C263" s="0" t="inlineStr">
        <is>
          <t>Michi Rodriguez</t>
        </is>
      </c>
      <c r="D263" s="0" t="inlineStr">
        <is>
          <t>Consulta ($1,500) + Toma de muestra ($1200)</t>
        </is>
      </c>
      <c r="E263" s="0" t="inlineStr">
        <is>
          <t>Veterinaria</t>
        </is>
      </c>
      <c r="F263" s="0" t="n">
        <v>2250</v>
      </c>
    </row>
    <row r="264" ht="15.75" customHeight="1" s="149">
      <c r="A264" s="0" t="n">
        <v>261</v>
      </c>
      <c r="B264" s="174" t="n">
        <v>45830</v>
      </c>
      <c r="C264" s="0" t="inlineStr">
        <is>
          <t>Loki Perez Marmolejos</t>
        </is>
      </c>
      <c r="D264" s="0" t="inlineStr">
        <is>
          <t>popular</t>
        </is>
      </c>
      <c r="E264" s="0" t="inlineStr">
        <is>
          <t>Farmacia/Shop</t>
        </is>
      </c>
      <c r="F264" s="0" t="n">
        <v>3000</v>
      </c>
    </row>
    <row r="265" ht="15.75" customHeight="1" s="149">
      <c r="A265" s="0" t="n">
        <v>262</v>
      </c>
      <c r="B265" s="174" t="n">
        <v>45830</v>
      </c>
      <c r="C265" s="0" t="inlineStr">
        <is>
          <t>Loki Perez Marmolejos</t>
        </is>
      </c>
      <c r="D265" s="0" t="inlineStr">
        <is>
          <t>corte completo</t>
        </is>
      </c>
      <c r="E265" s="0" t="inlineStr">
        <is>
          <t>Grooming</t>
        </is>
      </c>
      <c r="F265" s="0" t="n">
        <v>749</v>
      </c>
      <c r="G265" s="0" t="inlineStr">
        <is>
          <t>popular</t>
        </is>
      </c>
      <c r="I265" s="0" t="inlineStr">
        <is>
          <t>Venta cesped artificial</t>
        </is>
      </c>
    </row>
    <row r="266" ht="15.75" customHeight="1" s="149">
      <c r="A266" s="0" t="n">
        <v>263</v>
      </c>
      <c r="B266" s="174" t="n">
        <v>45821</v>
      </c>
      <c r="C266" s="0" t="inlineStr">
        <is>
          <t>Coffe</t>
        </is>
      </c>
      <c r="D266" s="0" t="inlineStr">
        <is>
          <t>baño pequeño + corte completo</t>
        </is>
      </c>
      <c r="E266" s="0" t="inlineStr">
        <is>
          <t>Grooming</t>
        </is>
      </c>
      <c r="F266" s="0" t="n">
        <v>1550</v>
      </c>
      <c r="G266" s="0" t="inlineStr">
        <is>
          <t>reservas</t>
        </is>
      </c>
      <c r="H266" s="0" t="inlineStr">
        <is>
          <t>Alexander</t>
        </is>
      </c>
    </row>
    <row r="267" ht="15.75" customHeight="1" s="149">
      <c r="A267" s="19" t="n">
        <v>264</v>
      </c>
      <c r="B267" s="17" t="inlineStr">
        <is>
          <t>2025-05-26</t>
        </is>
      </c>
      <c r="C267" s="17" t="inlineStr">
        <is>
          <t>Max (Marcos)</t>
        </is>
      </c>
      <c r="D267" s="17" t="inlineStr">
        <is>
          <t>Baño pequeño + corte higienico</t>
        </is>
      </c>
      <c r="E267" s="17" t="inlineStr">
        <is>
          <t>Grooming</t>
        </is>
      </c>
      <c r="F267" s="54" t="n">
        <v>1289</v>
      </c>
      <c r="G267" s="17" t="inlineStr">
        <is>
          <t>Transferencia (ban.reserv)</t>
        </is>
      </c>
      <c r="H267" s="17" t="inlineStr">
        <is>
          <t>LAURA</t>
        </is>
      </c>
      <c r="I267" s="17" t="n"/>
    </row>
    <row r="268" ht="15.75" customHeight="1" s="149">
      <c r="A268" s="175" t="inlineStr">
        <is>
          <t>TOTAL 2025</t>
        </is>
      </c>
      <c r="B268" s="22" t="n"/>
      <c r="C268" s="22" t="n"/>
      <c r="D268" s="22" t="n"/>
      <c r="E268" s="22" t="n"/>
      <c r="F268" s="176">
        <f>SUM(F4:F267)</f>
        <v/>
      </c>
      <c r="G268" s="22" t="n"/>
      <c r="H268" s="22" t="n"/>
      <c r="I268" s="22" t="n"/>
    </row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2">
    <mergeCell ref="A1:I1"/>
    <mergeCell ref="A2:I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tabColor rgb="FFC0392B"/>
    <outlinePr summaryBelow="1" summaryRight="1"/>
    <pageSetUpPr/>
  </sheetPr>
  <dimension ref="A1:J59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" customWidth="1" style="149" min="1" max="1"/>
    <col width="13" customWidth="1" style="149" min="2" max="2"/>
    <col width="12" customWidth="1" style="149" min="3" max="3"/>
    <col width="26" customWidth="1" style="149" min="4" max="4"/>
    <col width="14" customWidth="1" style="149" min="5" max="5"/>
    <col width="16" customWidth="1" style="149" min="6" max="8"/>
    <col width="42" customWidth="1" style="149" min="9" max="9"/>
    <col width="15" customWidth="1" style="149" min="10" max="10"/>
    <col width="8.710000000000001" customWidth="1" style="149" min="11" max="26"/>
  </cols>
  <sheetData>
    <row r="1" ht="39.75" customHeight="1" s="149">
      <c r="A1" s="150" t="inlineStr">
        <is>
          <t>🐾 PetColinas — GASTOS Y FACTURAS 2025–2026</t>
        </is>
      </c>
    </row>
    <row r="2" ht="19.5" customHeight="1" s="149">
      <c r="A2" s="151" t="inlineStr">
        <is>
          <t>Total: RD$569,019  ·  55 registros</t>
        </is>
      </c>
    </row>
    <row r="3" ht="27.75" customHeight="1" s="149">
      <c r="A3" s="36" t="inlineStr">
        <is>
          <t>#</t>
        </is>
      </c>
      <c r="B3" s="36" t="inlineStr">
        <is>
          <t>FECHA</t>
        </is>
      </c>
      <c r="C3" s="36" t="inlineStr">
        <is>
          <t>MES</t>
        </is>
      </c>
      <c r="D3" s="36" t="inlineStr">
        <is>
          <t>PROVEEDOR / TIENDA</t>
        </is>
      </c>
      <c r="E3" s="36" t="inlineStr">
        <is>
          <t>NO. FACTURA</t>
        </is>
      </c>
      <c r="F3" s="36" t="inlineStr">
        <is>
          <t>MONTO PC RD$</t>
        </is>
      </c>
      <c r="G3" s="36" t="inlineStr">
        <is>
          <t>MONTO OTROS RD$</t>
        </is>
      </c>
      <c r="H3" s="36" t="inlineStr">
        <is>
          <t>TOTAL RD$</t>
        </is>
      </c>
      <c r="I3" s="36" t="inlineStr">
        <is>
          <t>DESCRIPCIÓN</t>
        </is>
      </c>
      <c r="J3" s="36" t="inlineStr">
        <is>
          <t>FORMA DE PAGO</t>
        </is>
      </c>
    </row>
    <row r="4" ht="18" customHeight="1" s="149">
      <c r="A4" s="15" t="n">
        <v>1</v>
      </c>
      <c r="B4" s="9" t="inlineStr">
        <is>
          <t>2026-03-12</t>
        </is>
      </c>
      <c r="C4" s="9" t="inlineStr">
        <is>
          <t>Marzo</t>
        </is>
      </c>
      <c r="D4" s="9" t="inlineStr">
        <is>
          <t>Company24h SRL</t>
        </is>
      </c>
      <c r="E4" s="9" t="inlineStr">
        <is>
          <t>-</t>
        </is>
      </c>
      <c r="F4" s="14" t="n">
        <v>16470</v>
      </c>
      <c r="G4" s="14" t="n">
        <v>0</v>
      </c>
      <c r="H4" s="14" t="n">
        <v>16470</v>
      </c>
      <c r="I4" s="9" t="inlineStr">
        <is>
          <t>PAGO INICIAL PARA EL REGISTRO DE LA EMPRESA PETCOLINAS</t>
        </is>
      </c>
      <c r="J4" s="9" t="inlineStr">
        <is>
          <t>RESERVAS</t>
        </is>
      </c>
    </row>
    <row r="5" ht="18" customHeight="1" s="149">
      <c r="A5" s="19" t="n">
        <v>2</v>
      </c>
      <c r="B5" s="17" t="inlineStr">
        <is>
          <t>2026-03-11</t>
        </is>
      </c>
      <c r="C5" s="17" t="inlineStr">
        <is>
          <t>Marzo</t>
        </is>
      </c>
      <c r="D5" s="17" t="inlineStr">
        <is>
          <t>Sabrina Diseño gráfico</t>
        </is>
      </c>
      <c r="E5" s="17" t="inlineStr">
        <is>
          <t>-</t>
        </is>
      </c>
      <c r="F5" s="54" t="n">
        <v>6133</v>
      </c>
      <c r="G5" s="54" t="n">
        <v>0</v>
      </c>
      <c r="H5" s="54" t="n">
        <v>6133</v>
      </c>
      <c r="I5" s="17" t="inlineStr">
        <is>
          <t>Diseño valla publicidad Petcolinas</t>
        </is>
      </c>
      <c r="J5" s="17" t="inlineStr">
        <is>
          <t>Reservas</t>
        </is>
      </c>
    </row>
    <row r="6" ht="18" customHeight="1" s="149">
      <c r="A6" s="15" t="n">
        <v>3</v>
      </c>
      <c r="B6" s="9" t="inlineStr">
        <is>
          <t>2026-03-09</t>
        </is>
      </c>
      <c r="C6" s="9" t="inlineStr">
        <is>
          <t>Marzo</t>
        </is>
      </c>
      <c r="D6" s="9" t="inlineStr">
        <is>
          <t>Servicio de limpieza</t>
        </is>
      </c>
      <c r="E6" s="9" t="inlineStr">
        <is>
          <t>-</t>
        </is>
      </c>
      <c r="F6" s="14" t="n">
        <v>1000</v>
      </c>
      <c r="G6" s="14" t="n">
        <v>0</v>
      </c>
      <c r="H6" s="14" t="n">
        <v>1000</v>
      </c>
      <c r="I6" s="9" t="inlineStr">
        <is>
          <t>Servicio de limpieza local PetColinas</t>
        </is>
      </c>
      <c r="J6" s="9" t="inlineStr">
        <is>
          <t>Reservas</t>
        </is>
      </c>
    </row>
    <row r="7" ht="18" customHeight="1" s="149">
      <c r="A7" s="19" t="n">
        <v>4</v>
      </c>
      <c r="B7" s="17" t="inlineStr">
        <is>
          <t>2026-03-04</t>
        </is>
      </c>
      <c r="C7" s="17" t="inlineStr">
        <is>
          <t>Marzo</t>
        </is>
      </c>
      <c r="D7" s="17" t="inlineStr">
        <is>
          <t>DIPROMEX</t>
        </is>
      </c>
      <c r="E7" s="17" t="inlineStr">
        <is>
          <t>30040</t>
        </is>
      </c>
      <c r="F7" s="54" t="n">
        <v>10055</v>
      </c>
      <c r="G7" s="54" t="n">
        <v>0</v>
      </c>
      <c r="H7" s="54" t="n">
        <v>10055</v>
      </c>
      <c r="I7" s="17" t="inlineStr">
        <is>
          <t>(1) EPIOTIC SIS ($555)/ (1) CAJA 14 TABLETAS RILEXINE 75MG ($845)/ (1) CAJA 14 TAB RILEXINE 300 MG ($1055)/ (1) CAJA 14 TAB RILEXINE 600MG ($1340)/ (1) EASOTIC ($1350)/ (1) ALLERMYL ($1060)/ (1) HEXADENE SPHERULITES 250 ML ($1060)/ (1) SEBOLYTIC ($1060)/ (1) EPI-SOOTHE ($980)/ (1) TC SPRAY DESENREDEANTE 16 OZ ($750)</t>
        </is>
      </c>
      <c r="J7" s="17" t="inlineStr">
        <is>
          <t>RESERVAS</t>
        </is>
      </c>
    </row>
    <row r="8" ht="18" customHeight="1" s="149">
      <c r="A8" s="15" t="n">
        <v>5</v>
      </c>
      <c r="B8" s="9" t="inlineStr">
        <is>
          <t>2026-03-02</t>
        </is>
      </c>
      <c r="C8" s="9" t="inlineStr">
        <is>
          <t>Marzo</t>
        </is>
      </c>
      <c r="D8" s="9" t="inlineStr">
        <is>
          <t>ESPAVET</t>
        </is>
      </c>
      <c r="E8" s="9" t="inlineStr">
        <is>
          <t>29117</t>
        </is>
      </c>
      <c r="F8" s="14" t="n">
        <v>8244</v>
      </c>
      <c r="G8" s="14" t="n">
        <v>0</v>
      </c>
      <c r="H8" s="14" t="n">
        <v>8244</v>
      </c>
      <c r="I8" s="9" t="inlineStr">
        <is>
          <t>(4) NEXGARD SPECTRA S 3.6-7.5KG ($962 C/U)/ (4) NEXGARD SPECTRA M 7.6-15KG ($1099 C/U)</t>
        </is>
      </c>
      <c r="J8" s="9" t="inlineStr">
        <is>
          <t>RESERVAS</t>
        </is>
      </c>
    </row>
    <row r="9" ht="18" customHeight="1" s="149">
      <c r="A9" s="19" t="n">
        <v>6</v>
      </c>
      <c r="B9" s="17" t="inlineStr">
        <is>
          <t>2026-02-26</t>
        </is>
      </c>
      <c r="C9" s="17" t="inlineStr">
        <is>
          <t>Febrero</t>
        </is>
      </c>
      <c r="D9" s="17" t="inlineStr">
        <is>
          <t>CASA RODRIGUEZ</t>
        </is>
      </c>
      <c r="E9" s="17" t="inlineStr">
        <is>
          <t>VFR-026851</t>
        </is>
      </c>
      <c r="F9" s="54" t="n">
        <v>7000</v>
      </c>
      <c r="G9" s="54" t="n">
        <v>0</v>
      </c>
      <c r="H9" s="54" t="n">
        <v>7000</v>
      </c>
      <c r="I9" s="17" t="inlineStr">
        <is>
          <t>(1) CAJA SHAMPOO SENSIBLE ANIMAL 16 OZ DE 12 POTES ($4000)/ (1) CAJA DE WIPES LIMPIADOR ANIMAL 100 PCS DE 12 WIPES ($3000)</t>
        </is>
      </c>
      <c r="J9" s="17" t="n"/>
    </row>
    <row r="10" ht="18" customHeight="1" s="149">
      <c r="A10" s="15" t="n">
        <v>7</v>
      </c>
      <c r="B10" s="9" t="inlineStr">
        <is>
          <t>2026-02-17</t>
        </is>
      </c>
      <c r="C10" s="9" t="inlineStr">
        <is>
          <t>Febrero</t>
        </is>
      </c>
      <c r="D10" s="9" t="inlineStr">
        <is>
          <t>SANUT</t>
        </is>
      </c>
      <c r="E10" s="9" t="inlineStr">
        <is>
          <t>-</t>
        </is>
      </c>
      <c r="F10" s="14" t="n">
        <v>0</v>
      </c>
      <c r="G10" s="14" t="n">
        <v>3635</v>
      </c>
      <c r="H10" s="14" t="n">
        <v>3635</v>
      </c>
      <c r="I10" s="9" t="inlineStr">
        <is>
          <t>(1) DERMAPET GROOM PELO LARGO BIDON ($2792)/ (1) DERMAPET FRAGANCE FEMALE FRASCO ($843)</t>
        </is>
      </c>
      <c r="J10" s="9" t="inlineStr">
        <is>
          <t>TARJETA</t>
        </is>
      </c>
    </row>
    <row r="11" ht="18" customHeight="1" s="149">
      <c r="A11" s="19" t="n">
        <v>8</v>
      </c>
      <c r="B11" s="17" t="inlineStr">
        <is>
          <t>2026-02-14</t>
        </is>
      </c>
      <c r="C11" s="17" t="inlineStr">
        <is>
          <t>Febrero</t>
        </is>
      </c>
      <c r="D11" s="17" t="inlineStr">
        <is>
          <t>SANUT</t>
        </is>
      </c>
      <c r="E11" s="17" t="inlineStr">
        <is>
          <t>-</t>
        </is>
      </c>
      <c r="F11" s="54" t="n">
        <v>0</v>
      </c>
      <c r="G11" s="54" t="n">
        <v>1580</v>
      </c>
      <c r="H11" s="54" t="n">
        <v>1580</v>
      </c>
      <c r="I11" s="17" t="inlineStr">
        <is>
          <t>(4) VACUNAS BRONCHICINE ($395 C/U)</t>
        </is>
      </c>
      <c r="J11" s="17" t="inlineStr">
        <is>
          <t>TARJETA</t>
        </is>
      </c>
    </row>
    <row r="12" ht="18" customHeight="1" s="149">
      <c r="A12" s="15" t="n">
        <v>9</v>
      </c>
      <c r="B12" s="9" t="inlineStr">
        <is>
          <t>2026-02-14</t>
        </is>
      </c>
      <c r="C12" s="9" t="inlineStr">
        <is>
          <t>Febrero</t>
        </is>
      </c>
      <c r="D12" s="9" t="inlineStr">
        <is>
          <t>INAGROVET</t>
        </is>
      </c>
      <c r="E12" s="9" t="inlineStr">
        <is>
          <t>202575</t>
        </is>
      </c>
      <c r="F12" s="14" t="n">
        <v>0</v>
      </c>
      <c r="G12" s="14" t="n">
        <v>2680</v>
      </c>
      <c r="H12" s="14" t="n">
        <v>2680</v>
      </c>
      <c r="I12" s="9" t="inlineStr">
        <is>
          <t>(30) Fortiflora dog ($1,500)/ (1) DOXVET SUSPENSION AL 10% 120 ML ($480)/ (10) ACIFLUX 500 MG BLISTER X 20 T ($400)/ (1) MINERAVIT FUERTE 120 ML ($300)</t>
        </is>
      </c>
      <c r="J12" s="9" t="inlineStr">
        <is>
          <t>TARJETA</t>
        </is>
      </c>
    </row>
    <row r="13" ht="18" customHeight="1" s="149">
      <c r="A13" s="19" t="n">
        <v>10</v>
      </c>
      <c r="B13" s="17" t="inlineStr">
        <is>
          <t>2026-02-13</t>
        </is>
      </c>
      <c r="C13" s="17" t="inlineStr">
        <is>
          <t>Febrero</t>
        </is>
      </c>
      <c r="D13" s="17" t="inlineStr">
        <is>
          <t>ESPAVET</t>
        </is>
      </c>
      <c r="E13" s="17" t="inlineStr">
        <is>
          <t>28900</t>
        </is>
      </c>
      <c r="F13" s="54" t="n">
        <v>7723</v>
      </c>
      <c r="G13" s="54" t="n">
        <v>0</v>
      </c>
      <c r="H13" s="54" t="n">
        <v>7723</v>
      </c>
      <c r="I13" s="17" t="inlineStr">
        <is>
          <t>(2) NEXGARD SPECTRA S 3.6- 7.5 KG ($962 C/U)/ (2) NEXGARD SPECTRA M 7.6- 15KG ($1099 C/U)/ (2) NEXGARD SPECTRA L 15.1- 30KG ($1275)/ (2)FRONTLINE PLUS GATO ($571 C/U)</t>
        </is>
      </c>
      <c r="J13" s="17" t="inlineStr">
        <is>
          <t>RESERVAS</t>
        </is>
      </c>
    </row>
    <row r="14" ht="18" customHeight="1" s="149">
      <c r="A14" s="15" t="n">
        <v>11</v>
      </c>
      <c r="B14" s="9" t="inlineStr">
        <is>
          <t>2026-02-10</t>
        </is>
      </c>
      <c r="C14" s="9" t="inlineStr">
        <is>
          <t>Febrero</t>
        </is>
      </c>
      <c r="D14" s="9" t="inlineStr">
        <is>
          <t>CLARO</t>
        </is>
      </c>
      <c r="E14" s="9" t="inlineStr">
        <is>
          <t>51248786</t>
        </is>
      </c>
      <c r="F14" s="14" t="n">
        <v>0</v>
      </c>
      <c r="G14" s="14" t="n">
        <v>1499</v>
      </c>
      <c r="H14" s="14" t="n">
        <v>1499</v>
      </c>
      <c r="I14" s="9" t="inlineStr">
        <is>
          <t>SERVICIO MULTIPLAN</t>
        </is>
      </c>
      <c r="J14" s="9" t="n"/>
    </row>
    <row r="15" ht="18" customHeight="1" s="149">
      <c r="A15" s="19" t="n">
        <v>12</v>
      </c>
      <c r="B15" s="17" t="inlineStr">
        <is>
          <t>2026-02-10</t>
        </is>
      </c>
      <c r="C15" s="17" t="inlineStr">
        <is>
          <t>Febrero</t>
        </is>
      </c>
      <c r="D15" s="17" t="inlineStr">
        <is>
          <t>UNIFORMES BATISSA</t>
        </is>
      </c>
      <c r="E15" s="17" t="inlineStr">
        <is>
          <t>-</t>
        </is>
      </c>
      <c r="F15" s="54" t="n">
        <v>0</v>
      </c>
      <c r="G15" s="54" t="n">
        <v>5450</v>
      </c>
      <c r="H15" s="54" t="n">
        <v>5450</v>
      </c>
      <c r="I15" s="17" t="inlineStr">
        <is>
          <t>(1) JACKET HOMBRE SIZE L NEGRO ($1950)/ (1) CONJUNTO MEDICAL SIZE M NEGRO</t>
        </is>
      </c>
      <c r="J15" s="17" t="inlineStr">
        <is>
          <t>TARJETA</t>
        </is>
      </c>
    </row>
    <row r="16" ht="18" customHeight="1" s="149">
      <c r="A16" s="15" t="n">
        <v>13</v>
      </c>
      <c r="B16" s="9" t="inlineStr">
        <is>
          <t>2026-02-07</t>
        </is>
      </c>
      <c r="C16" s="9" t="inlineStr">
        <is>
          <t>Febrero</t>
        </is>
      </c>
      <c r="D16" s="9" t="inlineStr">
        <is>
          <t>Farmacia Nepo</t>
        </is>
      </c>
      <c r="E16" s="9" t="inlineStr">
        <is>
          <t>158077</t>
        </is>
      </c>
      <c r="F16" s="14" t="n">
        <v>231</v>
      </c>
      <c r="G16" s="14" t="n">
        <v>0</v>
      </c>
      <c r="H16" s="14" t="n">
        <v>231</v>
      </c>
      <c r="I16" s="9" t="inlineStr">
        <is>
          <t>Pilas Duracell para control aire acondicionado</t>
        </is>
      </c>
      <c r="J16" s="9" t="inlineStr">
        <is>
          <t>EFECTIVO</t>
        </is>
      </c>
    </row>
    <row r="17" ht="18" customHeight="1" s="149">
      <c r="A17" s="19" t="n">
        <v>14</v>
      </c>
      <c r="B17" s="17" t="inlineStr">
        <is>
          <t>2026-02-06</t>
        </is>
      </c>
      <c r="C17" s="17" t="inlineStr">
        <is>
          <t>Febrero</t>
        </is>
      </c>
      <c r="D17" s="17" t="inlineStr">
        <is>
          <t>BARRA 27</t>
        </is>
      </c>
      <c r="E17" s="17" t="inlineStr">
        <is>
          <t>-</t>
        </is>
      </c>
      <c r="F17" s="54" t="n">
        <v>370</v>
      </c>
      <c r="G17" s="54" t="n">
        <v>0</v>
      </c>
      <c r="H17" s="54" t="n">
        <v>370</v>
      </c>
      <c r="I17" s="17" t="inlineStr">
        <is>
          <t>1 COMPLETO TRADICIONAL ($270) / 1 JUGO NATURAL CHINA ($100)</t>
        </is>
      </c>
      <c r="J17" s="17" t="inlineStr">
        <is>
          <t>EFECTIVO</t>
        </is>
      </c>
    </row>
    <row r="18" ht="18" customHeight="1" s="149">
      <c r="A18" s="15" t="n">
        <v>15</v>
      </c>
      <c r="B18" s="9" t="inlineStr">
        <is>
          <t>2026-02-02</t>
        </is>
      </c>
      <c r="C18" s="9" t="inlineStr">
        <is>
          <t>Febrero</t>
        </is>
      </c>
      <c r="D18" s="9" t="inlineStr">
        <is>
          <t>PETCOLINAS</t>
        </is>
      </c>
      <c r="E18" s="9" t="inlineStr">
        <is>
          <t>-</t>
        </is>
      </c>
      <c r="F18" s="14" t="n">
        <v>0</v>
      </c>
      <c r="G18" s="14" t="n">
        <v>60000</v>
      </c>
      <c r="H18" s="14" t="n">
        <v>60000</v>
      </c>
      <c r="I18" s="9" t="inlineStr">
        <is>
          <t>PAGO ALQUILER LOCAL PLAZA LAS COLINAS</t>
        </is>
      </c>
      <c r="J18" s="9" t="inlineStr">
        <is>
          <t>RESERVAS</t>
        </is>
      </c>
    </row>
    <row r="19" ht="18" customHeight="1" s="149">
      <c r="A19" s="19" t="n">
        <v>16</v>
      </c>
      <c r="B19" s="17" t="inlineStr">
        <is>
          <t>2026-01-31</t>
        </is>
      </c>
      <c r="C19" s="17" t="inlineStr">
        <is>
          <t>Enero</t>
        </is>
      </c>
      <c r="D19" s="17" t="inlineStr">
        <is>
          <t>HIPER PLAZA</t>
        </is>
      </c>
      <c r="E19" s="17" t="inlineStr">
        <is>
          <t>-</t>
        </is>
      </c>
      <c r="F19" s="54" t="n">
        <v>0</v>
      </c>
      <c r="G19" s="54" t="n">
        <v>1735</v>
      </c>
      <c r="H19" s="54" t="n">
        <v>1735</v>
      </c>
      <c r="I19" s="17" t="inlineStr">
        <is>
          <t>(1) MAQUINILLA DE AFEITAR ($435)/ (1) ABEJON NO.WA-2013 ($1090)</t>
        </is>
      </c>
      <c r="J19" s="17" t="inlineStr">
        <is>
          <t>TARJETA</t>
        </is>
      </c>
    </row>
    <row r="20" ht="18" customHeight="1" s="149">
      <c r="A20" s="15" t="n">
        <v>17</v>
      </c>
      <c r="B20" s="9" t="inlineStr">
        <is>
          <t>2026-01-30</t>
        </is>
      </c>
      <c r="C20" s="9" t="inlineStr">
        <is>
          <t>Enero</t>
        </is>
      </c>
      <c r="D20" s="9" t="inlineStr">
        <is>
          <t>MEDIVET</t>
        </is>
      </c>
      <c r="E20" s="9" t="inlineStr">
        <is>
          <t>101030051607</t>
        </is>
      </c>
      <c r="F20" s="14" t="n">
        <v>10909</v>
      </c>
      <c r="G20" s="14" t="n">
        <v>0</v>
      </c>
      <c r="H20" s="14" t="n">
        <v>10909</v>
      </c>
      <c r="I20" s="9" t="inlineStr">
        <is>
          <t>(1) TRAINING PAD 22*23 LARGE 1X30 ($363)/ (1) TRAING PADS 22X23 LARGE 1X50 ($531)/ (1) DOG TOILET GRAMA HH295 ($1917)/ (1) CLINICAL CARE HYPOALLERGIC 473 ML ($775)/ (1) SHED-X SUPLEMENTO DOG 16OZ ($890)/  (1) SHED-X SUPLEMENTO DOG 8 OZ ($535)/ DALDDOG ADULTO RZA PEQUE 3KG ($626) /  (2) DALDDOG CACHORRO RZA PEQUE 3KG ($1362) / (1)DALGOD ADULTO RAZA PEQUE 10,1KG ($1847) / DALCAT MIX 1KG ($275)/ (2) PRIMER COOKIE FIT POLLO BATATA 250G ($596)/ (2) PREMIER COOKIE PEQ COCO AVENA 250G ($596)/ PREMIER COOKIE RAZA PEQUE FRUT ROJO 250G ($596)</t>
        </is>
      </c>
      <c r="J20" s="9" t="inlineStr">
        <is>
          <t>Reservas</t>
        </is>
      </c>
    </row>
    <row r="21" ht="18" customHeight="1" s="149">
      <c r="A21" s="19" t="n">
        <v>18</v>
      </c>
      <c r="B21" s="17" t="inlineStr">
        <is>
          <t>2026-01-24</t>
        </is>
      </c>
      <c r="C21" s="17" t="inlineStr">
        <is>
          <t>Enero</t>
        </is>
      </c>
      <c r="D21" s="17" t="inlineStr">
        <is>
          <t>Colmado Quezada</t>
        </is>
      </c>
      <c r="E21" s="17" t="inlineStr">
        <is>
          <t>-</t>
        </is>
      </c>
      <c r="F21" s="54" t="n">
        <v>120</v>
      </c>
      <c r="G21" s="54" t="n">
        <v>0</v>
      </c>
      <c r="H21" s="54" t="n">
        <v>120</v>
      </c>
      <c r="I21" s="17" t="inlineStr">
        <is>
          <t>Botellon de agua</t>
        </is>
      </c>
      <c r="J21" s="17" t="inlineStr">
        <is>
          <t>efectivo</t>
        </is>
      </c>
    </row>
    <row r="22" ht="18" customHeight="1" s="149">
      <c r="A22" s="15" t="n">
        <v>19</v>
      </c>
      <c r="B22" s="9" t="inlineStr">
        <is>
          <t>2026-01-23</t>
        </is>
      </c>
      <c r="C22" s="9" t="inlineStr">
        <is>
          <t>Enero</t>
        </is>
      </c>
      <c r="D22" s="9" t="inlineStr">
        <is>
          <t>ASEPORC (POEMA)</t>
        </is>
      </c>
      <c r="E22" s="9" t="inlineStr">
        <is>
          <t>-</t>
        </is>
      </c>
      <c r="F22" s="14" t="n">
        <v>4000</v>
      </c>
      <c r="G22" s="14" t="n">
        <v>0</v>
      </c>
      <c r="H22" s="14" t="n">
        <v>4000</v>
      </c>
      <c r="I22" s="9" t="inlineStr">
        <is>
          <t>(1) PERRO ADULTO POLLO PURINA 3KG ($2,000)/ (1) PERRO CACHORRO POLLO PURINA 3KG ($2000)</t>
        </is>
      </c>
      <c r="J22" s="9" t="n"/>
    </row>
    <row r="23" ht="18" customHeight="1" s="149">
      <c r="A23" s="19" t="n">
        <v>20</v>
      </c>
      <c r="B23" s="17" t="inlineStr">
        <is>
          <t>2026-01-20</t>
        </is>
      </c>
      <c r="C23" s="17" t="inlineStr">
        <is>
          <t>Enero</t>
        </is>
      </c>
      <c r="D23" s="17" t="inlineStr">
        <is>
          <t>ESPAVET</t>
        </is>
      </c>
      <c r="E23" s="17" t="inlineStr">
        <is>
          <t>28542</t>
        </is>
      </c>
      <c r="F23" s="54" t="n">
        <v>5140</v>
      </c>
      <c r="G23" s="54" t="n">
        <v>0</v>
      </c>
      <c r="H23" s="54" t="n">
        <v>5140</v>
      </c>
      <c r="I23" s="17" t="inlineStr">
        <is>
          <t>(2) Nexgard Spectra 3,6-7,5kg ($962 c/u) / (2) Nexgard S 2-4kg ($747 c/u) / (2) Nexgard M 4,1-10kg ($861 c/u)</t>
        </is>
      </c>
      <c r="J23" s="17" t="inlineStr">
        <is>
          <t>Reservas</t>
        </is>
      </c>
    </row>
    <row r="24" ht="18" customHeight="1" s="149">
      <c r="A24" s="15" t="n">
        <v>21</v>
      </c>
      <c r="B24" s="9" t="inlineStr">
        <is>
          <t>2026-01-12</t>
        </is>
      </c>
      <c r="C24" s="9" t="inlineStr">
        <is>
          <t>Enero</t>
        </is>
      </c>
      <c r="D24" s="9" t="inlineStr">
        <is>
          <t>Colmado Quezada</t>
        </is>
      </c>
      <c r="E24" s="9" t="inlineStr">
        <is>
          <t>-</t>
        </is>
      </c>
      <c r="F24" s="14" t="n">
        <v>120</v>
      </c>
      <c r="G24" s="14" t="n">
        <v>0</v>
      </c>
      <c r="H24" s="14" t="n">
        <v>120</v>
      </c>
      <c r="I24" s="9" t="inlineStr">
        <is>
          <t>Botellon de agua</t>
        </is>
      </c>
      <c r="J24" s="9" t="inlineStr">
        <is>
          <t>efectivo</t>
        </is>
      </c>
    </row>
    <row r="25" ht="18" customHeight="1" s="149">
      <c r="A25" s="19" t="n">
        <v>22</v>
      </c>
      <c r="B25" s="17" t="inlineStr">
        <is>
          <t>2026-01-10</t>
        </is>
      </c>
      <c r="C25" s="17" t="inlineStr">
        <is>
          <t>Enero</t>
        </is>
      </c>
      <c r="D25" s="17" t="inlineStr">
        <is>
          <t>Claro</t>
        </is>
      </c>
      <c r="E25" s="17" t="inlineStr">
        <is>
          <t>49511877</t>
        </is>
      </c>
      <c r="F25" s="54" t="n">
        <v>0</v>
      </c>
      <c r="G25" s="54" t="n">
        <v>1499</v>
      </c>
      <c r="H25" s="54" t="n">
        <v>1499</v>
      </c>
      <c r="I25" s="17" t="inlineStr">
        <is>
          <t>Servicio multiplan</t>
        </is>
      </c>
      <c r="J25" s="17" t="inlineStr">
        <is>
          <t>Tarjeta</t>
        </is>
      </c>
    </row>
    <row r="26" ht="18" customHeight="1" s="149">
      <c r="A26" s="15" t="n">
        <v>23</v>
      </c>
      <c r="B26" s="9" t="inlineStr">
        <is>
          <t>2025-11-11</t>
        </is>
      </c>
      <c r="C26" s="9" t="inlineStr">
        <is>
          <t>2025-11</t>
        </is>
      </c>
      <c r="D26" s="9" t="inlineStr">
        <is>
          <t>JUMBO</t>
        </is>
      </c>
      <c r="E26" s="9" t="n"/>
      <c r="F26" s="14" t="n">
        <v>19746</v>
      </c>
      <c r="G26" s="14" t="n">
        <v>0</v>
      </c>
      <c r="H26" s="14" t="n">
        <v>19746</v>
      </c>
      <c r="I26" s="9" t="inlineStr">
        <is>
          <t>Mueble blanco consultorio</t>
        </is>
      </c>
      <c r="J26" s="9" t="n"/>
    </row>
    <row r="27" ht="18" customHeight="1" s="149">
      <c r="A27" s="19" t="n">
        <v>24</v>
      </c>
      <c r="B27" s="17" t="inlineStr">
        <is>
          <t>2025-10-29</t>
        </is>
      </c>
      <c r="C27" s="17" t="inlineStr">
        <is>
          <t>2025-10</t>
        </is>
      </c>
      <c r="D27" s="17" t="inlineStr">
        <is>
          <t>SANUT</t>
        </is>
      </c>
      <c r="E27" s="17" t="n"/>
      <c r="F27" s="54" t="n">
        <v>5965</v>
      </c>
      <c r="G27" s="54" t="n">
        <v>0</v>
      </c>
      <c r="H27" s="54" t="n">
        <v>5965</v>
      </c>
      <c r="I27" s="17" t="inlineStr">
        <is>
          <t>TARJETA LEYDELI</t>
        </is>
      </c>
      <c r="J27" s="17" t="n"/>
    </row>
    <row r="28" ht="18" customHeight="1" s="149">
      <c r="A28" s="15" t="n">
        <v>25</v>
      </c>
      <c r="B28" s="9" t="inlineStr">
        <is>
          <t>2025-10-21</t>
        </is>
      </c>
      <c r="C28" s="9" t="inlineStr">
        <is>
          <t>2025-10</t>
        </is>
      </c>
      <c r="D28" s="9" t="inlineStr">
        <is>
          <t>FARMACIA JOSE NEPO</t>
        </is>
      </c>
      <c r="E28" s="9" t="n"/>
      <c r="F28" s="14" t="n">
        <v>336</v>
      </c>
      <c r="G28" s="14" t="n">
        <v>0</v>
      </c>
      <c r="H28" s="14" t="n">
        <v>336</v>
      </c>
      <c r="I28" s="9" t="inlineStr">
        <is>
          <t>CAJA CHICA</t>
        </is>
      </c>
      <c r="J28" s="9" t="n"/>
    </row>
    <row r="29" ht="18" customHeight="1" s="149">
      <c r="A29" s="19" t="n">
        <v>26</v>
      </c>
      <c r="B29" s="17" t="inlineStr">
        <is>
          <t>2025-10-20</t>
        </is>
      </c>
      <c r="C29" s="17" t="inlineStr">
        <is>
          <t>2025-10</t>
        </is>
      </c>
      <c r="D29" s="17" t="inlineStr">
        <is>
          <t>PrintCorp</t>
        </is>
      </c>
      <c r="E29" s="17" t="n"/>
      <c r="F29" s="54" t="n">
        <v>1475</v>
      </c>
      <c r="G29" s="54" t="n">
        <v>0</v>
      </c>
      <c r="H29" s="54" t="n">
        <v>1475</v>
      </c>
      <c r="I29" s="17" t="inlineStr">
        <is>
          <t>CAJA CHICA</t>
        </is>
      </c>
      <c r="J29" s="17" t="n"/>
    </row>
    <row r="30" ht="18" customHeight="1" s="149">
      <c r="A30" s="15" t="n">
        <v>27</v>
      </c>
      <c r="B30" s="9" t="inlineStr">
        <is>
          <t>2025-10-14</t>
        </is>
      </c>
      <c r="C30" s="9" t="inlineStr">
        <is>
          <t>2025-10</t>
        </is>
      </c>
      <c r="D30" s="9" t="inlineStr">
        <is>
          <t>TM COMPUTER</t>
        </is>
      </c>
      <c r="E30" s="9" t="n"/>
      <c r="F30" s="14" t="n">
        <v>550</v>
      </c>
      <c r="G30" s="14" t="n">
        <v>0</v>
      </c>
      <c r="H30" s="14" t="n">
        <v>550</v>
      </c>
      <c r="I30" s="9" t="inlineStr">
        <is>
          <t>TRANSFERENCIA VICTOR IVAN</t>
        </is>
      </c>
      <c r="J30" s="9" t="n"/>
    </row>
    <row r="31" ht="18" customHeight="1" s="149">
      <c r="A31" s="19" t="n">
        <v>28</v>
      </c>
      <c r="B31" s="17" t="inlineStr">
        <is>
          <t>2025-10-07</t>
        </is>
      </c>
      <c r="C31" s="17" t="inlineStr">
        <is>
          <t>2025-10</t>
        </is>
      </c>
      <c r="D31" s="17" t="inlineStr">
        <is>
          <t>JUMBO</t>
        </is>
      </c>
      <c r="E31" s="17" t="n"/>
      <c r="F31" s="54" t="n">
        <v>2139</v>
      </c>
      <c r="G31" s="54" t="n">
        <v>0</v>
      </c>
      <c r="H31" s="54" t="n">
        <v>2139</v>
      </c>
      <c r="I31" s="17" t="inlineStr">
        <is>
          <t>TARJETA LAURA</t>
        </is>
      </c>
      <c r="J31" s="17" t="n"/>
    </row>
    <row r="32" ht="18" customHeight="1" s="149">
      <c r="A32" s="15" t="n">
        <v>29</v>
      </c>
      <c r="B32" s="9" t="inlineStr">
        <is>
          <t>2025-10-03</t>
        </is>
      </c>
      <c r="C32" s="9" t="inlineStr">
        <is>
          <t>2025-10</t>
        </is>
      </c>
      <c r="D32" s="9" t="inlineStr">
        <is>
          <t>LIMPIEZA LOCAL</t>
        </is>
      </c>
      <c r="E32" s="9" t="n"/>
      <c r="F32" s="14" t="n">
        <v>1500</v>
      </c>
      <c r="G32" s="14" t="n">
        <v>0</v>
      </c>
      <c r="H32" s="14" t="n">
        <v>1500</v>
      </c>
      <c r="I32" s="9" t="inlineStr">
        <is>
          <t>CAJA CHICA</t>
        </is>
      </c>
      <c r="J32" s="9" t="n"/>
    </row>
    <row r="33" ht="18" customHeight="1" s="149">
      <c r="A33" s="19" t="n">
        <v>30</v>
      </c>
      <c r="B33" s="17" t="inlineStr">
        <is>
          <t>2025-10-02</t>
        </is>
      </c>
      <c r="C33" s="17" t="inlineStr">
        <is>
          <t>2025-10</t>
        </is>
      </c>
      <c r="D33" s="17" t="inlineStr">
        <is>
          <t>SABRINA DE LA CRUZ</t>
        </is>
      </c>
      <c r="E33" s="17" t="n"/>
      <c r="F33" s="54" t="n">
        <v>4500</v>
      </c>
      <c r="G33" s="54" t="n">
        <v>0</v>
      </c>
      <c r="H33" s="54" t="n">
        <v>4500</v>
      </c>
      <c r="I33" s="17" t="n"/>
      <c r="J33" s="17" t="n"/>
    </row>
    <row r="34" ht="18" customHeight="1" s="149">
      <c r="A34" s="15" t="n">
        <v>31</v>
      </c>
      <c r="B34" s="9" t="inlineStr">
        <is>
          <t>2025-09-29</t>
        </is>
      </c>
      <c r="C34" s="9" t="inlineStr">
        <is>
          <t>2025-09</t>
        </is>
      </c>
      <c r="D34" s="9" t="inlineStr">
        <is>
          <t>COLMADO</t>
        </is>
      </c>
      <c r="E34" s="9" t="n"/>
      <c r="F34" s="14" t="n">
        <v>120</v>
      </c>
      <c r="G34" s="14" t="n">
        <v>0</v>
      </c>
      <c r="H34" s="14" t="n">
        <v>120</v>
      </c>
      <c r="I34" s="9" t="inlineStr">
        <is>
          <t>CAJA CHICA</t>
        </is>
      </c>
      <c r="J34" s="9" t="n"/>
    </row>
    <row r="35" ht="18" customHeight="1" s="149">
      <c r="A35" s="19" t="n">
        <v>32</v>
      </c>
      <c r="B35" s="17" t="inlineStr">
        <is>
          <t>2025-09-29</t>
        </is>
      </c>
      <c r="C35" s="17" t="inlineStr">
        <is>
          <t>2025-09</t>
        </is>
      </c>
      <c r="D35" s="17" t="inlineStr">
        <is>
          <t>ALMACENES UNIDOS</t>
        </is>
      </c>
      <c r="E35" s="17" t="n"/>
      <c r="F35" s="54" t="n">
        <v>4320</v>
      </c>
      <c r="G35" s="54" t="n">
        <v>0</v>
      </c>
      <c r="H35" s="54" t="n">
        <v>4320</v>
      </c>
      <c r="I35" s="17" t="inlineStr">
        <is>
          <t>CAJA CHICA</t>
        </is>
      </c>
      <c r="J35" s="17" t="n"/>
    </row>
    <row r="36" ht="18" customHeight="1" s="149">
      <c r="A36" s="15" t="n">
        <v>33</v>
      </c>
      <c r="B36" s="9" t="inlineStr">
        <is>
          <t>2025-09-25</t>
        </is>
      </c>
      <c r="C36" s="9" t="inlineStr">
        <is>
          <t>2025-09</t>
        </is>
      </c>
      <c r="D36" s="9" t="inlineStr">
        <is>
          <t>FARMACIA JOSE NEPO</t>
        </is>
      </c>
      <c r="E36" s="9" t="n"/>
      <c r="F36" s="14" t="n">
        <v>4775</v>
      </c>
      <c r="G36" s="14" t="n">
        <v>0</v>
      </c>
      <c r="H36" s="14" t="n">
        <v>4775</v>
      </c>
      <c r="I36" s="9" t="inlineStr">
        <is>
          <t>CAJA CHICA</t>
        </is>
      </c>
      <c r="J36" s="9" t="n"/>
    </row>
    <row r="37" ht="18" customHeight="1" s="149">
      <c r="A37" s="19" t="n">
        <v>34</v>
      </c>
      <c r="B37" s="17" t="inlineStr">
        <is>
          <t>2025-09-20</t>
        </is>
      </c>
      <c r="C37" s="17" t="inlineStr">
        <is>
          <t>2025-09</t>
        </is>
      </c>
      <c r="D37" s="17" t="inlineStr">
        <is>
          <t>BARRA 27</t>
        </is>
      </c>
      <c r="E37" s="17" t="n"/>
      <c r="F37" s="54" t="n">
        <v>840</v>
      </c>
      <c r="G37" s="54" t="n">
        <v>0</v>
      </c>
      <c r="H37" s="54" t="n">
        <v>840</v>
      </c>
      <c r="I37" s="17" t="inlineStr">
        <is>
          <t>CAJA CHICA</t>
        </is>
      </c>
      <c r="J37" s="17" t="n"/>
    </row>
    <row r="38" ht="18" customHeight="1" s="149">
      <c r="A38" s="15" t="n">
        <v>35</v>
      </c>
      <c r="B38" s="9" t="inlineStr">
        <is>
          <t>2025-09-20</t>
        </is>
      </c>
      <c r="C38" s="9" t="inlineStr">
        <is>
          <t>2025-09</t>
        </is>
      </c>
      <c r="D38" s="9" t="inlineStr">
        <is>
          <t>ALMACENES UNIDOS</t>
        </is>
      </c>
      <c r="E38" s="9" t="n"/>
      <c r="F38" s="14" t="n">
        <v>2270</v>
      </c>
      <c r="G38" s="14" t="n">
        <v>0</v>
      </c>
      <c r="H38" s="14" t="n">
        <v>2270</v>
      </c>
      <c r="I38" s="9" t="n"/>
      <c r="J38" s="9" t="n"/>
    </row>
    <row r="39" ht="18" customHeight="1" s="149">
      <c r="A39" s="19" t="n">
        <v>36</v>
      </c>
      <c r="B39" s="17" t="inlineStr">
        <is>
          <t>2025-09-20</t>
        </is>
      </c>
      <c r="C39" s="17" t="inlineStr">
        <is>
          <t>2025-09</t>
        </is>
      </c>
      <c r="D39" s="17" t="inlineStr">
        <is>
          <t>ALMACENES UNIDOS</t>
        </is>
      </c>
      <c r="E39" s="17" t="n"/>
      <c r="F39" s="54" t="n">
        <v>9709</v>
      </c>
      <c r="G39" s="54" t="n">
        <v>0</v>
      </c>
      <c r="H39" s="54" t="n">
        <v>9709</v>
      </c>
      <c r="I39" s="17" t="n"/>
      <c r="J39" s="17" t="n"/>
    </row>
    <row r="40" ht="18" customHeight="1" s="149">
      <c r="A40" s="15" t="n">
        <v>37</v>
      </c>
      <c r="B40" s="9" t="inlineStr">
        <is>
          <t>2025-09-20</t>
        </is>
      </c>
      <c r="C40" s="9" t="inlineStr">
        <is>
          <t>2025-09</t>
        </is>
      </c>
      <c r="D40" s="9" t="inlineStr">
        <is>
          <t>LIMPIEZA LOCAL</t>
        </is>
      </c>
      <c r="E40" s="9" t="n"/>
      <c r="F40" s="14" t="n">
        <v>2000</v>
      </c>
      <c r="G40" s="14" t="n">
        <v>0</v>
      </c>
      <c r="H40" s="14" t="n">
        <v>2000</v>
      </c>
      <c r="I40" s="9" t="inlineStr">
        <is>
          <t>CAJA CHICA</t>
        </is>
      </c>
      <c r="J40" s="9" t="n"/>
    </row>
    <row r="41" ht="18" customHeight="1" s="149">
      <c r="A41" s="19" t="n">
        <v>38</v>
      </c>
      <c r="B41" s="17" t="inlineStr">
        <is>
          <t>2025-09-16</t>
        </is>
      </c>
      <c r="C41" s="17" t="inlineStr">
        <is>
          <t>2025-09</t>
        </is>
      </c>
      <c r="D41" s="17" t="inlineStr">
        <is>
          <t>LISTO FERRETERIA</t>
        </is>
      </c>
      <c r="E41" s="17" t="n"/>
      <c r="F41" s="54" t="n">
        <v>2716</v>
      </c>
      <c r="G41" s="54" t="n">
        <v>0</v>
      </c>
      <c r="H41" s="54" t="n">
        <v>2716</v>
      </c>
      <c r="I41" s="17" t="inlineStr">
        <is>
          <t>TARJETA LAURA</t>
        </is>
      </c>
      <c r="J41" s="17" t="n"/>
    </row>
    <row r="42" ht="18" customHeight="1" s="149">
      <c r="A42" s="15" t="n">
        <v>39</v>
      </c>
      <c r="B42" s="9" t="inlineStr">
        <is>
          <t>2025-09-15</t>
        </is>
      </c>
      <c r="C42" s="9" t="inlineStr">
        <is>
          <t>2025-09</t>
        </is>
      </c>
      <c r="D42" s="9" t="inlineStr">
        <is>
          <t>TECNOLOGIA PORTATIL SHOP</t>
        </is>
      </c>
      <c r="E42" s="9" t="n"/>
      <c r="F42" s="14" t="n">
        <v>1895</v>
      </c>
      <c r="G42" s="14" t="n">
        <v>0</v>
      </c>
      <c r="H42" s="14" t="n">
        <v>1895</v>
      </c>
      <c r="I42" s="9" t="inlineStr">
        <is>
          <t>EFECTIVO</t>
        </is>
      </c>
      <c r="J42" s="9" t="n"/>
    </row>
    <row r="43" ht="18" customHeight="1" s="149">
      <c r="A43" s="19" t="n">
        <v>40</v>
      </c>
      <c r="B43" s="17" t="inlineStr">
        <is>
          <t>2025-09-15</t>
        </is>
      </c>
      <c r="C43" s="17" t="inlineStr">
        <is>
          <t>2025-09</t>
        </is>
      </c>
      <c r="D43" s="17" t="inlineStr">
        <is>
          <t>JC GOLDEN SUPPLY</t>
        </is>
      </c>
      <c r="E43" s="17" t="n"/>
      <c r="F43" s="54" t="n">
        <v>275</v>
      </c>
      <c r="G43" s="54" t="n">
        <v>0</v>
      </c>
      <c r="H43" s="54" t="n">
        <v>275</v>
      </c>
      <c r="I43" s="17" t="inlineStr">
        <is>
          <t>DELIVERY (LAURA)</t>
        </is>
      </c>
      <c r="J43" s="17" t="n"/>
    </row>
    <row r="44" ht="18" customHeight="1" s="149">
      <c r="A44" s="15" t="n">
        <v>41</v>
      </c>
      <c r="B44" s="9" t="inlineStr">
        <is>
          <t>2025-09-13</t>
        </is>
      </c>
      <c r="C44" s="9" t="inlineStr">
        <is>
          <t>2025-09</t>
        </is>
      </c>
      <c r="D44" s="9" t="inlineStr">
        <is>
          <t>fARMACIA JOSE NEPO</t>
        </is>
      </c>
      <c r="E44" s="9" t="n"/>
      <c r="F44" s="14" t="n">
        <v>757</v>
      </c>
      <c r="G44" s="14" t="n">
        <v>0</v>
      </c>
      <c r="H44" s="14" t="n">
        <v>757</v>
      </c>
      <c r="I44" s="9" t="inlineStr">
        <is>
          <t>CAJA CHICA</t>
        </is>
      </c>
      <c r="J44" s="9" t="n"/>
    </row>
    <row r="45" ht="18" customHeight="1" s="149">
      <c r="A45" s="19" t="n">
        <v>42</v>
      </c>
      <c r="B45" s="17" t="inlineStr">
        <is>
          <t>2025-09-13</t>
        </is>
      </c>
      <c r="C45" s="17" t="inlineStr">
        <is>
          <t>2025-09</t>
        </is>
      </c>
      <c r="D45" s="17" t="inlineStr">
        <is>
          <t>Ferreteria Ochoa</t>
        </is>
      </c>
      <c r="E45" s="17" t="n"/>
      <c r="F45" s="54" t="n">
        <v>908</v>
      </c>
      <c r="G45" s="54" t="n">
        <v>0</v>
      </c>
      <c r="H45" s="54" t="n">
        <v>908</v>
      </c>
      <c r="I45" s="17" t="n"/>
      <c r="J45" s="17" t="n"/>
    </row>
    <row r="46" ht="18" customHeight="1" s="149">
      <c r="A46" s="15" t="n">
        <v>43</v>
      </c>
      <c r="B46" s="9" t="inlineStr">
        <is>
          <t>2025-09-13</t>
        </is>
      </c>
      <c r="C46" s="9" t="inlineStr">
        <is>
          <t>2025-09</t>
        </is>
      </c>
      <c r="D46" s="9" t="inlineStr">
        <is>
          <t>Ferreteria Ochoa</t>
        </is>
      </c>
      <c r="E46" s="9" t="n"/>
      <c r="F46" s="14" t="n">
        <v>7922</v>
      </c>
      <c r="G46" s="14" t="n">
        <v>0</v>
      </c>
      <c r="H46" s="14" t="n">
        <v>7922</v>
      </c>
      <c r="I46" s="9" t="n"/>
      <c r="J46" s="9" t="n"/>
    </row>
    <row r="47" ht="18" customHeight="1" s="149">
      <c r="A47" s="19" t="n">
        <v>44</v>
      </c>
      <c r="B47" s="17" t="inlineStr">
        <is>
          <t>2025-09-08</t>
        </is>
      </c>
      <c r="C47" s="17" t="inlineStr">
        <is>
          <t>2025-09</t>
        </is>
      </c>
      <c r="D47" s="17" t="inlineStr">
        <is>
          <t>ISMAEL COTES</t>
        </is>
      </c>
      <c r="E47" s="17" t="n"/>
      <c r="F47" s="54" t="n">
        <v>7725</v>
      </c>
      <c r="G47" s="54" t="n">
        <v>0</v>
      </c>
      <c r="H47" s="54" t="n">
        <v>7725</v>
      </c>
      <c r="I47" s="17" t="inlineStr">
        <is>
          <t>SELLOS, STICKERS/ RECETARIOS</t>
        </is>
      </c>
      <c r="J47" s="17" t="n"/>
    </row>
    <row r="48" ht="18" customHeight="1" s="149">
      <c r="A48" s="15" t="n">
        <v>45</v>
      </c>
      <c r="B48" s="9" t="inlineStr">
        <is>
          <t>2025-08-28</t>
        </is>
      </c>
      <c r="C48" s="9" t="inlineStr">
        <is>
          <t>2025-08</t>
        </is>
      </c>
      <c r="D48" s="9" t="inlineStr">
        <is>
          <t>BATISSA</t>
        </is>
      </c>
      <c r="E48" s="9" t="n"/>
      <c r="F48" s="14" t="n">
        <v>1912</v>
      </c>
      <c r="G48" s="14" t="n">
        <v>0</v>
      </c>
      <c r="H48" s="14" t="n">
        <v>1912</v>
      </c>
      <c r="I48" s="9" t="inlineStr">
        <is>
          <t>ABONO UNIFORMES</t>
        </is>
      </c>
      <c r="J48" s="9" t="n"/>
    </row>
    <row r="49" ht="18" customHeight="1" s="149">
      <c r="A49" s="19" t="n">
        <v>46</v>
      </c>
      <c r="B49" s="17" t="inlineStr">
        <is>
          <t>2025-08-28</t>
        </is>
      </c>
      <c r="C49" s="17" t="inlineStr">
        <is>
          <t>2025-08</t>
        </is>
      </c>
      <c r="D49" s="17" t="inlineStr">
        <is>
          <t>Sanut</t>
        </is>
      </c>
      <c r="E49" s="17" t="n"/>
      <c r="F49" s="54" t="n">
        <v>30593</v>
      </c>
      <c r="G49" s="54" t="n">
        <v>0</v>
      </c>
      <c r="H49" s="54" t="n">
        <v>30593</v>
      </c>
      <c r="I49" s="17" t="n"/>
      <c r="J49" s="17" t="n"/>
    </row>
    <row r="50" ht="18" customHeight="1" s="149">
      <c r="A50" s="15" t="n">
        <v>47</v>
      </c>
      <c r="B50" s="9" t="inlineStr">
        <is>
          <t>2025-08-23</t>
        </is>
      </c>
      <c r="C50" s="9" t="inlineStr">
        <is>
          <t>2025-08</t>
        </is>
      </c>
      <c r="D50" s="9" t="inlineStr">
        <is>
          <t>PLAZA PROPICIO</t>
        </is>
      </c>
      <c r="E50" s="9" t="n"/>
      <c r="F50" s="14" t="n">
        <v>240</v>
      </c>
      <c r="G50" s="14" t="n">
        <v>0</v>
      </c>
      <c r="H50" s="14" t="n">
        <v>240</v>
      </c>
      <c r="I50" s="9" t="inlineStr">
        <is>
          <t>LAMPARA B050-020</t>
        </is>
      </c>
      <c r="J50" s="9" t="n"/>
    </row>
    <row r="51" ht="18" customHeight="1" s="149">
      <c r="A51" s="19" t="n">
        <v>48</v>
      </c>
      <c r="B51" s="17" t="inlineStr">
        <is>
          <t>2025-08-17</t>
        </is>
      </c>
      <c r="C51" s="17" t="inlineStr">
        <is>
          <t>2025-08</t>
        </is>
      </c>
      <c r="D51" s="17" t="inlineStr">
        <is>
          <t>Sanut</t>
        </is>
      </c>
      <c r="E51" s="17" t="n"/>
      <c r="F51" s="54" t="n">
        <v>25100</v>
      </c>
      <c r="G51" s="54" t="n">
        <v>0</v>
      </c>
      <c r="H51" s="54" t="n">
        <v>25100</v>
      </c>
      <c r="I51" s="17" t="n"/>
      <c r="J51" s="17" t="n"/>
    </row>
    <row r="52" ht="18" customHeight="1" s="149">
      <c r="A52" s="15" t="n">
        <v>49</v>
      </c>
      <c r="B52" s="9" t="n"/>
      <c r="C52" s="9" t="n"/>
      <c r="D52" s="9" t="inlineStr">
        <is>
          <t>MERCA JUMBO</t>
        </is>
      </c>
      <c r="E52" s="9" t="n"/>
      <c r="F52" s="14" t="n">
        <v>215</v>
      </c>
      <c r="G52" s="14" t="n">
        <v>0</v>
      </c>
      <c r="H52" s="14" t="n">
        <v>215</v>
      </c>
      <c r="I52" s="9" t="inlineStr">
        <is>
          <t>CAJA CHICA</t>
        </is>
      </c>
      <c r="J52" s="9" t="n"/>
    </row>
    <row r="53" ht="18" customHeight="1" s="149">
      <c r="A53" s="19" t="n">
        <v>50</v>
      </c>
      <c r="B53" s="17" t="n"/>
      <c r="C53" s="17" t="n"/>
      <c r="D53" s="17" t="inlineStr">
        <is>
          <t>TOTAL=</t>
        </is>
      </c>
      <c r="E53" s="17" t="n"/>
      <c r="F53" s="54" t="n">
        <v>46232</v>
      </c>
      <c r="G53" s="54" t="n">
        <v>0</v>
      </c>
      <c r="H53" s="54" t="n">
        <v>46232</v>
      </c>
      <c r="I53" s="17" t="n"/>
      <c r="J53" s="17" t="n"/>
    </row>
    <row r="54" ht="18" customHeight="1" s="149">
      <c r="A54" s="15" t="n">
        <v>51</v>
      </c>
      <c r="B54" s="9" t="n"/>
      <c r="C54" s="9" t="inlineStr">
        <is>
          <t>Febrero</t>
        </is>
      </c>
      <c r="D54" s="9" t="inlineStr">
        <is>
          <t>PAGOS CON DINERO PERSONAL=</t>
        </is>
      </c>
      <c r="E54" s="9" t="n"/>
      <c r="F54" s="14" t="n">
        <v>74844</v>
      </c>
      <c r="G54" s="14" t="n">
        <v>0</v>
      </c>
      <c r="H54" s="14" t="n">
        <v>74844</v>
      </c>
      <c r="I54" s="9" t="n"/>
      <c r="J54" s="9" t="n"/>
    </row>
    <row r="55" ht="18" customHeight="1" s="149">
      <c r="A55" s="19" t="n">
        <v>52</v>
      </c>
      <c r="B55" s="17" t="n"/>
      <c r="C55" s="17" t="inlineStr">
        <is>
          <t>Enero</t>
        </is>
      </c>
      <c r="D55" s="17" t="inlineStr">
        <is>
          <t>PAGOS CON DINERO DE PETCOLINAS=</t>
        </is>
      </c>
      <c r="E55" s="17" t="n"/>
      <c r="F55" s="54" t="n">
        <v>20289</v>
      </c>
      <c r="G55" s="54" t="n">
        <v>0</v>
      </c>
      <c r="H55" s="54" t="n">
        <v>20289</v>
      </c>
      <c r="I55" s="17" t="n"/>
      <c r="J55" s="17" t="n"/>
    </row>
    <row r="56" ht="18" customHeight="1" s="149">
      <c r="A56" s="15" t="n">
        <v>53</v>
      </c>
      <c r="B56" s="9" t="n"/>
      <c r="C56" s="9" t="inlineStr">
        <is>
          <t>Enero</t>
        </is>
      </c>
      <c r="D56" s="9" t="inlineStr">
        <is>
          <t>PAGOS CON DINERO PERSONAL=</t>
        </is>
      </c>
      <c r="E56" s="9" t="n"/>
      <c r="F56" s="14" t="n">
        <v>63234</v>
      </c>
      <c r="G56" s="14" t="n">
        <v>0</v>
      </c>
      <c r="H56" s="14" t="n">
        <v>63234</v>
      </c>
      <c r="I56" s="9" t="n"/>
      <c r="J56" s="9" t="n"/>
    </row>
    <row r="57" ht="18" customHeight="1" s="149">
      <c r="A57" s="19" t="n">
        <v>54</v>
      </c>
      <c r="B57" s="17" t="n"/>
      <c r="C57" s="17" t="inlineStr">
        <is>
          <t>Febrero</t>
        </is>
      </c>
      <c r="D57" s="17" t="inlineStr">
        <is>
          <t>PAGOS CON DINERO DE PETCOLINAS=</t>
        </is>
      </c>
      <c r="E57" s="17" t="n"/>
      <c r="F57" s="54" t="n">
        <v>8324</v>
      </c>
      <c r="G57" s="54" t="n">
        <v>0</v>
      </c>
      <c r="H57" s="54" t="n">
        <v>8324</v>
      </c>
      <c r="I57" s="17" t="n"/>
      <c r="J57" s="17" t="n"/>
    </row>
    <row r="58" ht="18" customHeight="1" s="149">
      <c r="A58" s="15" t="n">
        <v>55</v>
      </c>
      <c r="B58" s="9" t="n"/>
      <c r="C58" s="9" t="inlineStr">
        <is>
          <t>Marzo</t>
        </is>
      </c>
      <c r="D58" s="9" t="inlineStr">
        <is>
          <t>PETCOLINAS</t>
        </is>
      </c>
      <c r="E58" s="9" t="inlineStr">
        <is>
          <t>-</t>
        </is>
      </c>
      <c r="F58" s="14" t="n">
        <v>0</v>
      </c>
      <c r="G58" s="14" t="n">
        <v>60000</v>
      </c>
      <c r="H58" s="14" t="n">
        <v>60000</v>
      </c>
      <c r="I58" s="9" t="inlineStr">
        <is>
          <t>PAGO ALQUILER LOCAL PLAZA LAS COLINAS</t>
        </is>
      </c>
      <c r="J58" s="9" t="n"/>
    </row>
    <row r="59" ht="25.5" customHeight="1" s="149">
      <c r="A59" s="37" t="inlineStr">
        <is>
          <t>TOTAL</t>
        </is>
      </c>
      <c r="B59" s="37" t="n"/>
      <c r="C59" s="37" t="n"/>
      <c r="D59" s="37" t="n"/>
      <c r="E59" s="37" t="n"/>
      <c r="F59" s="37" t="n"/>
      <c r="G59" s="37" t="n"/>
      <c r="H59" s="38">
        <f>SUM(H4:H58)</f>
        <v/>
      </c>
      <c r="I59" s="37" t="n"/>
      <c r="J59" s="37" t="n"/>
    </row>
    <row r="60" ht="15.75" customHeight="1" s="149"/>
    <row r="61" ht="15.75" customHeight="1" s="149"/>
    <row r="62" ht="15.75" customHeight="1" s="149"/>
    <row r="63" ht="15.75" customHeight="1" s="149"/>
    <row r="64" ht="15.75" customHeight="1" s="149"/>
    <row r="65" ht="15.75" customHeight="1" s="149"/>
    <row r="66" ht="15.75" customHeight="1" s="149"/>
    <row r="67" ht="15.75" customHeight="1" s="149"/>
    <row r="68" ht="15.75" customHeight="1" s="149"/>
    <row r="69" ht="15.75" customHeight="1" s="149"/>
    <row r="70" ht="15.75" customHeight="1" s="149"/>
    <row r="71" ht="15.75" customHeight="1" s="149"/>
    <row r="72" ht="15.75" customHeight="1" s="149"/>
    <row r="73" ht="15.75" customHeight="1" s="149"/>
    <row r="74" ht="15.75" customHeight="1" s="149"/>
    <row r="75" ht="15.75" customHeight="1" s="149"/>
    <row r="76" ht="15.75" customHeight="1" s="149"/>
    <row r="77" ht="15.75" customHeight="1" s="149"/>
    <row r="78" ht="15.75" customHeight="1" s="149"/>
    <row r="79" ht="15.75" customHeight="1" s="149"/>
    <row r="80" ht="15.75" customHeight="1" s="149"/>
    <row r="81" ht="15.75" customHeight="1" s="149"/>
    <row r="82" ht="15.75" customHeight="1" s="149"/>
    <row r="83" ht="15.75" customHeight="1" s="149"/>
    <row r="84" ht="15.75" customHeight="1" s="149"/>
    <row r="85" ht="15.75" customHeight="1" s="149"/>
    <row r="86" ht="15.75" customHeight="1" s="149"/>
    <row r="87" ht="15.75" customHeight="1" s="149"/>
    <row r="88" ht="15.75" customHeight="1" s="149"/>
    <row r="89" ht="15.75" customHeight="1" s="149"/>
    <row r="90" ht="15.75" customHeight="1" s="149"/>
    <row r="91" ht="15.75" customHeight="1" s="149"/>
    <row r="92" ht="15.75" customHeight="1" s="149"/>
    <row r="93" ht="15.75" customHeight="1" s="149"/>
    <row r="94" ht="15.75" customHeight="1" s="149"/>
    <row r="95" ht="15.75" customHeight="1" s="149"/>
    <row r="96" ht="15.75" customHeight="1" s="149"/>
    <row r="97" ht="15.75" customHeight="1" s="149"/>
    <row r="98" ht="15.75" customHeight="1" s="149"/>
    <row r="99" ht="15.75" customHeight="1" s="149"/>
    <row r="100" ht="15.75" customHeight="1" s="149"/>
    <row r="101" ht="15.75" customHeight="1" s="149"/>
    <row r="102" ht="15.75" customHeight="1" s="149"/>
    <row r="103" ht="15.75" customHeight="1" s="149"/>
    <row r="104" ht="15.75" customHeight="1" s="149"/>
    <row r="105" ht="15.75" customHeight="1" s="149"/>
    <row r="106" ht="15.75" customHeight="1" s="149"/>
    <row r="107" ht="15.75" customHeight="1" s="149"/>
    <row r="108" ht="15.75" customHeight="1" s="149"/>
    <row r="109" ht="15.75" customHeight="1" s="149"/>
    <row r="110" ht="15.75" customHeight="1" s="149"/>
    <row r="111" ht="15.75" customHeight="1" s="149"/>
    <row r="112" ht="15.75" customHeight="1" s="149"/>
    <row r="113" ht="15.75" customHeight="1" s="149"/>
    <row r="114" ht="15.75" customHeight="1" s="149"/>
    <row r="115" ht="15.75" customHeight="1" s="149"/>
    <row r="116" ht="15.75" customHeight="1" s="149"/>
    <row r="117" ht="15.75" customHeight="1" s="149"/>
    <row r="118" ht="15.75" customHeight="1" s="149"/>
    <row r="119" ht="15.75" customHeight="1" s="149"/>
    <row r="120" ht="15.75" customHeight="1" s="149"/>
    <row r="121" ht="15.75" customHeight="1" s="149"/>
    <row r="122" ht="15.75" customHeight="1" s="149"/>
    <row r="123" ht="15.75" customHeight="1" s="149"/>
    <row r="124" ht="15.75" customHeight="1" s="149"/>
    <row r="125" ht="15.75" customHeight="1" s="149"/>
    <row r="126" ht="15.75" customHeight="1" s="149"/>
    <row r="127" ht="15.75" customHeight="1" s="149"/>
    <row r="128" ht="15.75" customHeight="1" s="149"/>
    <row r="129" ht="15.75" customHeight="1" s="149"/>
    <row r="130" ht="15.75" customHeight="1" s="149"/>
    <row r="131" ht="15.75" customHeight="1" s="149"/>
    <row r="132" ht="15.75" customHeight="1" s="149"/>
    <row r="133" ht="15.75" customHeight="1" s="149"/>
    <row r="134" ht="15.75" customHeight="1" s="149"/>
    <row r="135" ht="15.75" customHeight="1" s="149"/>
    <row r="136" ht="15.75" customHeight="1" s="149"/>
    <row r="137" ht="15.75" customHeight="1" s="149"/>
    <row r="138" ht="15.75" customHeight="1" s="149"/>
    <row r="139" ht="15.75" customHeight="1" s="149"/>
    <row r="140" ht="15.75" customHeight="1" s="149"/>
    <row r="141" ht="15.75" customHeight="1" s="149"/>
    <row r="142" ht="15.75" customHeight="1" s="149"/>
    <row r="143" ht="15.75" customHeight="1" s="149"/>
    <row r="144" ht="15.75" customHeight="1" s="149"/>
    <row r="145" ht="15.75" customHeight="1" s="149"/>
    <row r="146" ht="15.75" customHeight="1" s="149"/>
    <row r="147" ht="15.75" customHeight="1" s="149"/>
    <row r="148" ht="15.75" customHeight="1" s="149"/>
    <row r="149" ht="15.75" customHeight="1" s="149"/>
    <row r="150" ht="15.75" customHeight="1" s="149"/>
    <row r="151" ht="15.75" customHeight="1" s="149"/>
    <row r="152" ht="15.75" customHeight="1" s="149"/>
    <row r="153" ht="15.75" customHeight="1" s="149"/>
    <row r="154" ht="15.75" customHeight="1" s="149"/>
    <row r="155" ht="15.75" customHeight="1" s="149"/>
    <row r="156" ht="15.75" customHeight="1" s="149"/>
    <row r="157" ht="15.75" customHeight="1" s="149"/>
    <row r="158" ht="15.75" customHeight="1" s="149"/>
    <row r="159" ht="15.75" customHeight="1" s="149"/>
    <row r="160" ht="15.75" customHeight="1" s="149"/>
    <row r="161" ht="15.75" customHeight="1" s="149"/>
    <row r="162" ht="15.75" customHeight="1" s="149"/>
    <row r="163" ht="15.75" customHeight="1" s="149"/>
    <row r="164" ht="15.75" customHeight="1" s="149"/>
    <row r="165" ht="15.75" customHeight="1" s="149"/>
    <row r="166" ht="15.75" customHeight="1" s="149"/>
    <row r="167" ht="15.75" customHeight="1" s="149"/>
    <row r="168" ht="15.75" customHeight="1" s="149"/>
    <row r="169" ht="15.75" customHeight="1" s="149"/>
    <row r="170" ht="15.75" customHeight="1" s="149"/>
    <row r="171" ht="15.75" customHeight="1" s="149"/>
    <row r="172" ht="15.75" customHeight="1" s="149"/>
    <row r="173" ht="15.75" customHeight="1" s="149"/>
    <row r="174" ht="15.75" customHeight="1" s="149"/>
    <row r="175" ht="15.75" customHeight="1" s="149"/>
    <row r="176" ht="15.75" customHeight="1" s="149"/>
    <row r="177" ht="15.75" customHeight="1" s="149"/>
    <row r="178" ht="15.75" customHeight="1" s="149"/>
    <row r="179" ht="15.75" customHeight="1" s="149"/>
    <row r="180" ht="15.75" customHeight="1" s="149"/>
    <row r="181" ht="15.75" customHeight="1" s="149"/>
    <row r="182" ht="15.75" customHeight="1" s="149"/>
    <row r="183" ht="15.75" customHeight="1" s="149"/>
    <row r="184" ht="15.75" customHeight="1" s="149"/>
    <row r="185" ht="15.75" customHeight="1" s="149"/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2">
    <mergeCell ref="A1:J1"/>
    <mergeCell ref="A2:J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tabColor rgb="FF059669"/>
    <outlinePr summaryBelow="1" summaryRight="1"/>
    <pageSetUpPr/>
  </sheetPr>
  <dimension ref="A1:K124"/>
  <sheetViews>
    <sheetView showGridLines="0" workbookViewId="0">
      <pane ySplit="5" topLeftCell="A6" activePane="bottomLeft" state="frozen"/>
      <selection pane="bottomLeft" activeCell="B7" sqref="B7"/>
    </sheetView>
  </sheetViews>
  <sheetFormatPr baseColWidth="8" defaultColWidth="14.43" defaultRowHeight="15" customHeight="1"/>
  <cols>
    <col width="13" customWidth="1" style="149" min="1" max="1"/>
    <col width="24" customWidth="1" style="149" min="2" max="2"/>
    <col width="42" customWidth="1" style="149" min="3" max="3"/>
    <col width="22" customWidth="1" style="149" min="4" max="4"/>
    <col width="10" customWidth="1" style="149" min="5" max="5"/>
    <col width="18" customWidth="1" style="149" min="6" max="7"/>
    <col width="14" customWidth="1" style="149" min="8" max="8"/>
    <col width="12" customWidth="1" style="149" min="9" max="9"/>
    <col width="46" customWidth="1" style="149" min="10" max="10"/>
    <col width="7" customWidth="1" style="149" min="11" max="11"/>
    <col width="8.710000000000001" customWidth="1" style="149" min="12" max="26"/>
  </cols>
  <sheetData>
    <row r="1" ht="42" customHeight="1" s="149">
      <c r="A1" s="150" t="inlineStr">
        <is>
          <t>🐾  PetColinas — INVENTARIO Y CATÁLOGO DE PRODUCTOS</t>
        </is>
      </c>
    </row>
    <row r="2" ht="19.5" customHeight="1" s="149">
      <c r="A2" s="151" t="inlineStr">
        <is>
          <t>Compras 2026 (41 items) · Catálogo 2025 (74 productos) · Inventario completo</t>
        </is>
      </c>
    </row>
    <row r="4" ht="24" customHeight="1" s="149">
      <c r="A4" s="159" t="inlineStr">
        <is>
          <t xml:space="preserve">  📦 COMPRAS DE INVENTARIO 2026 — Productos recibidos por fecha</t>
        </is>
      </c>
    </row>
    <row r="5" ht="27.75" customHeight="1" s="149">
      <c r="A5" s="40" t="inlineStr">
        <is>
          <t>FECHA</t>
        </is>
      </c>
      <c r="B5" s="40" t="inlineStr">
        <is>
          <t>PROVEEDOR</t>
        </is>
      </c>
      <c r="C5" s="40" t="inlineStr">
        <is>
          <t>PRODUCTO / DESCRIPCIÓN</t>
        </is>
      </c>
      <c r="D5" s="40" t="inlineStr">
        <is>
          <t>CATEGORÍA</t>
        </is>
      </c>
      <c r="E5" s="40" t="inlineStr">
        <is>
          <t>CANTIDAD</t>
        </is>
      </c>
      <c r="F5" s="40" t="inlineStr">
        <is>
          <t>PRECIO UNIT. RD$</t>
        </is>
      </c>
      <c r="G5" s="40" t="inlineStr">
        <is>
          <t>TOTAL RD$</t>
        </is>
      </c>
      <c r="H5" s="40" t="inlineStr">
        <is>
          <t>AÑO</t>
        </is>
      </c>
    </row>
    <row r="6" ht="18" customHeight="1" s="149">
      <c r="A6" s="27" t="inlineStr">
        <is>
          <t>2026-01-20</t>
        </is>
      </c>
      <c r="B6" s="9" t="inlineStr">
        <is>
          <t>ESPAVET</t>
        </is>
      </c>
      <c r="C6" s="9" t="inlineStr">
        <is>
          <t>NG Spectra S 3.6 - 7.5 kg</t>
        </is>
      </c>
      <c r="D6" s="9" t="inlineStr">
        <is>
          <t>Farmacia/Insumo</t>
        </is>
      </c>
      <c r="E6" s="15" t="n">
        <v>2</v>
      </c>
      <c r="F6" s="41" t="n">
        <v>962</v>
      </c>
      <c r="G6" s="41" t="n">
        <v>1924</v>
      </c>
      <c r="H6" s="9" t="inlineStr">
        <is>
          <t>2026</t>
        </is>
      </c>
    </row>
    <row r="7" ht="18" customHeight="1" s="149">
      <c r="A7" s="32" t="inlineStr">
        <is>
          <t>2026-01-20</t>
        </is>
      </c>
      <c r="B7" s="17" t="inlineStr">
        <is>
          <t>ESPAVET</t>
        </is>
      </c>
      <c r="C7" s="17" t="inlineStr">
        <is>
          <t>NEXGARD S 2-4 kg</t>
        </is>
      </c>
      <c r="D7" s="17" t="inlineStr">
        <is>
          <t>Farmacia/Insumo</t>
        </is>
      </c>
      <c r="E7" s="19" t="n">
        <v>2</v>
      </c>
      <c r="F7" s="42" t="n">
        <v>747</v>
      </c>
      <c r="G7" s="42" t="n">
        <v>1494</v>
      </c>
      <c r="H7" s="17" t="inlineStr">
        <is>
          <t>2026</t>
        </is>
      </c>
    </row>
    <row r="8" ht="18" customHeight="1" s="149">
      <c r="A8" s="27" t="inlineStr">
        <is>
          <t>2026-01-20</t>
        </is>
      </c>
      <c r="B8" s="9" t="inlineStr">
        <is>
          <t>ESPAVET</t>
        </is>
      </c>
      <c r="C8" s="9" t="inlineStr">
        <is>
          <t>NEXGARD M 4.1-10 kg</t>
        </is>
      </c>
      <c r="D8" s="9" t="inlineStr">
        <is>
          <t>Farmacia/Insumo</t>
        </is>
      </c>
      <c r="E8" s="15" t="n">
        <v>2</v>
      </c>
      <c r="F8" s="41" t="n">
        <v>861</v>
      </c>
      <c r="G8" s="41" t="n">
        <v>1722</v>
      </c>
      <c r="H8" s="9" t="inlineStr">
        <is>
          <t>2026</t>
        </is>
      </c>
    </row>
    <row r="9" ht="18" customHeight="1" s="149">
      <c r="A9" s="32" t="inlineStr">
        <is>
          <t>2026-01-30</t>
        </is>
      </c>
      <c r="B9" s="17" t="inlineStr">
        <is>
          <t>MEDIVET</t>
        </is>
      </c>
      <c r="C9" s="17" t="inlineStr">
        <is>
          <t>Premier Cookie Rza Peq Frut Rojo 250g</t>
        </is>
      </c>
      <c r="D9" s="17" t="inlineStr">
        <is>
          <t>Farmacia/Insumo</t>
        </is>
      </c>
      <c r="E9" s="19" t="n">
        <v>2</v>
      </c>
      <c r="F9" s="42" t="n">
        <v>252.54</v>
      </c>
      <c r="G9" s="42" t="n">
        <v>596</v>
      </c>
      <c r="H9" s="17" t="inlineStr">
        <is>
          <t>2026</t>
        </is>
      </c>
    </row>
    <row r="10" ht="18" customHeight="1" s="149">
      <c r="A10" s="27" t="inlineStr">
        <is>
          <t>2026-01-30</t>
        </is>
      </c>
      <c r="B10" s="9" t="inlineStr">
        <is>
          <t>MEDIVET</t>
        </is>
      </c>
      <c r="C10" s="9" t="inlineStr">
        <is>
          <t>Premier Cookie Rza Peq Coco Avena 250g</t>
        </is>
      </c>
      <c r="D10" s="9" t="inlineStr">
        <is>
          <t>Farmacia/Insumo</t>
        </is>
      </c>
      <c r="E10" s="15" t="n">
        <v>2</v>
      </c>
      <c r="F10" s="41" t="n">
        <v>252.54</v>
      </c>
      <c r="G10" s="41" t="n">
        <v>596</v>
      </c>
      <c r="H10" s="9" t="inlineStr">
        <is>
          <t>2026</t>
        </is>
      </c>
    </row>
    <row r="11" ht="18" customHeight="1" s="149">
      <c r="A11" s="32" t="inlineStr">
        <is>
          <t>2026-01-30</t>
        </is>
      </c>
      <c r="B11" s="17" t="inlineStr">
        <is>
          <t>MEDIVET</t>
        </is>
      </c>
      <c r="C11" s="17" t="inlineStr">
        <is>
          <t>Premier Cookie Fit Pollo Batata 250g</t>
        </is>
      </c>
      <c r="D11" s="17" t="inlineStr">
        <is>
          <t>Farmacia/Insumo</t>
        </is>
      </c>
      <c r="E11" s="19" t="n">
        <v>2</v>
      </c>
      <c r="F11" s="42" t="n">
        <v>252.54</v>
      </c>
      <c r="G11" s="42" t="n">
        <v>596</v>
      </c>
      <c r="H11" s="17" t="inlineStr">
        <is>
          <t>2026</t>
        </is>
      </c>
    </row>
    <row r="12" ht="18" customHeight="1" s="149">
      <c r="A12" s="27" t="inlineStr">
        <is>
          <t>2026-01-30</t>
        </is>
      </c>
      <c r="B12" s="9" t="inlineStr">
        <is>
          <t>MEDIVET</t>
        </is>
      </c>
      <c r="C12" s="9" t="inlineStr">
        <is>
          <t>Dalcat Mix 1kg</t>
        </is>
      </c>
      <c r="D12" s="9" t="inlineStr">
        <is>
          <t>Farmacia/Insumo</t>
        </is>
      </c>
      <c r="E12" s="15" t="n">
        <v>1</v>
      </c>
      <c r="F12" s="41" t="n">
        <v>233.05</v>
      </c>
      <c r="G12" s="41" t="n">
        <v>275</v>
      </c>
      <c r="H12" s="9" t="inlineStr">
        <is>
          <t>2026</t>
        </is>
      </c>
    </row>
    <row r="13" ht="18" customHeight="1" s="149">
      <c r="A13" s="32" t="inlineStr">
        <is>
          <t>2026-01-30</t>
        </is>
      </c>
      <c r="B13" s="17" t="inlineStr">
        <is>
          <t>MEDIVET</t>
        </is>
      </c>
      <c r="C13" s="17" t="inlineStr">
        <is>
          <t>Daldog Adulto Rza Peq 10.1kg</t>
        </is>
      </c>
      <c r="D13" s="17" t="inlineStr">
        <is>
          <t>Farmacia/Insumo</t>
        </is>
      </c>
      <c r="E13" s="19" t="n">
        <v>1</v>
      </c>
      <c r="F13" s="42" t="n">
        <v>1565.25</v>
      </c>
      <c r="G13" s="42" t="n">
        <v>1847</v>
      </c>
      <c r="H13" s="17" t="inlineStr">
        <is>
          <t>2026</t>
        </is>
      </c>
    </row>
    <row r="14" ht="18" customHeight="1" s="149">
      <c r="A14" s="27" t="inlineStr">
        <is>
          <t>2026-01-30</t>
        </is>
      </c>
      <c r="B14" s="9" t="inlineStr">
        <is>
          <t>MEDIVET</t>
        </is>
      </c>
      <c r="C14" s="9" t="inlineStr">
        <is>
          <t>Daldog Cachorro Rza Peq 3kg</t>
        </is>
      </c>
      <c r="D14" s="9" t="inlineStr">
        <is>
          <t>Farmacia/Insumo</t>
        </is>
      </c>
      <c r="E14" s="15" t="n">
        <v>2</v>
      </c>
      <c r="F14" s="41" t="n">
        <v>577.12</v>
      </c>
      <c r="G14" s="41" t="n">
        <v>1362</v>
      </c>
      <c r="H14" s="9" t="inlineStr">
        <is>
          <t>2026</t>
        </is>
      </c>
    </row>
    <row r="15" ht="18" customHeight="1" s="149">
      <c r="A15" s="32" t="inlineStr">
        <is>
          <t>2026-01-30</t>
        </is>
      </c>
      <c r="B15" s="17" t="inlineStr">
        <is>
          <t>MEDIVET</t>
        </is>
      </c>
      <c r="C15" s="17" t="inlineStr">
        <is>
          <t>Shed-X Suplemento Dog 8oz</t>
        </is>
      </c>
      <c r="D15" s="17" t="inlineStr">
        <is>
          <t>Farmacia/Insumo</t>
        </is>
      </c>
      <c r="E15" s="19" t="n">
        <v>1</v>
      </c>
      <c r="F15" s="42" t="n">
        <v>535</v>
      </c>
      <c r="G15" s="42" t="n">
        <v>535</v>
      </c>
      <c r="H15" s="17" t="inlineStr">
        <is>
          <t>2026</t>
        </is>
      </c>
    </row>
    <row r="16" ht="18" customHeight="1" s="149">
      <c r="A16" s="27" t="inlineStr">
        <is>
          <t>2026-01-30</t>
        </is>
      </c>
      <c r="B16" s="9" t="inlineStr">
        <is>
          <t>MEDIVET</t>
        </is>
      </c>
      <c r="C16" s="9" t="inlineStr">
        <is>
          <t>Shed-X Suplemento Dog 16oz</t>
        </is>
      </c>
      <c r="D16" s="9" t="inlineStr">
        <is>
          <t>Farmacia/Insumo</t>
        </is>
      </c>
      <c r="E16" s="15" t="n">
        <v>1</v>
      </c>
      <c r="F16" s="41" t="n">
        <v>890</v>
      </c>
      <c r="G16" s="41" t="n">
        <v>890</v>
      </c>
      <c r="H16" s="9" t="inlineStr">
        <is>
          <t>2026</t>
        </is>
      </c>
    </row>
    <row r="17" ht="18" customHeight="1" s="149">
      <c r="A17" s="32" t="inlineStr">
        <is>
          <t>2026-01-30</t>
        </is>
      </c>
      <c r="B17" s="17" t="inlineStr">
        <is>
          <t>MEDIVET</t>
        </is>
      </c>
      <c r="C17" s="17" t="inlineStr">
        <is>
          <t>VF Clinical Care Hypoallergenic 473ml</t>
        </is>
      </c>
      <c r="D17" s="17" t="inlineStr">
        <is>
          <t>Farmacia/Insumo</t>
        </is>
      </c>
      <c r="E17" s="19" t="n">
        <v>1</v>
      </c>
      <c r="F17" s="42" t="n">
        <v>656.78</v>
      </c>
      <c r="G17" s="42" t="n">
        <v>775</v>
      </c>
      <c r="H17" s="17" t="inlineStr">
        <is>
          <t>2026</t>
        </is>
      </c>
    </row>
    <row r="18" ht="18" customHeight="1" s="149">
      <c r="A18" s="27" t="inlineStr">
        <is>
          <t>2026-01-30</t>
        </is>
      </c>
      <c r="B18" s="9" t="inlineStr">
        <is>
          <t>MEDIVET</t>
        </is>
      </c>
      <c r="C18" s="9" t="inlineStr">
        <is>
          <t>PB Dog Toilet Grama HH295</t>
        </is>
      </c>
      <c r="D18" s="9" t="inlineStr">
        <is>
          <t>Farmacia/Insumo</t>
        </is>
      </c>
      <c r="E18" s="15" t="n">
        <v>1</v>
      </c>
      <c r="F18" s="41" t="n">
        <v>1624.58</v>
      </c>
      <c r="G18" s="41" t="n">
        <v>1917</v>
      </c>
      <c r="H18" s="9" t="inlineStr">
        <is>
          <t>2026</t>
        </is>
      </c>
    </row>
    <row r="19" ht="18" customHeight="1" s="149">
      <c r="A19" s="32" t="inlineStr">
        <is>
          <t>2026-01-30</t>
        </is>
      </c>
      <c r="B19" s="17" t="inlineStr">
        <is>
          <t>MEDIVET</t>
        </is>
      </c>
      <c r="C19" s="17" t="inlineStr">
        <is>
          <t>Training Pads 22x23 Large 1x50</t>
        </is>
      </c>
      <c r="D19" s="17" t="inlineStr">
        <is>
          <t>Farmacia/Insumo</t>
        </is>
      </c>
      <c r="E19" s="19" t="n">
        <v>1</v>
      </c>
      <c r="F19" s="42" t="n">
        <v>450</v>
      </c>
      <c r="G19" s="42" t="n">
        <v>531</v>
      </c>
      <c r="H19" s="17" t="inlineStr">
        <is>
          <t>2026</t>
        </is>
      </c>
    </row>
    <row r="20" ht="18" customHeight="1" s="149">
      <c r="A20" s="27" t="inlineStr">
        <is>
          <t>2026-01-30</t>
        </is>
      </c>
      <c r="B20" s="9" t="inlineStr">
        <is>
          <t>MEDIVET</t>
        </is>
      </c>
      <c r="C20" s="9" t="inlineStr">
        <is>
          <t>Training Pads 22x23 Large 1x30</t>
        </is>
      </c>
      <c r="D20" s="9" t="inlineStr">
        <is>
          <t>Farmacia/Insumo</t>
        </is>
      </c>
      <c r="E20" s="15" t="n">
        <v>1</v>
      </c>
      <c r="F20" s="41" t="n">
        <v>308.16</v>
      </c>
      <c r="G20" s="41" t="n">
        <v>363.63</v>
      </c>
      <c r="H20" s="9" t="inlineStr">
        <is>
          <t>2026</t>
        </is>
      </c>
    </row>
    <row r="21" ht="18" customHeight="1" s="149">
      <c r="A21" s="32" t="inlineStr">
        <is>
          <t>2026-01-30</t>
        </is>
      </c>
      <c r="B21" s="17" t="inlineStr">
        <is>
          <t>MEDIVET</t>
        </is>
      </c>
      <c r="C21" s="17" t="inlineStr">
        <is>
          <t>Daldog Adulto Rza Peq 3kg</t>
        </is>
      </c>
      <c r="D21" s="17" t="inlineStr">
        <is>
          <t>Farmacia/Insumo</t>
        </is>
      </c>
      <c r="E21" s="19" t="n">
        <v>1</v>
      </c>
      <c r="F21" s="42" t="n">
        <v>530.51</v>
      </c>
      <c r="G21" s="42" t="n">
        <v>626</v>
      </c>
      <c r="H21" s="17" t="inlineStr">
        <is>
          <t>2026</t>
        </is>
      </c>
    </row>
    <row r="22" ht="18" customHeight="1" s="149">
      <c r="A22" s="27" t="inlineStr">
        <is>
          <t>2026-02-13</t>
        </is>
      </c>
      <c r="B22" s="9" t="inlineStr">
        <is>
          <t>ESPAVET</t>
        </is>
      </c>
      <c r="C22" s="9" t="inlineStr">
        <is>
          <t>Frontline Plus 0-10 kg</t>
        </is>
      </c>
      <c r="D22" s="9" t="inlineStr">
        <is>
          <t>Farmacia/Insumo</t>
        </is>
      </c>
      <c r="E22" s="15" t="n">
        <v>1</v>
      </c>
      <c r="F22" s="41" t="n">
        <v>491</v>
      </c>
      <c r="G22" s="41" t="n">
        <v>491</v>
      </c>
      <c r="H22" s="9" t="inlineStr">
        <is>
          <t>2026</t>
        </is>
      </c>
    </row>
    <row r="23" ht="18" customHeight="1" s="149">
      <c r="A23" s="32" t="inlineStr">
        <is>
          <t>2026-02-13</t>
        </is>
      </c>
      <c r="B23" s="17" t="inlineStr">
        <is>
          <t>ESPAVET</t>
        </is>
      </c>
      <c r="C23" s="17" t="inlineStr">
        <is>
          <t>NG Spectra L 15.1 - 30 kg</t>
        </is>
      </c>
      <c r="D23" s="17" t="inlineStr">
        <is>
          <t>Farmacia/Insumo</t>
        </is>
      </c>
      <c r="E23" s="19" t="n">
        <v>2</v>
      </c>
      <c r="F23" s="42" t="n">
        <v>1275</v>
      </c>
      <c r="G23" s="42" t="n">
        <v>2550</v>
      </c>
      <c r="H23" s="17" t="inlineStr">
        <is>
          <t>2026</t>
        </is>
      </c>
    </row>
    <row r="24" ht="18" customHeight="1" s="149">
      <c r="A24" s="27" t="inlineStr">
        <is>
          <t>2026-02-13</t>
        </is>
      </c>
      <c r="B24" s="9" t="inlineStr">
        <is>
          <t>ESPAVET</t>
        </is>
      </c>
      <c r="C24" s="9" t="inlineStr">
        <is>
          <t>Frontline Plus 10-20 kg</t>
        </is>
      </c>
      <c r="D24" s="9" t="inlineStr">
        <is>
          <t>Farmacia/Insumo</t>
        </is>
      </c>
      <c r="E24" s="15" t="n">
        <v>1</v>
      </c>
      <c r="F24" s="41" t="n">
        <v>560</v>
      </c>
      <c r="G24" s="41" t="n">
        <v>560</v>
      </c>
      <c r="H24" s="9" t="inlineStr">
        <is>
          <t>2026</t>
        </is>
      </c>
    </row>
    <row r="25" ht="18" customHeight="1" s="149">
      <c r="A25" s="32" t="inlineStr">
        <is>
          <t>2026-02-13</t>
        </is>
      </c>
      <c r="B25" s="17" t="inlineStr">
        <is>
          <t>ESPAVET</t>
        </is>
      </c>
      <c r="C25" s="17" t="inlineStr">
        <is>
          <t>NG Spectra S 3.6 - 7.5 kg</t>
        </is>
      </c>
      <c r="D25" s="17" t="inlineStr">
        <is>
          <t>Farmacia/Insumo</t>
        </is>
      </c>
      <c r="E25" s="19" t="n">
        <v>2</v>
      </c>
      <c r="F25" s="42" t="n">
        <v>962</v>
      </c>
      <c r="G25" s="42" t="n">
        <v>1924</v>
      </c>
      <c r="H25" s="17" t="inlineStr">
        <is>
          <t>2026</t>
        </is>
      </c>
    </row>
    <row r="26" ht="18" customHeight="1" s="149">
      <c r="A26" s="27" t="inlineStr">
        <is>
          <t>2026-02-13</t>
        </is>
      </c>
      <c r="B26" s="9" t="inlineStr">
        <is>
          <t>ESPAVET</t>
        </is>
      </c>
      <c r="C26" s="9" t="inlineStr">
        <is>
          <t>NG Spectra M 7.6 - 15 kg</t>
        </is>
      </c>
      <c r="D26" s="9" t="inlineStr">
        <is>
          <t>Farmacia/Insumo</t>
        </is>
      </c>
      <c r="E26" s="15" t="n">
        <v>2</v>
      </c>
      <c r="F26" s="41" t="n">
        <v>1099</v>
      </c>
      <c r="G26" s="41" t="n">
        <v>2198</v>
      </c>
      <c r="H26" s="9" t="inlineStr">
        <is>
          <t>2026</t>
        </is>
      </c>
    </row>
    <row r="27" ht="18" customHeight="1" s="149">
      <c r="A27" s="32" t="inlineStr">
        <is>
          <t>2026-02-16</t>
        </is>
      </c>
      <c r="B27" s="17" t="inlineStr">
        <is>
          <t>ESPAVET</t>
        </is>
      </c>
      <c r="C27" s="17" t="inlineStr">
        <is>
          <t>Frontline Plus Gato</t>
        </is>
      </c>
      <c r="D27" s="17" t="inlineStr">
        <is>
          <t>Farmacia/Insumo</t>
        </is>
      </c>
      <c r="E27" s="19" t="n">
        <v>2</v>
      </c>
      <c r="F27" s="42" t="n">
        <v>571</v>
      </c>
      <c r="G27" s="42" t="n">
        <v>1142</v>
      </c>
      <c r="H27" s="17" t="inlineStr">
        <is>
          <t>2026</t>
        </is>
      </c>
    </row>
    <row r="28" ht="18" customHeight="1" s="149">
      <c r="A28" s="29" t="inlineStr">
        <is>
          <t>2026-02-26</t>
        </is>
      </c>
      <c r="B28" s="9" t="inlineStr">
        <is>
          <t>Casa Rodriguez</t>
        </is>
      </c>
      <c r="C28" s="9" t="inlineStr">
        <is>
          <t>Shampoo Sensible Animal 16 Fl. Oz</t>
        </is>
      </c>
      <c r="D28" s="9" t="inlineStr">
        <is>
          <t>Grooming/Tienda</t>
        </is>
      </c>
      <c r="E28" s="15" t="n">
        <v>12</v>
      </c>
      <c r="F28" s="41" t="n">
        <v>3389.83</v>
      </c>
      <c r="G28" s="41" t="n">
        <v>4000</v>
      </c>
      <c r="H28" s="9" t="inlineStr">
        <is>
          <t>2026</t>
        </is>
      </c>
    </row>
    <row r="29" ht="18" customHeight="1" s="149">
      <c r="A29" s="32" t="inlineStr">
        <is>
          <t>2026-02-26</t>
        </is>
      </c>
      <c r="B29" s="17" t="inlineStr">
        <is>
          <t>Casa Rodriguez</t>
        </is>
      </c>
      <c r="C29" s="17" t="inlineStr">
        <is>
          <t>Wipe Limpiador Animal 100Pcs</t>
        </is>
      </c>
      <c r="D29" s="17" t="inlineStr">
        <is>
          <t>Grooming/Tienda</t>
        </is>
      </c>
      <c r="E29" s="19" t="n">
        <v>12</v>
      </c>
      <c r="F29" s="42" t="n">
        <v>2542.37</v>
      </c>
      <c r="G29" s="42" t="n">
        <v>3000</v>
      </c>
      <c r="H29" s="17" t="inlineStr">
        <is>
          <t>2026</t>
        </is>
      </c>
    </row>
    <row r="30" ht="18" customHeight="1" s="149">
      <c r="A30" s="27" t="inlineStr">
        <is>
          <t>2026-03-02</t>
        </is>
      </c>
      <c r="B30" s="9" t="inlineStr">
        <is>
          <t>ESPAVET</t>
        </is>
      </c>
      <c r="C30" s="9" t="inlineStr">
        <is>
          <t>NG Spectra S 3.6 - 7.5 kg</t>
        </is>
      </c>
      <c r="D30" s="9" t="inlineStr">
        <is>
          <t>Farmacia/Insumo</t>
        </is>
      </c>
      <c r="E30" s="15" t="n">
        <v>4</v>
      </c>
      <c r="F30" s="41" t="n">
        <v>962</v>
      </c>
      <c r="G30" s="41" t="n">
        <v>3848</v>
      </c>
      <c r="H30" s="9" t="inlineStr">
        <is>
          <t>2026</t>
        </is>
      </c>
    </row>
    <row r="31" ht="18" customHeight="1" s="149">
      <c r="A31" s="32" t="inlineStr">
        <is>
          <t>2026-03-02</t>
        </is>
      </c>
      <c r="B31" s="17" t="inlineStr">
        <is>
          <t>ESPAVET</t>
        </is>
      </c>
      <c r="C31" s="17" t="inlineStr">
        <is>
          <t>NG Spectra M 7.6 - 15 kg</t>
        </is>
      </c>
      <c r="D31" s="17" t="inlineStr">
        <is>
          <t>Farmacia/Insumo</t>
        </is>
      </c>
      <c r="E31" s="19" t="n">
        <v>4</v>
      </c>
      <c r="F31" s="42" t="n">
        <v>1099</v>
      </c>
      <c r="G31" s="42" t="n">
        <v>4396</v>
      </c>
      <c r="H31" s="17" t="inlineStr">
        <is>
          <t>2026</t>
        </is>
      </c>
    </row>
    <row r="32" ht="18" customHeight="1" s="149">
      <c r="A32" s="29" t="inlineStr">
        <is>
          <t>2026-03-04</t>
        </is>
      </c>
      <c r="B32" s="9" t="inlineStr">
        <is>
          <t>SUPROCOMG MULTISERVICIOS</t>
        </is>
      </c>
      <c r="C32" s="9" t="inlineStr">
        <is>
          <t>RESMA DE BOND 20 NAVIGATOR 500/1</t>
        </is>
      </c>
      <c r="D32" s="9" t="inlineStr">
        <is>
          <t>Grooming/Tienda</t>
        </is>
      </c>
      <c r="E32" s="15" t="n">
        <v>2</v>
      </c>
      <c r="F32" s="41" t="n">
        <v>325</v>
      </c>
      <c r="G32" s="41" t="n">
        <v>650</v>
      </c>
      <c r="H32" s="9" t="inlineStr">
        <is>
          <t>2026</t>
        </is>
      </c>
    </row>
    <row r="33" ht="18" customHeight="1" s="149">
      <c r="A33" s="32" t="inlineStr">
        <is>
          <t>2026-03-04</t>
        </is>
      </c>
      <c r="B33" s="17" t="inlineStr">
        <is>
          <t>SUPROCOMG MULTISERVICIOS</t>
        </is>
      </c>
      <c r="C33" s="17" t="inlineStr">
        <is>
          <t>FOLDER MANILA 8 1/2 X 11 HAMSELL</t>
        </is>
      </c>
      <c r="D33" s="17" t="inlineStr">
        <is>
          <t>Grooming/Tienda</t>
        </is>
      </c>
      <c r="E33" s="19" t="n">
        <v>2</v>
      </c>
      <c r="F33" s="42" t="n">
        <v>450</v>
      </c>
      <c r="G33" s="42" t="n">
        <v>900</v>
      </c>
      <c r="H33" s="17" t="inlineStr">
        <is>
          <t>2026</t>
        </is>
      </c>
    </row>
    <row r="34" ht="18" customHeight="1" s="149">
      <c r="A34" s="29" t="inlineStr">
        <is>
          <t>2026-03-04</t>
        </is>
      </c>
      <c r="B34" s="9" t="inlineStr">
        <is>
          <t>SUPROCOMG MULTISERVICIOS</t>
        </is>
      </c>
      <c r="C34" s="9" t="inlineStr">
        <is>
          <t>RESMA DE PAPEL BOND 20 8 1/2 X 14 CHAMBRILL</t>
        </is>
      </c>
      <c r="D34" s="9" t="inlineStr">
        <is>
          <t>Grooming/Tienda</t>
        </is>
      </c>
      <c r="E34" s="15" t="n">
        <v>1</v>
      </c>
      <c r="F34" s="41" t="n">
        <v>550</v>
      </c>
      <c r="G34" s="41" t="n">
        <v>550</v>
      </c>
      <c r="H34" s="9" t="inlineStr">
        <is>
          <t>2026</t>
        </is>
      </c>
    </row>
    <row r="35" ht="18" customHeight="1" s="149">
      <c r="A35" s="32" t="inlineStr">
        <is>
          <t>2026-03-04</t>
        </is>
      </c>
      <c r="B35" s="17" t="inlineStr">
        <is>
          <t>DIPROMEX</t>
        </is>
      </c>
      <c r="C35" s="17" t="inlineStr">
        <is>
          <t>TC TR Spray Desenredante 16oz</t>
        </is>
      </c>
      <c r="D35" s="17" t="inlineStr">
        <is>
          <t>Farmacia/Insumo</t>
        </is>
      </c>
      <c r="E35" s="19" t="n">
        <v>1</v>
      </c>
      <c r="F35" s="42" t="n">
        <v>635.59</v>
      </c>
      <c r="G35" s="42" t="n">
        <v>750</v>
      </c>
      <c r="H35" s="17" t="inlineStr">
        <is>
          <t>2026</t>
        </is>
      </c>
    </row>
    <row r="36" ht="18" customHeight="1" s="149">
      <c r="A36" s="27" t="inlineStr">
        <is>
          <t>2026-03-04</t>
        </is>
      </c>
      <c r="B36" s="9" t="inlineStr">
        <is>
          <t>DIPROMEX</t>
        </is>
      </c>
      <c r="C36" s="9" t="inlineStr">
        <is>
          <t>Epi-Soothe 250 ml</t>
        </is>
      </c>
      <c r="D36" s="9" t="inlineStr">
        <is>
          <t>Farmacia/Insumo</t>
        </is>
      </c>
      <c r="E36" s="15" t="n">
        <v>1</v>
      </c>
      <c r="F36" s="41" t="n">
        <v>830.51</v>
      </c>
      <c r="G36" s="41" t="n">
        <v>980</v>
      </c>
      <c r="H36" s="9" t="inlineStr">
        <is>
          <t>2026</t>
        </is>
      </c>
    </row>
    <row r="37" ht="18" customHeight="1" s="149">
      <c r="A37" s="32" t="inlineStr">
        <is>
          <t>2026-03-04</t>
        </is>
      </c>
      <c r="B37" s="17" t="inlineStr">
        <is>
          <t>DIPROMEX</t>
        </is>
      </c>
      <c r="C37" s="17" t="inlineStr">
        <is>
          <t>Sebolytic 250 ml</t>
        </is>
      </c>
      <c r="D37" s="17" t="inlineStr">
        <is>
          <t>Farmacia/Insumo</t>
        </is>
      </c>
      <c r="E37" s="19" t="n">
        <v>1</v>
      </c>
      <c r="F37" s="42" t="n">
        <v>898.3099999999999</v>
      </c>
      <c r="G37" s="42" t="n">
        <v>1060</v>
      </c>
      <c r="H37" s="17" t="inlineStr">
        <is>
          <t>2026</t>
        </is>
      </c>
    </row>
    <row r="38" ht="18" customHeight="1" s="149">
      <c r="A38" s="27" t="inlineStr">
        <is>
          <t>2026-03-04</t>
        </is>
      </c>
      <c r="B38" s="9" t="inlineStr">
        <is>
          <t>DIPROMEX</t>
        </is>
      </c>
      <c r="C38" s="9" t="inlineStr">
        <is>
          <t>Rilexine 600mg (Caja 14 Tab)</t>
        </is>
      </c>
      <c r="D38" s="9" t="inlineStr">
        <is>
          <t>Farmacia/Insumo</t>
        </is>
      </c>
      <c r="E38" s="15" t="n">
        <v>1</v>
      </c>
      <c r="F38" s="41" t="n">
        <v>1340</v>
      </c>
      <c r="G38" s="41" t="n">
        <v>1340</v>
      </c>
      <c r="H38" s="9" t="inlineStr">
        <is>
          <t>2026</t>
        </is>
      </c>
    </row>
    <row r="39" ht="18" customHeight="1" s="149">
      <c r="A39" s="32" t="inlineStr">
        <is>
          <t>2026-03-04</t>
        </is>
      </c>
      <c r="B39" s="17" t="inlineStr">
        <is>
          <t>DIPROMEX</t>
        </is>
      </c>
      <c r="C39" s="17" t="inlineStr">
        <is>
          <t>Allermyl 250 ml</t>
        </is>
      </c>
      <c r="D39" s="17" t="inlineStr">
        <is>
          <t>Farmacia/Insumo</t>
        </is>
      </c>
      <c r="E39" s="19" t="n">
        <v>1</v>
      </c>
      <c r="F39" s="42" t="n">
        <v>898.3099999999999</v>
      </c>
      <c r="G39" s="42" t="n">
        <v>1060</v>
      </c>
      <c r="H39" s="17" t="inlineStr">
        <is>
          <t>2026</t>
        </is>
      </c>
    </row>
    <row r="40" ht="18" customHeight="1" s="149">
      <c r="A40" s="27" t="inlineStr">
        <is>
          <t>2026-03-04</t>
        </is>
      </c>
      <c r="B40" s="9" t="inlineStr">
        <is>
          <t>DIPROMEX</t>
        </is>
      </c>
      <c r="C40" s="9" t="inlineStr">
        <is>
          <t>Easotic (Unidad)</t>
        </is>
      </c>
      <c r="D40" s="9" t="inlineStr">
        <is>
          <t>Farmacia/Insumo</t>
        </is>
      </c>
      <c r="E40" s="15" t="n">
        <v>1</v>
      </c>
      <c r="F40" s="41" t="n">
        <v>1350</v>
      </c>
      <c r="G40" s="41" t="n">
        <v>1350</v>
      </c>
      <c r="H40" s="9" t="inlineStr">
        <is>
          <t>2026</t>
        </is>
      </c>
    </row>
    <row r="41" ht="18" customHeight="1" s="149">
      <c r="A41" s="32" t="inlineStr">
        <is>
          <t>2026-03-04</t>
        </is>
      </c>
      <c r="B41" s="17" t="inlineStr">
        <is>
          <t>DIPROMEX</t>
        </is>
      </c>
      <c r="C41" s="17" t="inlineStr">
        <is>
          <t>Rilexine 300mg (Caja 14 Tab)</t>
        </is>
      </c>
      <c r="D41" s="17" t="inlineStr">
        <is>
          <t>Farmacia/Insumo</t>
        </is>
      </c>
      <c r="E41" s="19" t="n">
        <v>1</v>
      </c>
      <c r="F41" s="42" t="n">
        <v>1055</v>
      </c>
      <c r="G41" s="42" t="n">
        <v>1055</v>
      </c>
      <c r="H41" s="17" t="inlineStr">
        <is>
          <t>2026</t>
        </is>
      </c>
    </row>
    <row r="42" ht="18" customHeight="1" s="149">
      <c r="A42" s="27" t="inlineStr">
        <is>
          <t>2026-03-04</t>
        </is>
      </c>
      <c r="B42" s="9" t="inlineStr">
        <is>
          <t>DIPROMEX</t>
        </is>
      </c>
      <c r="C42" s="9" t="inlineStr">
        <is>
          <t>Rilexine 75mg (Caja 14 Tab)</t>
        </is>
      </c>
      <c r="D42" s="9" t="inlineStr">
        <is>
          <t>Farmacia/Insumo</t>
        </is>
      </c>
      <c r="E42" s="15" t="n">
        <v>1</v>
      </c>
      <c r="F42" s="41" t="n">
        <v>845</v>
      </c>
      <c r="G42" s="41" t="n">
        <v>845</v>
      </c>
      <c r="H42" s="9" t="inlineStr">
        <is>
          <t>2026</t>
        </is>
      </c>
    </row>
    <row r="43" ht="18" customHeight="1" s="149">
      <c r="A43" s="32" t="inlineStr">
        <is>
          <t>2026-03-04</t>
        </is>
      </c>
      <c r="B43" s="17" t="inlineStr">
        <is>
          <t>DIPROMEX</t>
        </is>
      </c>
      <c r="C43" s="17" t="inlineStr">
        <is>
          <t>Epiotic SIS 100 ml</t>
        </is>
      </c>
      <c r="D43" s="17" t="inlineStr">
        <is>
          <t>Farmacia/Insumo</t>
        </is>
      </c>
      <c r="E43" s="19" t="n">
        <v>1</v>
      </c>
      <c r="F43" s="42" t="n">
        <v>555</v>
      </c>
      <c r="G43" s="42" t="n">
        <v>555</v>
      </c>
      <c r="H43" s="17" t="inlineStr">
        <is>
          <t>2026</t>
        </is>
      </c>
    </row>
    <row r="44" ht="18" customHeight="1" s="149">
      <c r="A44" s="29" t="inlineStr">
        <is>
          <t>2026-03-04</t>
        </is>
      </c>
      <c r="B44" s="9" t="inlineStr">
        <is>
          <t>SUPROCOMG MULTISERVICIOS</t>
        </is>
      </c>
      <c r="C44" s="9" t="inlineStr">
        <is>
          <t>VASOS 4 ONZ PAPER PLUS TEMPORADA 50/1</t>
        </is>
      </c>
      <c r="D44" s="9" t="inlineStr">
        <is>
          <t>Grooming/Tienda</t>
        </is>
      </c>
      <c r="E44" s="15" t="n">
        <v>2</v>
      </c>
      <c r="F44" s="41" t="n">
        <v>200</v>
      </c>
      <c r="G44" s="41" t="n">
        <v>400</v>
      </c>
      <c r="H44" s="9" t="inlineStr">
        <is>
          <t>2026</t>
        </is>
      </c>
    </row>
    <row r="45" ht="18" customHeight="1" s="149">
      <c r="A45" s="32" t="inlineStr">
        <is>
          <t>2026-03-04</t>
        </is>
      </c>
      <c r="B45" s="17" t="inlineStr">
        <is>
          <t>DIPROMEX</t>
        </is>
      </c>
      <c r="C45" s="17" t="inlineStr">
        <is>
          <t>Hexadene Spherulites 250 ml</t>
        </is>
      </c>
      <c r="D45" s="17" t="inlineStr">
        <is>
          <t>Farmacia/Insumo</t>
        </is>
      </c>
      <c r="E45" s="19" t="n">
        <v>1</v>
      </c>
      <c r="F45" s="42" t="n">
        <v>898.3099999999999</v>
      </c>
      <c r="G45" s="42" t="n">
        <v>1060</v>
      </c>
      <c r="H45" s="17" t="inlineStr">
        <is>
          <t>2026</t>
        </is>
      </c>
    </row>
    <row r="46" ht="18" customHeight="1" s="149">
      <c r="A46" s="29" t="inlineStr">
        <is>
          <t>2026-03-04</t>
        </is>
      </c>
      <c r="B46" s="9" t="inlineStr">
        <is>
          <t>SUPROCOMG MULTISERVICIOS</t>
        </is>
      </c>
      <c r="C46" s="9" t="inlineStr">
        <is>
          <t>PAPEL BOND 20 8 1/2 CARTA PRETINTADO 100/1</t>
        </is>
      </c>
      <c r="D46" s="9" t="inlineStr">
        <is>
          <t>Grooming/Tienda</t>
        </is>
      </c>
      <c r="E46" s="15" t="n">
        <v>0.5</v>
      </c>
      <c r="F46" s="41" t="n">
        <v>300</v>
      </c>
      <c r="G46" s="41" t="n">
        <v>150</v>
      </c>
      <c r="H46" s="9" t="inlineStr">
        <is>
          <t>2026</t>
        </is>
      </c>
    </row>
    <row r="47" ht="25.5" customHeight="1" s="149">
      <c r="A47" s="43" t="inlineStr">
        <is>
          <t>TOTAL COMPRAS 2026</t>
        </is>
      </c>
      <c r="B47" s="43" t="n"/>
      <c r="C47" s="43" t="n"/>
      <c r="D47" s="43" t="n"/>
      <c r="E47" s="43" t="n"/>
      <c r="F47" s="43" t="n"/>
      <c r="G47" s="44">
        <f>SUM(G6:G46)</f>
        <v/>
      </c>
      <c r="H47" s="43" t="n"/>
    </row>
    <row r="48" ht="15.75" customHeight="1" s="149"/>
    <row r="49" ht="24" customHeight="1" s="149">
      <c r="A49" s="160" t="inlineStr">
        <is>
          <t xml:space="preserve">  🏪 CATÁLOGO DE PRODUCTOS — Alimentos · Farmacia · Antiparasitarios</t>
        </is>
      </c>
    </row>
    <row r="50" ht="27.75" customHeight="1" s="149">
      <c r="A50" s="13" t="inlineStr">
        <is>
          <t>PROVEEDOR</t>
        </is>
      </c>
      <c r="B50" s="13" t="inlineStr">
        <is>
          <t>CATEGORÍA</t>
        </is>
      </c>
      <c r="C50" s="13" t="inlineStr">
        <is>
          <t>PRODUCTO</t>
        </is>
      </c>
      <c r="D50" s="13" t="inlineStr">
        <is>
          <t>ESPECIE</t>
        </is>
      </c>
      <c r="E50" s="13" t="inlineStr">
        <is>
          <t>STOCK</t>
        </is>
      </c>
      <c r="F50" s="13" t="inlineStr">
        <is>
          <t>PRECIO COMPRA RD$</t>
        </is>
      </c>
      <c r="G50" s="13" t="inlineStr">
        <is>
          <t>PRECIO VENTA RD$</t>
        </is>
      </c>
      <c r="H50" s="13" t="inlineStr">
        <is>
          <t>MARGEN RD$</t>
        </is>
      </c>
      <c r="I50" s="13" t="inlineStr">
        <is>
          <t>% MARGEN</t>
        </is>
      </c>
      <c r="J50" s="13" t="inlineStr">
        <is>
          <t>DESCRIPCIÓN</t>
        </is>
      </c>
      <c r="K50" s="13" t="inlineStr">
        <is>
          <t>AÑO</t>
        </is>
      </c>
    </row>
    <row r="51" ht="18" customHeight="1" s="149">
      <c r="A51" s="9" t="inlineStr">
        <is>
          <t>SANUT</t>
        </is>
      </c>
      <c r="B51" s="9" t="inlineStr">
        <is>
          <t>ALIMENTO</t>
        </is>
      </c>
      <c r="C51" s="9" t="inlineStr">
        <is>
          <t>BELCANDO DINNER 4KG (PERRO)</t>
        </is>
      </c>
      <c r="D51" s="9" t="inlineStr">
        <is>
          <t>PERRO</t>
        </is>
      </c>
      <c r="E51" s="15" t="n">
        <v>1</v>
      </c>
      <c r="F51" s="41" t="n">
        <v>1210</v>
      </c>
      <c r="G51" s="41" t="n">
        <v>1512</v>
      </c>
      <c r="H51" s="41" t="n">
        <v>302.5</v>
      </c>
      <c r="I51" s="16" t="n">
        <v>0.2</v>
      </c>
      <c r="J51" s="9" t="n"/>
      <c r="K51" s="9" t="inlineStr">
        <is>
          <t>2025</t>
        </is>
      </c>
    </row>
    <row r="52" ht="18" customHeight="1" s="149">
      <c r="A52" s="17" t="inlineStr">
        <is>
          <t>SANUT</t>
        </is>
      </c>
      <c r="B52" s="17" t="inlineStr">
        <is>
          <t>ALIMENTO</t>
        </is>
      </c>
      <c r="C52" s="17" t="inlineStr">
        <is>
          <t>BELCANDO GF POULTRY 4KG (PERRO)</t>
        </is>
      </c>
      <c r="D52" s="17" t="inlineStr">
        <is>
          <t>PERRO</t>
        </is>
      </c>
      <c r="E52" s="19" t="n">
        <v>4</v>
      </c>
      <c r="F52" s="42" t="n">
        <v>1.728</v>
      </c>
      <c r="G52" s="42" t="n">
        <v>2160</v>
      </c>
      <c r="H52" s="42" t="n">
        <v>367.25</v>
      </c>
      <c r="I52" s="20" t="n">
        <v>0.17</v>
      </c>
      <c r="J52" s="17" t="inlineStr">
        <is>
          <t>80 % (Ave 60 %, pescado 15 %, gelatina 5 %) NO: CE</t>
        </is>
      </c>
      <c r="K52" s="17" t="inlineStr">
        <is>
          <t>2025</t>
        </is>
      </c>
    </row>
    <row r="53" ht="18" customHeight="1" s="149">
      <c r="A53" s="9" t="inlineStr">
        <is>
          <t>SANUT</t>
        </is>
      </c>
      <c r="B53" s="9" t="inlineStr">
        <is>
          <t>ALIMENTO</t>
        </is>
      </c>
      <c r="C53" s="9" t="inlineStr">
        <is>
          <t>BELCANDO LAMB &amp; RICE (PERRO)</t>
        </is>
      </c>
      <c r="D53" s="9" t="inlineStr">
        <is>
          <t>PERRO</t>
        </is>
      </c>
      <c r="E53" s="15" t="n">
        <v>2</v>
      </c>
      <c r="F53" s="41" t="n">
        <v>1469</v>
      </c>
      <c r="G53" s="41" t="n">
        <v>1836.25</v>
      </c>
      <c r="H53" s="41" t="n">
        <v>367.25</v>
      </c>
      <c r="I53" s="16" t="n">
        <v>0.2</v>
      </c>
      <c r="J53" s="9" t="inlineStr">
        <is>
          <t>80 % (Cordero 35 %, ave 25 %, pescado 10 %, gelati</t>
        </is>
      </c>
      <c r="K53" s="9" t="inlineStr">
        <is>
          <t>2025</t>
        </is>
      </c>
    </row>
    <row r="54" ht="18" customHeight="1" s="149">
      <c r="A54" s="17" t="inlineStr">
        <is>
          <t>SANUT</t>
        </is>
      </c>
      <c r="B54" s="17" t="inlineStr">
        <is>
          <t>ALIMENTO</t>
        </is>
      </c>
      <c r="C54" s="17" t="inlineStr">
        <is>
          <t>BELCANDO GF BEEF 4 KG (PERRO)</t>
        </is>
      </c>
      <c r="D54" s="17" t="inlineStr">
        <is>
          <t>PERRO</t>
        </is>
      </c>
      <c r="E54" s="19" t="n">
        <v>2</v>
      </c>
      <c r="F54" s="42" t="n">
        <v>1723</v>
      </c>
      <c r="G54" s="42" t="n">
        <v>2153.75</v>
      </c>
      <c r="H54" s="42" t="n">
        <v>430.75</v>
      </c>
      <c r="I54" s="20" t="n">
        <v>0.2</v>
      </c>
      <c r="J54" s="17" t="inlineStr">
        <is>
          <t>75 % (Ternera 60 %, pescado 15 %)</t>
        </is>
      </c>
      <c r="K54" s="17" t="inlineStr">
        <is>
          <t>2025</t>
        </is>
      </c>
    </row>
    <row r="55" ht="18" customHeight="1" s="149">
      <c r="A55" s="9" t="inlineStr">
        <is>
          <t>SANUT</t>
        </is>
      </c>
      <c r="B55" s="9" t="inlineStr">
        <is>
          <t>ALIMENTO</t>
        </is>
      </c>
      <c r="C55" s="9" t="inlineStr">
        <is>
          <t>ACANA FREE-RUN POULTRY 4,5LB (PERRO)</t>
        </is>
      </c>
      <c r="D55" s="9" t="inlineStr">
        <is>
          <t>PERRO</t>
        </is>
      </c>
      <c r="E55" s="15" t="n">
        <v>1</v>
      </c>
      <c r="F55" s="41" t="n">
        <v>1883</v>
      </c>
      <c r="G55" s="41" t="n">
        <v>2353.75</v>
      </c>
      <c r="H55" s="41" t="n">
        <v>470.75</v>
      </c>
      <c r="I55" s="16" t="n">
        <v>0.2</v>
      </c>
      <c r="J55" s="9" t="inlineStr">
        <is>
          <t>pollo fresco, pavo libre y huevos sin jaulas con u</t>
        </is>
      </c>
      <c r="K55" s="9" t="inlineStr">
        <is>
          <t>2025</t>
        </is>
      </c>
    </row>
    <row r="56" ht="18" customHeight="1" s="149">
      <c r="A56" s="17" t="inlineStr">
        <is>
          <t>SANUT</t>
        </is>
      </c>
      <c r="B56" s="17" t="inlineStr">
        <is>
          <t>ALIMENTO</t>
        </is>
      </c>
      <c r="C56" s="17" t="inlineStr">
        <is>
          <t>ACANA PUPPY RECIPE 4 LB (PERRO)</t>
        </is>
      </c>
      <c r="D56" s="17" t="inlineStr">
        <is>
          <t>PERRO</t>
        </is>
      </c>
      <c r="E56" s="19" t="n">
        <v>2</v>
      </c>
      <c r="F56" s="42" t="n">
        <v>2045</v>
      </c>
      <c r="G56" s="42" t="n">
        <v>2556.25</v>
      </c>
      <c r="H56" s="42" t="n">
        <v>511.25</v>
      </c>
      <c r="I56" s="20" t="n">
        <v>0.2</v>
      </c>
      <c r="J56" s="17" t="inlineStr">
        <is>
          <t>POLLO, PESCADO, ETC</t>
        </is>
      </c>
      <c r="K56" s="17" t="inlineStr">
        <is>
          <t>2025</t>
        </is>
      </c>
    </row>
    <row r="57" ht="18" customHeight="1" s="149">
      <c r="A57" s="9" t="inlineStr">
        <is>
          <t>SANUT</t>
        </is>
      </c>
      <c r="B57" s="9" t="inlineStr">
        <is>
          <t>ALIMENTO</t>
        </is>
      </c>
      <c r="C57" s="9" t="inlineStr">
        <is>
          <t>LEONARDO KITTEN GF 300G (GATO)</t>
        </is>
      </c>
      <c r="D57" s="9" t="inlineStr">
        <is>
          <t>GATO</t>
        </is>
      </c>
      <c r="E57" s="15" t="n">
        <v>4</v>
      </c>
      <c r="F57" s="41" t="n">
        <v>201.29</v>
      </c>
      <c r="G57" s="41" t="n">
        <v>300</v>
      </c>
      <c r="H57" s="41" t="n">
        <v>50.3</v>
      </c>
      <c r="I57" s="16" t="n">
        <v>0.168</v>
      </c>
      <c r="J57" s="9" t="inlineStr">
        <is>
          <t>POLLO</t>
        </is>
      </c>
      <c r="K57" s="9" t="inlineStr">
        <is>
          <t>2025</t>
        </is>
      </c>
    </row>
    <row r="58" ht="18" customHeight="1" s="149">
      <c r="A58" s="17" t="inlineStr">
        <is>
          <t>SANUT</t>
        </is>
      </c>
      <c r="B58" s="17" t="inlineStr">
        <is>
          <t>ALIMENTO</t>
        </is>
      </c>
      <c r="C58" s="17" t="inlineStr">
        <is>
          <t>LEONARDO FRESH SALMON 250G (GATO)</t>
        </is>
      </c>
      <c r="D58" s="17" t="inlineStr">
        <is>
          <t>GATO</t>
        </is>
      </c>
      <c r="E58" s="19" t="n">
        <v>4</v>
      </c>
      <c r="F58" s="42" t="n">
        <v>432.2</v>
      </c>
      <c r="G58" s="42" t="n">
        <v>540.25</v>
      </c>
      <c r="H58" s="42" t="n">
        <v>108.05</v>
      </c>
      <c r="I58" s="20" t="n">
        <v>0.2</v>
      </c>
      <c r="J58" s="17" t="inlineStr">
        <is>
          <t>SALMON</t>
        </is>
      </c>
      <c r="K58" s="17" t="inlineStr">
        <is>
          <t>2025</t>
        </is>
      </c>
    </row>
    <row r="59" ht="18" customHeight="1" s="149">
      <c r="A59" s="9" t="inlineStr">
        <is>
          <t>SANUT</t>
        </is>
      </c>
      <c r="B59" s="9" t="inlineStr">
        <is>
          <t>ALIMENTO</t>
        </is>
      </c>
      <c r="C59" s="9" t="inlineStr">
        <is>
          <t>LEONARDO GF MAXI 300G (GATO)</t>
        </is>
      </c>
      <c r="D59" s="9" t="inlineStr">
        <is>
          <t>GATO</t>
        </is>
      </c>
      <c r="E59" s="15" t="n">
        <v>3</v>
      </c>
      <c r="F59" s="41" t="n">
        <v>207.46</v>
      </c>
      <c r="G59" s="41" t="n">
        <v>259</v>
      </c>
      <c r="H59" s="41" t="n">
        <v>51.8</v>
      </c>
      <c r="I59" s="16" t="n">
        <v>0.2</v>
      </c>
      <c r="J59" s="9" t="inlineStr">
        <is>
          <t>POLLO</t>
        </is>
      </c>
      <c r="K59" s="9" t="inlineStr">
        <is>
          <t>2025</t>
        </is>
      </c>
    </row>
    <row r="60" ht="18" customHeight="1" s="149">
      <c r="A60" s="17" t="inlineStr">
        <is>
          <t>SANUT</t>
        </is>
      </c>
      <c r="B60" s="17" t="inlineStr">
        <is>
          <t>ALIMENTO</t>
        </is>
      </c>
      <c r="C60" s="17" t="inlineStr">
        <is>
          <t>ALICAN FUNDA 4LBS (PERRO)</t>
        </is>
      </c>
      <c r="D60" s="17" t="inlineStr">
        <is>
          <t>PERRO</t>
        </is>
      </c>
      <c r="E60" s="19" t="n">
        <v>2</v>
      </c>
      <c r="F60" s="42" t="n">
        <v>507.12</v>
      </c>
      <c r="G60" s="42" t="n">
        <v>633.33</v>
      </c>
      <c r="H60" s="42" t="n">
        <v>126.78</v>
      </c>
      <c r="I60" s="20" t="n">
        <v>0.2</v>
      </c>
      <c r="J60" s="17" t="inlineStr">
        <is>
          <t>POLLO</t>
        </is>
      </c>
      <c r="K60" s="17" t="inlineStr">
        <is>
          <t>2025</t>
        </is>
      </c>
    </row>
    <row r="61" ht="18" customHeight="1" s="149">
      <c r="A61" s="9" t="inlineStr">
        <is>
          <t>SANUT</t>
        </is>
      </c>
      <c r="B61" s="9" t="inlineStr">
        <is>
          <t>ALIMENTO</t>
        </is>
      </c>
      <c r="C61" s="9" t="inlineStr">
        <is>
          <t>CANOVI FUNDA 4.44 LBS (PERRO)</t>
        </is>
      </c>
      <c r="D61" s="9" t="inlineStr">
        <is>
          <t>PERRO</t>
        </is>
      </c>
      <c r="E61" s="15" t="n">
        <v>4</v>
      </c>
      <c r="F61" s="41" t="n">
        <v>372.88</v>
      </c>
      <c r="G61" s="41" t="n">
        <v>466.1</v>
      </c>
      <c r="H61" s="41" t="n">
        <v>93.22</v>
      </c>
      <c r="I61" s="16" t="n">
        <v>0.2</v>
      </c>
      <c r="J61" s="9" t="n"/>
      <c r="K61" s="9" t="inlineStr">
        <is>
          <t>2025</t>
        </is>
      </c>
    </row>
    <row r="62" ht="18" customHeight="1" s="149">
      <c r="A62" s="17" t="inlineStr">
        <is>
          <t>SANUT</t>
        </is>
      </c>
      <c r="B62" s="17" t="inlineStr">
        <is>
          <t>ALIMENTO</t>
        </is>
      </c>
      <c r="C62" s="17" t="inlineStr">
        <is>
          <t>CANOVI FUNDA 4.44 LBS (PERRO)</t>
        </is>
      </c>
      <c r="D62" s="17" t="inlineStr">
        <is>
          <t>PERRO</t>
        </is>
      </c>
      <c r="E62" s="19" t="n">
        <v>2</v>
      </c>
      <c r="F62" s="42" t="n">
        <v>440</v>
      </c>
      <c r="G62" s="42" t="n">
        <v>550</v>
      </c>
      <c r="H62" s="42" t="n">
        <v>110</v>
      </c>
      <c r="I62" s="20" t="n">
        <v>0.2</v>
      </c>
      <c r="J62" s="17" t="inlineStr">
        <is>
          <t>POLLO Y CERDO</t>
        </is>
      </c>
      <c r="K62" s="17" t="inlineStr">
        <is>
          <t>2025</t>
        </is>
      </c>
    </row>
    <row r="63" ht="18" customHeight="1" s="149">
      <c r="A63" s="9" t="inlineStr">
        <is>
          <t>Dulce Hogar</t>
        </is>
      </c>
      <c r="B63" s="9" t="inlineStr">
        <is>
          <t>Antiparasitario/Farmacia</t>
        </is>
      </c>
      <c r="C63" s="9" t="inlineStr">
        <is>
          <t>Juguete para perro SPP6</t>
        </is>
      </c>
      <c r="D63" s="9" t="inlineStr">
        <is>
          <t>Perro/Gato</t>
        </is>
      </c>
      <c r="E63" s="15" t="n">
        <v>1</v>
      </c>
      <c r="F63" s="41" t="n">
        <v>56</v>
      </c>
      <c r="G63" s="41" t="n">
        <v>112</v>
      </c>
      <c r="H63" s="41" t="n">
        <v>56</v>
      </c>
      <c r="I63" s="21" t="n">
        <v>0.5</v>
      </c>
      <c r="J63" s="9" t="n"/>
      <c r="K63" s="9" t="inlineStr">
        <is>
          <t>2025</t>
        </is>
      </c>
    </row>
    <row r="64" ht="18" customHeight="1" s="149">
      <c r="A64" s="17" t="inlineStr">
        <is>
          <t>Dulce Hogar</t>
        </is>
      </c>
      <c r="B64" s="17" t="inlineStr">
        <is>
          <t>Antiparasitario/Farmacia</t>
        </is>
      </c>
      <c r="C64" s="17" t="inlineStr">
        <is>
          <t>Juguete para perro SPP8</t>
        </is>
      </c>
      <c r="D64" s="17" t="inlineStr">
        <is>
          <t>Perro/Gato</t>
        </is>
      </c>
      <c r="E64" s="19" t="n">
        <v>1</v>
      </c>
      <c r="F64" s="42" t="n">
        <v>56</v>
      </c>
      <c r="G64" s="42" t="n">
        <v>112</v>
      </c>
      <c r="H64" s="42" t="n">
        <v>56</v>
      </c>
      <c r="I64" s="46" t="n">
        <v>0.5</v>
      </c>
      <c r="J64" s="17" t="n"/>
      <c r="K64" s="17" t="inlineStr">
        <is>
          <t>2025</t>
        </is>
      </c>
    </row>
    <row r="65" ht="18" customHeight="1" s="149">
      <c r="A65" s="9" t="inlineStr">
        <is>
          <t>Dulce Hogar</t>
        </is>
      </c>
      <c r="B65" s="9" t="inlineStr">
        <is>
          <t>Antiparasitario/Farmacia</t>
        </is>
      </c>
      <c r="C65" s="9" t="inlineStr">
        <is>
          <t>Hueso para perro SPP14</t>
        </is>
      </c>
      <c r="D65" s="9" t="inlineStr">
        <is>
          <t>Perro/Gato</t>
        </is>
      </c>
      <c r="E65" s="15" t="n">
        <v>1</v>
      </c>
      <c r="F65" s="41" t="n">
        <v>56</v>
      </c>
      <c r="G65" s="41" t="n">
        <v>112</v>
      </c>
      <c r="H65" s="41" t="n">
        <v>56</v>
      </c>
      <c r="I65" s="21" t="n">
        <v>0.5</v>
      </c>
      <c r="J65" s="9" t="n"/>
      <c r="K65" s="9" t="inlineStr">
        <is>
          <t>2025</t>
        </is>
      </c>
    </row>
    <row r="66" ht="18" customHeight="1" s="149">
      <c r="A66" s="17" t="inlineStr">
        <is>
          <t>Dulce Hogar</t>
        </is>
      </c>
      <c r="B66" s="17" t="inlineStr">
        <is>
          <t>Antiparasitario/Farmacia</t>
        </is>
      </c>
      <c r="C66" s="17" t="inlineStr">
        <is>
          <t>Hueso para perro SPP17</t>
        </is>
      </c>
      <c r="D66" s="17" t="inlineStr">
        <is>
          <t>Perro/Gato</t>
        </is>
      </c>
      <c r="E66" s="19" t="n">
        <v>1</v>
      </c>
      <c r="F66" s="42" t="n">
        <v>70</v>
      </c>
      <c r="G66" s="42" t="n">
        <v>140</v>
      </c>
      <c r="H66" s="42" t="n">
        <v>70</v>
      </c>
      <c r="I66" s="46" t="n">
        <v>0.5</v>
      </c>
      <c r="J66" s="17" t="n"/>
      <c r="K66" s="17" t="inlineStr">
        <is>
          <t>2025</t>
        </is>
      </c>
    </row>
    <row r="67" ht="18" customHeight="1" s="149">
      <c r="A67" s="9" t="inlineStr">
        <is>
          <t>Dulce Hogar</t>
        </is>
      </c>
      <c r="B67" s="9" t="inlineStr">
        <is>
          <t>Antiparasitario/Farmacia</t>
        </is>
      </c>
      <c r="C67" s="9" t="inlineStr">
        <is>
          <t>Cuerda de mascota SPP35</t>
        </is>
      </c>
      <c r="D67" s="9" t="inlineStr">
        <is>
          <t>Perro/Gato</t>
        </is>
      </c>
      <c r="E67" s="15" t="n">
        <v>1</v>
      </c>
      <c r="F67" s="41" t="n">
        <v>56</v>
      </c>
      <c r="G67" s="41" t="n">
        <v>112</v>
      </c>
      <c r="H67" s="41" t="n">
        <v>56</v>
      </c>
      <c r="I67" s="21" t="n">
        <v>0.5</v>
      </c>
      <c r="J67" s="9" t="n"/>
      <c r="K67" s="9" t="inlineStr">
        <is>
          <t>2025</t>
        </is>
      </c>
    </row>
    <row r="68" ht="18" customHeight="1" s="149">
      <c r="A68" s="17" t="inlineStr">
        <is>
          <t>Dulce Hogar</t>
        </is>
      </c>
      <c r="B68" s="17" t="inlineStr">
        <is>
          <t>Antiparasitario/Farmacia</t>
        </is>
      </c>
      <c r="C68" s="17" t="inlineStr">
        <is>
          <t>Collar de mascota SPP47</t>
        </is>
      </c>
      <c r="D68" s="17" t="inlineStr">
        <is>
          <t>Perro/Gato</t>
        </is>
      </c>
      <c r="E68" s="19" t="n">
        <v>1</v>
      </c>
      <c r="F68" s="42" t="n">
        <v>53</v>
      </c>
      <c r="G68" s="42" t="n">
        <v>106</v>
      </c>
      <c r="H68" s="42" t="n">
        <v>53</v>
      </c>
      <c r="I68" s="46" t="n">
        <v>0.5</v>
      </c>
      <c r="J68" s="17" t="n"/>
      <c r="K68" s="17" t="inlineStr">
        <is>
          <t>2025</t>
        </is>
      </c>
    </row>
    <row r="69" ht="18" customHeight="1" s="149">
      <c r="A69" s="9" t="inlineStr">
        <is>
          <t>Dulce Hogar</t>
        </is>
      </c>
      <c r="B69" s="9" t="inlineStr">
        <is>
          <t>Antiparasitario/Farmacia</t>
        </is>
      </c>
      <c r="C69" s="9" t="inlineStr">
        <is>
          <t>Arnés para perro SPP53</t>
        </is>
      </c>
      <c r="D69" s="9" t="inlineStr">
        <is>
          <t>Perro/Gato</t>
        </is>
      </c>
      <c r="E69" s="15" t="n">
        <v>1</v>
      </c>
      <c r="F69" s="41" t="n">
        <v>131</v>
      </c>
      <c r="G69" s="41" t="n">
        <v>262</v>
      </c>
      <c r="H69" s="41" t="n">
        <v>131</v>
      </c>
      <c r="I69" s="21" t="n">
        <v>0.5</v>
      </c>
      <c r="J69" s="9" t="n"/>
      <c r="K69" s="9" t="inlineStr">
        <is>
          <t>2025</t>
        </is>
      </c>
    </row>
    <row r="70" ht="18" customHeight="1" s="149">
      <c r="A70" s="17" t="inlineStr">
        <is>
          <t>Dulce Hogar</t>
        </is>
      </c>
      <c r="B70" s="17" t="inlineStr">
        <is>
          <t>Antiparasitario/Farmacia</t>
        </is>
      </c>
      <c r="C70" s="17" t="inlineStr">
        <is>
          <t>Arnés para perro SPP54</t>
        </is>
      </c>
      <c r="D70" s="17" t="inlineStr">
        <is>
          <t>Perro/Gato</t>
        </is>
      </c>
      <c r="E70" s="19" t="n">
        <v>1</v>
      </c>
      <c r="F70" s="42" t="n">
        <v>131</v>
      </c>
      <c r="G70" s="42" t="n">
        <v>262</v>
      </c>
      <c r="H70" s="42" t="n">
        <v>131</v>
      </c>
      <c r="I70" s="46" t="n">
        <v>0.5</v>
      </c>
      <c r="J70" s="17" t="n"/>
      <c r="K70" s="17" t="inlineStr">
        <is>
          <t>2025</t>
        </is>
      </c>
    </row>
    <row r="71" ht="18" customHeight="1" s="149">
      <c r="A71" s="9" t="inlineStr">
        <is>
          <t>Dulce Hogar</t>
        </is>
      </c>
      <c r="B71" s="9" t="inlineStr">
        <is>
          <t>Antiparasitario/Farmacia</t>
        </is>
      </c>
      <c r="C71" s="9" t="inlineStr">
        <is>
          <t>Correa mascota SPP66</t>
        </is>
      </c>
      <c r="D71" s="9" t="inlineStr">
        <is>
          <t>Perro/Gato</t>
        </is>
      </c>
      <c r="E71" s="15" t="n">
        <v>1</v>
      </c>
      <c r="F71" s="41" t="n">
        <v>156</v>
      </c>
      <c r="G71" s="41" t="n">
        <v>312</v>
      </c>
      <c r="H71" s="41" t="n">
        <v>156</v>
      </c>
      <c r="I71" s="21" t="n">
        <v>0.5</v>
      </c>
      <c r="J71" s="9" t="n"/>
      <c r="K71" s="9" t="inlineStr">
        <is>
          <t>2025</t>
        </is>
      </c>
    </row>
    <row r="72" ht="18" customHeight="1" s="149">
      <c r="A72" s="17" t="inlineStr">
        <is>
          <t>Dulce Hogar</t>
        </is>
      </c>
      <c r="B72" s="17" t="inlineStr">
        <is>
          <t>Antiparasitario/Farmacia</t>
        </is>
      </c>
      <c r="C72" s="17" t="inlineStr">
        <is>
          <t>Plato para mascota SPP70</t>
        </is>
      </c>
      <c r="D72" s="17" t="inlineStr">
        <is>
          <t>Perro/Gato</t>
        </is>
      </c>
      <c r="E72" s="19" t="n">
        <v>1</v>
      </c>
      <c r="F72" s="42" t="n">
        <v>88</v>
      </c>
      <c r="G72" s="42" t="n">
        <v>176</v>
      </c>
      <c r="H72" s="42" t="n">
        <v>88</v>
      </c>
      <c r="I72" s="46" t="n">
        <v>0.5</v>
      </c>
      <c r="J72" s="17" t="n"/>
      <c r="K72" s="17" t="inlineStr">
        <is>
          <t>2025</t>
        </is>
      </c>
    </row>
    <row r="73" ht="18" customHeight="1" s="149">
      <c r="A73" s="9" t="inlineStr">
        <is>
          <t>Dulce Hogar</t>
        </is>
      </c>
      <c r="B73" s="9" t="inlineStr">
        <is>
          <t>Antiparasitario/Farmacia</t>
        </is>
      </c>
      <c r="C73" s="9" t="inlineStr">
        <is>
          <t>Plato para mascota SPP71</t>
        </is>
      </c>
      <c r="D73" s="9" t="inlineStr">
        <is>
          <t>Perro/Gato</t>
        </is>
      </c>
      <c r="E73" s="15" t="n">
        <v>1</v>
      </c>
      <c r="F73" s="41" t="n">
        <v>103</v>
      </c>
      <c r="G73" s="41" t="n">
        <v>206</v>
      </c>
      <c r="H73" s="41" t="n">
        <v>103</v>
      </c>
      <c r="I73" s="21" t="n">
        <v>0.5</v>
      </c>
      <c r="J73" s="9" t="n"/>
      <c r="K73" s="9" t="inlineStr">
        <is>
          <t>2025</t>
        </is>
      </c>
    </row>
    <row r="74" ht="18" customHeight="1" s="149">
      <c r="A74" s="17" t="inlineStr">
        <is>
          <t>Dulce Hogar</t>
        </is>
      </c>
      <c r="B74" s="17" t="inlineStr">
        <is>
          <t>Antiparasitario/Farmacia</t>
        </is>
      </c>
      <c r="C74" s="17" t="inlineStr">
        <is>
          <t>Bozal SPP101</t>
        </is>
      </c>
      <c r="D74" s="17" t="inlineStr">
        <is>
          <t>Perro/Gato</t>
        </is>
      </c>
      <c r="E74" s="19" t="n">
        <v>1</v>
      </c>
      <c r="F74" s="42" t="n">
        <v>150</v>
      </c>
      <c r="G74" s="42" t="n">
        <v>300</v>
      </c>
      <c r="H74" s="42" t="n">
        <v>150</v>
      </c>
      <c r="I74" s="46" t="n">
        <v>0.5</v>
      </c>
      <c r="J74" s="17" t="n"/>
      <c r="K74" s="17" t="inlineStr">
        <is>
          <t>2025</t>
        </is>
      </c>
    </row>
    <row r="75" ht="18" customHeight="1" s="149">
      <c r="A75" s="9" t="inlineStr">
        <is>
          <t>Dulce Hogar</t>
        </is>
      </c>
      <c r="B75" s="9" t="inlineStr">
        <is>
          <t>Antiparasitario/Farmacia</t>
        </is>
      </c>
      <c r="C75" s="9" t="inlineStr">
        <is>
          <t>Recogedor SPP113</t>
        </is>
      </c>
      <c r="D75" s="9" t="inlineStr">
        <is>
          <t>Perro/Gato</t>
        </is>
      </c>
      <c r="E75" s="15" t="n">
        <v>1</v>
      </c>
      <c r="F75" s="41" t="n">
        <v>40</v>
      </c>
      <c r="G75" s="41" t="n">
        <v>100</v>
      </c>
      <c r="H75" s="41" t="n">
        <v>60</v>
      </c>
      <c r="I75" s="21" t="n">
        <v>0.6</v>
      </c>
      <c r="J75" s="9" t="n"/>
      <c r="K75" s="9" t="inlineStr">
        <is>
          <t>2025</t>
        </is>
      </c>
    </row>
    <row r="76" ht="18" customHeight="1" s="149">
      <c r="A76" s="17" t="inlineStr">
        <is>
          <t>Dulce Hogar</t>
        </is>
      </c>
      <c r="B76" s="17" t="inlineStr">
        <is>
          <t>Antiparasitario/Farmacia</t>
        </is>
      </c>
      <c r="C76" s="17" t="inlineStr">
        <is>
          <t>Jaula SPP133</t>
        </is>
      </c>
      <c r="D76" s="17" t="inlineStr">
        <is>
          <t>Perro/Gato</t>
        </is>
      </c>
      <c r="E76" s="19" t="n">
        <v>1</v>
      </c>
      <c r="F76" s="42" t="n">
        <v>5484</v>
      </c>
      <c r="G76" s="42" t="n">
        <v>6855</v>
      </c>
      <c r="H76" s="42" t="n">
        <v>1371</v>
      </c>
      <c r="I76" s="46" t="n">
        <v>0.25</v>
      </c>
      <c r="J76" s="17" t="n"/>
      <c r="K76" s="17" t="inlineStr">
        <is>
          <t>2025</t>
        </is>
      </c>
    </row>
    <row r="77" ht="18" customHeight="1" s="149">
      <c r="A77" s="9" t="inlineStr">
        <is>
          <t>Dulce Hogar</t>
        </is>
      </c>
      <c r="B77" s="9" t="inlineStr">
        <is>
          <t>Antiparasitario/Farmacia</t>
        </is>
      </c>
      <c r="C77" s="9" t="inlineStr">
        <is>
          <t>Jaula SPP134</t>
        </is>
      </c>
      <c r="D77" s="9" t="inlineStr">
        <is>
          <t>Perro/Gato</t>
        </is>
      </c>
      <c r="E77" s="15" t="n">
        <v>1</v>
      </c>
      <c r="F77" s="41" t="n">
        <v>8100</v>
      </c>
      <c r="G77" s="41" t="n">
        <v>9720</v>
      </c>
      <c r="H77" s="41" t="n">
        <v>1620</v>
      </c>
      <c r="I77" s="16" t="n">
        <v>0.2</v>
      </c>
      <c r="J77" s="9" t="n"/>
      <c r="K77" s="9" t="inlineStr">
        <is>
          <t>2025</t>
        </is>
      </c>
    </row>
    <row r="78" ht="18" customHeight="1" s="149">
      <c r="A78" s="17" t="inlineStr">
        <is>
          <t>Dulce Hogar</t>
        </is>
      </c>
      <c r="B78" s="17" t="inlineStr">
        <is>
          <t>Antiparasitario/Farmacia</t>
        </is>
      </c>
      <c r="C78" s="17" t="inlineStr">
        <is>
          <t>Shampoo pelo largo</t>
        </is>
      </c>
      <c r="D78" s="17" t="inlineStr">
        <is>
          <t>Perro/Gato</t>
        </is>
      </c>
      <c r="E78" s="19" t="n">
        <v>1</v>
      </c>
      <c r="F78" s="42" t="n">
        <v>221</v>
      </c>
      <c r="G78" s="42" t="n">
        <v>442</v>
      </c>
      <c r="H78" s="42" t="n">
        <v>221</v>
      </c>
      <c r="I78" s="46" t="n">
        <v>0.5</v>
      </c>
      <c r="J78" s="17" t="n"/>
      <c r="K78" s="17" t="inlineStr">
        <is>
          <t>2025</t>
        </is>
      </c>
    </row>
    <row r="79" ht="18" customHeight="1" s="149">
      <c r="A79" s="9" t="inlineStr">
        <is>
          <t>Dulce Hogar</t>
        </is>
      </c>
      <c r="B79" s="9" t="inlineStr">
        <is>
          <t>Antiparasitario/Farmacia</t>
        </is>
      </c>
      <c r="C79" s="9" t="inlineStr">
        <is>
          <t>Colonia para mascota</t>
        </is>
      </c>
      <c r="D79" s="9" t="inlineStr">
        <is>
          <t>Perro/Gato</t>
        </is>
      </c>
      <c r="E79" s="15" t="n">
        <v>1</v>
      </c>
      <c r="F79" s="41" t="n">
        <v>175</v>
      </c>
      <c r="G79" s="41" t="n">
        <v>350</v>
      </c>
      <c r="H79" s="41" t="n">
        <v>175</v>
      </c>
      <c r="I79" s="21" t="n">
        <v>0.5</v>
      </c>
      <c r="J79" s="9" t="n"/>
      <c r="K79" s="9" t="inlineStr">
        <is>
          <t>2025</t>
        </is>
      </c>
    </row>
    <row r="80" ht="18" customHeight="1" s="149">
      <c r="A80" s="17" t="inlineStr">
        <is>
          <t>Dulce Hogar</t>
        </is>
      </c>
      <c r="B80" s="17" t="inlineStr">
        <is>
          <t>Antiparasitario/Farmacia</t>
        </is>
      </c>
      <c r="C80" s="17" t="inlineStr">
        <is>
          <t>Healthy Pet Shampoo 38208</t>
        </is>
      </c>
      <c r="D80" s="17" t="inlineStr">
        <is>
          <t>Perro/Gato</t>
        </is>
      </c>
      <c r="E80" s="19" t="n">
        <v>1</v>
      </c>
      <c r="F80" s="42" t="n">
        <v>120</v>
      </c>
      <c r="G80" s="42" t="n">
        <v>240</v>
      </c>
      <c r="H80" s="42" t="n">
        <v>120</v>
      </c>
      <c r="I80" s="46" t="n">
        <v>0.5</v>
      </c>
      <c r="J80" s="17" t="n"/>
      <c r="K80" s="17" t="inlineStr">
        <is>
          <t>2025</t>
        </is>
      </c>
    </row>
    <row r="81" ht="18" customHeight="1" s="149">
      <c r="A81" s="9" t="inlineStr">
        <is>
          <t>Dulce Hogar</t>
        </is>
      </c>
      <c r="B81" s="9" t="inlineStr">
        <is>
          <t>Antiparasitario/Farmacia</t>
        </is>
      </c>
      <c r="C81" s="9" t="inlineStr">
        <is>
          <t>Healthy Pet Shampoo 38215</t>
        </is>
      </c>
      <c r="D81" s="9" t="inlineStr">
        <is>
          <t>Perro/Gato</t>
        </is>
      </c>
      <c r="E81" s="15" t="n">
        <v>1</v>
      </c>
      <c r="F81" s="41" t="n">
        <v>115</v>
      </c>
      <c r="G81" s="41" t="n">
        <v>230</v>
      </c>
      <c r="H81" s="41" t="n">
        <v>115</v>
      </c>
      <c r="I81" s="21" t="n">
        <v>0.5</v>
      </c>
      <c r="J81" s="9" t="n"/>
      <c r="K81" s="9" t="inlineStr">
        <is>
          <t>2025</t>
        </is>
      </c>
    </row>
    <row r="82" ht="18" customHeight="1" s="149">
      <c r="A82" s="17" t="inlineStr">
        <is>
          <t>Dulce Hogar</t>
        </is>
      </c>
      <c r="B82" s="17" t="inlineStr">
        <is>
          <t>Antiparasitario/Farmacia</t>
        </is>
      </c>
      <c r="C82" s="17" t="inlineStr">
        <is>
          <t>Healthy Pet Shampoo 38239</t>
        </is>
      </c>
      <c r="D82" s="17" t="inlineStr">
        <is>
          <t>Perro/Gato</t>
        </is>
      </c>
      <c r="E82" s="19" t="n">
        <v>1</v>
      </c>
      <c r="F82" s="42" t="n">
        <v>100</v>
      </c>
      <c r="G82" s="42" t="n">
        <v>200</v>
      </c>
      <c r="H82" s="42" t="n">
        <v>100</v>
      </c>
      <c r="I82" s="46" t="n">
        <v>0.5</v>
      </c>
      <c r="J82" s="17" t="n"/>
      <c r="K82" s="17" t="inlineStr">
        <is>
          <t>2025</t>
        </is>
      </c>
    </row>
    <row r="83" ht="18" customHeight="1" s="149">
      <c r="A83" s="9" t="inlineStr">
        <is>
          <t>SANUT</t>
        </is>
      </c>
      <c r="B83" s="9" t="inlineStr">
        <is>
          <t>Antiparasitario/Farmacia</t>
        </is>
      </c>
      <c r="C83" s="9" t="inlineStr">
        <is>
          <t>Nexgard Spectra 3.6-7.5 kg</t>
        </is>
      </c>
      <c r="D83" s="9" t="inlineStr">
        <is>
          <t>Perro/Gato</t>
        </is>
      </c>
      <c r="E83" s="15" t="n">
        <v>1</v>
      </c>
      <c r="F83" s="41" t="n">
        <v>1375</v>
      </c>
      <c r="G83" s="41" t="n">
        <v>1581.25</v>
      </c>
      <c r="H83" s="41" t="n">
        <v>206.25</v>
      </c>
      <c r="I83" s="16" t="n">
        <v>0.15</v>
      </c>
      <c r="J83" s="9" t="n"/>
      <c r="K83" s="9" t="inlineStr">
        <is>
          <t>2025</t>
        </is>
      </c>
    </row>
    <row r="84" ht="18" customHeight="1" s="149">
      <c r="A84" s="17" t="inlineStr">
        <is>
          <t>SANUT</t>
        </is>
      </c>
      <c r="B84" s="17" t="inlineStr">
        <is>
          <t>Antiparasitario/Farmacia</t>
        </is>
      </c>
      <c r="C84" s="17" t="inlineStr">
        <is>
          <t>Nexgard Spectra M 7.6-15 kg</t>
        </is>
      </c>
      <c r="D84" s="17" t="inlineStr">
        <is>
          <t>Perro/Gato</t>
        </is>
      </c>
      <c r="E84" s="19" t="n">
        <v>1</v>
      </c>
      <c r="F84" s="42" t="n">
        <v>1495</v>
      </c>
      <c r="G84" s="42" t="n">
        <v>1719.25</v>
      </c>
      <c r="H84" s="42" t="n">
        <v>224.25</v>
      </c>
      <c r="I84" s="20" t="n">
        <v>0.15</v>
      </c>
      <c r="J84" s="17" t="n"/>
      <c r="K84" s="17" t="inlineStr">
        <is>
          <t>2025</t>
        </is>
      </c>
    </row>
    <row r="85" ht="18" customHeight="1" s="149">
      <c r="A85" s="9" t="inlineStr">
        <is>
          <t>SANUT</t>
        </is>
      </c>
      <c r="B85" s="9" t="inlineStr">
        <is>
          <t>Antiparasitario/Farmacia</t>
        </is>
      </c>
      <c r="C85" s="9" t="inlineStr">
        <is>
          <t>Nexgard 2-4 kg</t>
        </is>
      </c>
      <c r="D85" s="9" t="inlineStr">
        <is>
          <t>Perro/Gato</t>
        </is>
      </c>
      <c r="E85" s="15" t="n">
        <v>1</v>
      </c>
      <c r="F85" s="41" t="n">
        <v>956</v>
      </c>
      <c r="G85" s="41" t="n">
        <v>1099.4</v>
      </c>
      <c r="H85" s="41" t="n">
        <v>143.4</v>
      </c>
      <c r="I85" s="16" t="n">
        <v>0.15</v>
      </c>
      <c r="J85" s="9" t="n"/>
      <c r="K85" s="9" t="inlineStr">
        <is>
          <t>2025</t>
        </is>
      </c>
    </row>
    <row r="86" ht="18" customHeight="1" s="149">
      <c r="A86" s="17" t="inlineStr">
        <is>
          <t>SANUT</t>
        </is>
      </c>
      <c r="B86" s="17" t="inlineStr">
        <is>
          <t>Antiparasitario/Farmacia</t>
        </is>
      </c>
      <c r="C86" s="17" t="inlineStr">
        <is>
          <t>Simparica Trio 12mg Caramel</t>
        </is>
      </c>
      <c r="D86" s="17" t="inlineStr">
        <is>
          <t>Perro/Gato</t>
        </is>
      </c>
      <c r="E86" s="19" t="n">
        <v>1</v>
      </c>
      <c r="F86" s="42" t="n">
        <v>925</v>
      </c>
      <c r="G86" s="42" t="n">
        <v>1156.25</v>
      </c>
      <c r="H86" s="42" t="n">
        <v>231.25</v>
      </c>
      <c r="I86" s="46" t="n">
        <v>0.25</v>
      </c>
      <c r="J86" s="17" t="n"/>
      <c r="K86" s="17" t="inlineStr">
        <is>
          <t>2025</t>
        </is>
      </c>
    </row>
    <row r="87" ht="18" customHeight="1" s="149">
      <c r="A87" s="9" t="inlineStr">
        <is>
          <t>SANUT</t>
        </is>
      </c>
      <c r="B87" s="9" t="inlineStr">
        <is>
          <t>Antiparasitario/Farmacia</t>
        </is>
      </c>
      <c r="C87" s="9" t="inlineStr">
        <is>
          <t>Simparica Trio 6mg Purple</t>
        </is>
      </c>
      <c r="D87" s="9" t="inlineStr">
        <is>
          <t>Perro/Gato</t>
        </is>
      </c>
      <c r="E87" s="15" t="n">
        <v>1</v>
      </c>
      <c r="F87" s="41" t="n">
        <v>845</v>
      </c>
      <c r="G87" s="41" t="n">
        <v>1056.25</v>
      </c>
      <c r="H87" s="41" t="n">
        <v>211.25</v>
      </c>
      <c r="I87" s="21" t="n">
        <v>0.25</v>
      </c>
      <c r="J87" s="9" t="n"/>
      <c r="K87" s="9" t="inlineStr">
        <is>
          <t>2025</t>
        </is>
      </c>
    </row>
    <row r="88" ht="18" customHeight="1" s="149">
      <c r="A88" s="17" t="inlineStr">
        <is>
          <t>SANUT</t>
        </is>
      </c>
      <c r="B88" s="17" t="inlineStr">
        <is>
          <t>Antiparasitario/Farmacia</t>
        </is>
      </c>
      <c r="C88" s="17" t="inlineStr">
        <is>
          <t>Bravecto 112.5 mg 2-4.5 kg</t>
        </is>
      </c>
      <c r="D88" s="17" t="inlineStr">
        <is>
          <t>Perro/Gato</t>
        </is>
      </c>
      <c r="E88" s="19" t="n">
        <v>1</v>
      </c>
      <c r="F88" s="42" t="n">
        <v>2095</v>
      </c>
      <c r="G88" s="42" t="n">
        <v>2409.25</v>
      </c>
      <c r="H88" s="42" t="n">
        <v>314.25</v>
      </c>
      <c r="I88" s="20" t="n">
        <v>0.15</v>
      </c>
      <c r="J88" s="17" t="n"/>
      <c r="K88" s="17" t="inlineStr">
        <is>
          <t>2025</t>
        </is>
      </c>
    </row>
    <row r="89" ht="18" customHeight="1" s="149">
      <c r="A89" s="9" t="inlineStr">
        <is>
          <t>SANUT</t>
        </is>
      </c>
      <c r="B89" s="9" t="inlineStr">
        <is>
          <t>Antiparasitario/Farmacia</t>
        </is>
      </c>
      <c r="C89" s="9" t="inlineStr">
        <is>
          <t>Bravecto 1000 mg 20-40 kg</t>
        </is>
      </c>
      <c r="D89" s="9" t="inlineStr">
        <is>
          <t>Perro/Gato</t>
        </is>
      </c>
      <c r="E89" s="15" t="n">
        <v>1</v>
      </c>
      <c r="F89" s="41" t="n">
        <v>2495</v>
      </c>
      <c r="G89" s="41" t="n">
        <v>3118.75</v>
      </c>
      <c r="H89" s="41" t="n">
        <v>623.75</v>
      </c>
      <c r="I89" s="21" t="n">
        <v>0.25</v>
      </c>
      <c r="J89" s="9" t="n"/>
      <c r="K89" s="9" t="inlineStr">
        <is>
          <t>2025</t>
        </is>
      </c>
    </row>
    <row r="90" ht="18" customHeight="1" s="149">
      <c r="A90" s="17" t="inlineStr">
        <is>
          <t>SANUT</t>
        </is>
      </c>
      <c r="B90" s="17" t="inlineStr">
        <is>
          <t>Antiparasitario/Farmacia</t>
        </is>
      </c>
      <c r="C90" s="17" t="inlineStr">
        <is>
          <t>Bravecto 250 mg 4.5-10 kg</t>
        </is>
      </c>
      <c r="D90" s="17" t="inlineStr">
        <is>
          <t>Perro/Gato</t>
        </is>
      </c>
      <c r="E90" s="19" t="n">
        <v>1</v>
      </c>
      <c r="F90" s="42" t="n">
        <v>2195</v>
      </c>
      <c r="G90" s="42" t="n">
        <v>2743.75</v>
      </c>
      <c r="H90" s="42" t="n">
        <v>548.75</v>
      </c>
      <c r="I90" s="46" t="n">
        <v>0.25</v>
      </c>
      <c r="J90" s="17" t="n"/>
      <c r="K90" s="17" t="inlineStr">
        <is>
          <t>2025</t>
        </is>
      </c>
    </row>
    <row r="91" ht="18" customHeight="1" s="149">
      <c r="A91" s="9" t="inlineStr">
        <is>
          <t>SANUT</t>
        </is>
      </c>
      <c r="B91" s="9" t="inlineStr">
        <is>
          <t>Antiparasitario/Farmacia</t>
        </is>
      </c>
      <c r="C91" s="9" t="inlineStr">
        <is>
          <t>Bravecto 500 mg 10-20 kg</t>
        </is>
      </c>
      <c r="D91" s="9" t="inlineStr">
        <is>
          <t>Perro/Gato</t>
        </is>
      </c>
      <c r="E91" s="15" t="n">
        <v>1</v>
      </c>
      <c r="F91" s="41" t="n">
        <v>2295</v>
      </c>
      <c r="G91" s="41" t="n">
        <v>2868.75</v>
      </c>
      <c r="H91" s="41" t="n">
        <v>573.75</v>
      </c>
      <c r="I91" s="21" t="n">
        <v>0.25</v>
      </c>
      <c r="J91" s="9" t="n"/>
      <c r="K91" s="9" t="inlineStr">
        <is>
          <t>2025</t>
        </is>
      </c>
    </row>
    <row r="92" ht="18" customHeight="1" s="149">
      <c r="A92" s="17" t="inlineStr">
        <is>
          <t>SANUT</t>
        </is>
      </c>
      <c r="B92" s="17" t="inlineStr">
        <is>
          <t>Antiparasitario/Farmacia</t>
        </is>
      </c>
      <c r="C92" s="17" t="inlineStr">
        <is>
          <t>Healthy Pet Spray Garrapaticida</t>
        </is>
      </c>
      <c r="D92" s="17" t="inlineStr">
        <is>
          <t>Perro/Gato</t>
        </is>
      </c>
      <c r="E92" s="19" t="n">
        <v>1</v>
      </c>
      <c r="F92" s="42" t="n">
        <v>165</v>
      </c>
      <c r="G92" s="42" t="n">
        <v>206.25</v>
      </c>
      <c r="H92" s="42" t="n">
        <v>41.25</v>
      </c>
      <c r="I92" s="46" t="n">
        <v>0.25</v>
      </c>
      <c r="J92" s="17" t="n"/>
      <c r="K92" s="17" t="inlineStr">
        <is>
          <t>2025</t>
        </is>
      </c>
    </row>
    <row r="93" ht="18" customHeight="1" s="149">
      <c r="A93" s="9" t="inlineStr">
        <is>
          <t>SANUT</t>
        </is>
      </c>
      <c r="B93" s="9" t="inlineStr">
        <is>
          <t>Antiparasitario/Farmacia</t>
        </is>
      </c>
      <c r="C93" s="9" t="inlineStr">
        <is>
          <t>Healthy Pet Shampoo Cachorro Anti</t>
        </is>
      </c>
      <c r="D93" s="9" t="inlineStr">
        <is>
          <t>Perro/Gato</t>
        </is>
      </c>
      <c r="E93" s="15" t="n">
        <v>1</v>
      </c>
      <c r="F93" s="41" t="n">
        <v>161</v>
      </c>
      <c r="G93" s="41" t="n">
        <v>201.25</v>
      </c>
      <c r="H93" s="41" t="n">
        <v>40.25</v>
      </c>
      <c r="I93" s="21" t="n">
        <v>0.25</v>
      </c>
      <c r="J93" s="9" t="n"/>
      <c r="K93" s="9" t="inlineStr">
        <is>
          <t>2025</t>
        </is>
      </c>
    </row>
    <row r="94" ht="18" customHeight="1" s="149">
      <c r="A94" s="17" t="inlineStr">
        <is>
          <t>SANUT</t>
        </is>
      </c>
      <c r="B94" s="17" t="inlineStr">
        <is>
          <t>Antiparasitario/Farmacia</t>
        </is>
      </c>
      <c r="C94" s="17" t="inlineStr">
        <is>
          <t>Healthy Pet Shampoo Cachorro 16 oz</t>
        </is>
      </c>
      <c r="D94" s="17" t="inlineStr">
        <is>
          <t>Perro/Gato</t>
        </is>
      </c>
      <c r="E94" s="19" t="n">
        <v>1</v>
      </c>
      <c r="F94" s="42" t="n">
        <v>161</v>
      </c>
      <c r="G94" s="42" t="n">
        <v>201.25</v>
      </c>
      <c r="H94" s="42" t="n">
        <v>40.25</v>
      </c>
      <c r="I94" s="46" t="n">
        <v>0.25</v>
      </c>
      <c r="J94" s="17" t="n"/>
      <c r="K94" s="17" t="inlineStr">
        <is>
          <t>2025</t>
        </is>
      </c>
    </row>
    <row r="95" ht="18" customHeight="1" s="149">
      <c r="A95" s="9" t="inlineStr">
        <is>
          <t>SANUT</t>
        </is>
      </c>
      <c r="B95" s="9" t="inlineStr">
        <is>
          <t>Antiparasitario/Farmacia</t>
        </is>
      </c>
      <c r="C95" s="9" t="inlineStr">
        <is>
          <t>Healthy Pet Cachorro Shampoo 8 oz</t>
        </is>
      </c>
      <c r="D95" s="9" t="inlineStr">
        <is>
          <t>Perro/Gato</t>
        </is>
      </c>
      <c r="E95" s="15" t="n">
        <v>1</v>
      </c>
      <c r="F95" s="41" t="n">
        <v>131</v>
      </c>
      <c r="G95" s="41" t="n">
        <v>163.75</v>
      </c>
      <c r="H95" s="41" t="n">
        <v>32.75</v>
      </c>
      <c r="I95" s="21" t="n">
        <v>0.25</v>
      </c>
      <c r="J95" s="9" t="n"/>
      <c r="K95" s="9" t="inlineStr">
        <is>
          <t>2025</t>
        </is>
      </c>
    </row>
    <row r="96" ht="18" customHeight="1" s="149">
      <c r="A96" s="17" t="inlineStr">
        <is>
          <t>SANUT</t>
        </is>
      </c>
      <c r="B96" s="17" t="inlineStr">
        <is>
          <t>Antiparasitario/Farmacia</t>
        </is>
      </c>
      <c r="C96" s="17" t="inlineStr">
        <is>
          <t>Shampoo Campeon 520 ml 16 oz</t>
        </is>
      </c>
      <c r="D96" s="17" t="inlineStr">
        <is>
          <t>Perro/Gato</t>
        </is>
      </c>
      <c r="E96" s="19" t="n">
        <v>1</v>
      </c>
      <c r="F96" s="42" t="n">
        <v>296</v>
      </c>
      <c r="G96" s="42" t="n">
        <v>370</v>
      </c>
      <c r="H96" s="42" t="n">
        <v>74</v>
      </c>
      <c r="I96" s="46" t="n">
        <v>0.25</v>
      </c>
      <c r="J96" s="17" t="n"/>
      <c r="K96" s="17" t="inlineStr">
        <is>
          <t>2025</t>
        </is>
      </c>
    </row>
    <row r="97" ht="18" customHeight="1" s="149">
      <c r="A97" s="9" t="inlineStr">
        <is>
          <t>SANUT</t>
        </is>
      </c>
      <c r="B97" s="9" t="inlineStr">
        <is>
          <t>Antiparasitario/Farmacia</t>
        </is>
      </c>
      <c r="C97" s="9" t="inlineStr">
        <is>
          <t>Alerdrag Shampoo 100 ml</t>
        </is>
      </c>
      <c r="D97" s="9" t="inlineStr">
        <is>
          <t>Perro/Gato</t>
        </is>
      </c>
      <c r="E97" s="15" t="n">
        <v>1</v>
      </c>
      <c r="F97" s="41" t="n">
        <v>655</v>
      </c>
      <c r="G97" s="41" t="n">
        <v>818.75</v>
      </c>
      <c r="H97" s="41" t="n">
        <v>163.75</v>
      </c>
      <c r="I97" s="21" t="n">
        <v>0.25</v>
      </c>
      <c r="J97" s="9" t="n"/>
      <c r="K97" s="9" t="inlineStr">
        <is>
          <t>2025</t>
        </is>
      </c>
    </row>
    <row r="98" ht="18" customHeight="1" s="149">
      <c r="A98" s="17" t="inlineStr">
        <is>
          <t>SANUT</t>
        </is>
      </c>
      <c r="B98" s="17" t="inlineStr">
        <is>
          <t>Antiparasitario/Farmacia</t>
        </is>
      </c>
      <c r="C98" s="17" t="inlineStr">
        <is>
          <t>Shampoo Canish Espuma 160 ml</t>
        </is>
      </c>
      <c r="D98" s="17" t="inlineStr">
        <is>
          <t>Perro/Gato</t>
        </is>
      </c>
      <c r="E98" s="19" t="n">
        <v>1</v>
      </c>
      <c r="F98" s="42" t="n">
        <v>762</v>
      </c>
      <c r="G98" s="42" t="n">
        <v>952.5</v>
      </c>
      <c r="H98" s="42" t="n">
        <v>190.5</v>
      </c>
      <c r="I98" s="46" t="n">
        <v>0.25</v>
      </c>
      <c r="J98" s="17" t="n"/>
      <c r="K98" s="17" t="inlineStr">
        <is>
          <t>2025</t>
        </is>
      </c>
    </row>
    <row r="99" ht="18" customHeight="1" s="149">
      <c r="A99" s="9" t="inlineStr">
        <is>
          <t>SANUT</t>
        </is>
      </c>
      <c r="B99" s="9" t="inlineStr">
        <is>
          <t>Antiparasitario/Farmacia</t>
        </is>
      </c>
      <c r="C99" s="9" t="inlineStr">
        <is>
          <t>Healthy Pet Spray Garrapaticida Pu</t>
        </is>
      </c>
      <c r="D99" s="9" t="inlineStr">
        <is>
          <t>Perro/Gato</t>
        </is>
      </c>
      <c r="E99" s="15" t="n">
        <v>1</v>
      </c>
      <c r="F99" s="41" t="n">
        <v>139</v>
      </c>
      <c r="G99" s="41" t="n">
        <v>278</v>
      </c>
      <c r="H99" s="41" t="n">
        <v>139</v>
      </c>
      <c r="I99" s="21" t="n">
        <v>0.5</v>
      </c>
      <c r="J99" s="9" t="n"/>
      <c r="K99" s="9" t="inlineStr">
        <is>
          <t>2025</t>
        </is>
      </c>
    </row>
    <row r="100" ht="18" customHeight="1" s="149">
      <c r="A100" s="17" t="inlineStr">
        <is>
          <t>SANUT</t>
        </is>
      </c>
      <c r="B100" s="17" t="inlineStr">
        <is>
          <t>Antiparasitario/Farmacia</t>
        </is>
      </c>
      <c r="C100" s="17" t="inlineStr">
        <is>
          <t>Minervit Jarabe 120 ml</t>
        </is>
      </c>
      <c r="D100" s="17" t="inlineStr">
        <is>
          <t>Perro/Gato</t>
        </is>
      </c>
      <c r="E100" s="19" t="n">
        <v>1</v>
      </c>
      <c r="F100" s="42" t="n">
        <v>245</v>
      </c>
      <c r="G100" s="42" t="n">
        <v>306.25</v>
      </c>
      <c r="H100" s="42" t="n">
        <v>61.25</v>
      </c>
      <c r="I100" s="46" t="n">
        <v>0.25</v>
      </c>
      <c r="J100" s="17" t="n"/>
      <c r="K100" s="17" t="inlineStr">
        <is>
          <t>2025</t>
        </is>
      </c>
    </row>
    <row r="101" ht="18" customHeight="1" s="149">
      <c r="A101" s="9" t="inlineStr">
        <is>
          <t>SANUT</t>
        </is>
      </c>
      <c r="B101" s="9" t="inlineStr">
        <is>
          <t>Antiparasitario/Farmacia</t>
        </is>
      </c>
      <c r="C101" s="9" t="inlineStr">
        <is>
          <t>Bonavit Suspension 250 ml</t>
        </is>
      </c>
      <c r="D101" s="9" t="inlineStr">
        <is>
          <t>Perro/Gato</t>
        </is>
      </c>
      <c r="E101" s="15" t="n">
        <v>1</v>
      </c>
      <c r="F101" s="41" t="n">
        <v>545</v>
      </c>
      <c r="G101" s="41" t="n">
        <v>681.25</v>
      </c>
      <c r="H101" s="41" t="n">
        <v>136.25</v>
      </c>
      <c r="I101" s="21" t="n">
        <v>0.25</v>
      </c>
      <c r="J101" s="9" t="n"/>
      <c r="K101" s="9" t="inlineStr">
        <is>
          <t>2025</t>
        </is>
      </c>
    </row>
    <row r="102" ht="18" customHeight="1" s="149">
      <c r="A102" s="17" t="inlineStr">
        <is>
          <t>SANUT</t>
        </is>
      </c>
      <c r="B102" s="17" t="inlineStr">
        <is>
          <t>Antiparasitario/Farmacia</t>
        </is>
      </c>
      <c r="C102" s="17" t="inlineStr">
        <is>
          <t>Antiparasitario Protek Pet Spot On</t>
        </is>
      </c>
      <c r="D102" s="17" t="inlineStr">
        <is>
          <t>Perro/Gato</t>
        </is>
      </c>
      <c r="E102" s="19" t="n">
        <v>1</v>
      </c>
      <c r="F102" s="42" t="n">
        <v>525</v>
      </c>
      <c r="G102" s="42" t="n">
        <v>656.25</v>
      </c>
      <c r="H102" s="42" t="n">
        <v>131.25</v>
      </c>
      <c r="I102" s="46" t="n">
        <v>0.25</v>
      </c>
      <c r="J102" s="17" t="n"/>
      <c r="K102" s="17" t="inlineStr">
        <is>
          <t>2025</t>
        </is>
      </c>
    </row>
    <row r="103" ht="18" customHeight="1" s="149">
      <c r="A103" s="9" t="inlineStr">
        <is>
          <t>SANUT</t>
        </is>
      </c>
      <c r="B103" s="9" t="inlineStr">
        <is>
          <t>Antiparasitario/Farmacia</t>
        </is>
      </c>
      <c r="C103" s="9" t="inlineStr">
        <is>
          <t>Fiprostar Spot On Aplicador 2.68 ml</t>
        </is>
      </c>
      <c r="D103" s="9" t="inlineStr">
        <is>
          <t>Perro/Gato</t>
        </is>
      </c>
      <c r="E103" s="15" t="n">
        <v>1</v>
      </c>
      <c r="F103" s="41" t="n">
        <v>324</v>
      </c>
      <c r="G103" s="41" t="n">
        <v>405</v>
      </c>
      <c r="H103" s="41" t="n">
        <v>81</v>
      </c>
      <c r="I103" s="21" t="n">
        <v>0.25</v>
      </c>
      <c r="J103" s="9" t="n"/>
      <c r="K103" s="9" t="inlineStr">
        <is>
          <t>2025</t>
        </is>
      </c>
    </row>
    <row r="104" ht="18" customHeight="1" s="149">
      <c r="A104" s="17" t="inlineStr">
        <is>
          <t>SANUT</t>
        </is>
      </c>
      <c r="B104" s="17" t="inlineStr">
        <is>
          <t>Antiparasitario/Farmacia</t>
        </is>
      </c>
      <c r="C104" s="17" t="inlineStr">
        <is>
          <t>Apetitet Jarabe 100 ml</t>
        </is>
      </c>
      <c r="D104" s="17" t="inlineStr">
        <is>
          <t>Perro/Gato</t>
        </is>
      </c>
      <c r="E104" s="19" t="n">
        <v>1</v>
      </c>
      <c r="F104" s="42" t="n">
        <v>415</v>
      </c>
      <c r="G104" s="42" t="n">
        <v>518.75</v>
      </c>
      <c r="H104" s="42" t="n">
        <v>103.75</v>
      </c>
      <c r="I104" s="46" t="n">
        <v>0.25</v>
      </c>
      <c r="J104" s="17" t="n"/>
      <c r="K104" s="17" t="inlineStr">
        <is>
          <t>2025</t>
        </is>
      </c>
    </row>
    <row r="105" ht="18" customHeight="1" s="149">
      <c r="A105" s="9" t="inlineStr">
        <is>
          <t>SANUT</t>
        </is>
      </c>
      <c r="B105" s="9" t="inlineStr">
        <is>
          <t>Antiparasitario/Farmacia</t>
        </is>
      </c>
      <c r="C105" s="9" t="inlineStr">
        <is>
          <t>Fiprostar Spray 60 ml</t>
        </is>
      </c>
      <c r="D105" s="9" t="inlineStr">
        <is>
          <t>Perro/Gato</t>
        </is>
      </c>
      <c r="E105" s="15" t="n">
        <v>1</v>
      </c>
      <c r="F105" s="41" t="n">
        <v>380</v>
      </c>
      <c r="G105" s="41" t="n">
        <v>475</v>
      </c>
      <c r="H105" s="41" t="n">
        <v>95</v>
      </c>
      <c r="I105" s="21" t="n">
        <v>0.25</v>
      </c>
      <c r="J105" s="9" t="n"/>
      <c r="K105" s="9" t="inlineStr">
        <is>
          <t>2025</t>
        </is>
      </c>
    </row>
    <row r="106" ht="18" customHeight="1" s="149">
      <c r="A106" s="17" t="inlineStr">
        <is>
          <t>SANUT</t>
        </is>
      </c>
      <c r="B106" s="17" t="inlineStr">
        <is>
          <t>Antiparasitario/Farmacia</t>
        </is>
      </c>
      <c r="C106" s="17" t="inlineStr">
        <is>
          <t>Oxantel Gel 10 ml</t>
        </is>
      </c>
      <c r="D106" s="17" t="inlineStr">
        <is>
          <t>Perro/Gato</t>
        </is>
      </c>
      <c r="E106" s="19" t="n">
        <v>1</v>
      </c>
      <c r="F106" s="42" t="n">
        <v>295</v>
      </c>
      <c r="G106" s="42" t="n">
        <v>368.75</v>
      </c>
      <c r="H106" s="42" t="n">
        <v>73.75</v>
      </c>
      <c r="I106" s="46" t="n">
        <v>0.25</v>
      </c>
      <c r="J106" s="17" t="n"/>
      <c r="K106" s="17" t="inlineStr">
        <is>
          <t>2025</t>
        </is>
      </c>
    </row>
    <row r="107" ht="18" customHeight="1" s="149">
      <c r="A107" s="9" t="inlineStr">
        <is>
          <t>SANUT</t>
        </is>
      </c>
      <c r="B107" s="9" t="inlineStr">
        <is>
          <t>Antiparasitario/Farmacia</t>
        </is>
      </c>
      <c r="C107" s="9" t="inlineStr">
        <is>
          <t>Pramectica Caja 4 Tbs</t>
        </is>
      </c>
      <c r="D107" s="9" t="inlineStr">
        <is>
          <t>Perro/Gato</t>
        </is>
      </c>
      <c r="E107" s="15" t="n">
        <v>1</v>
      </c>
      <c r="F107" s="41" t="n">
        <v>175</v>
      </c>
      <c r="G107" s="41" t="n">
        <v>350</v>
      </c>
      <c r="H107" s="41" t="n">
        <v>175</v>
      </c>
      <c r="I107" s="21" t="n">
        <v>0.5</v>
      </c>
      <c r="J107" s="9" t="n"/>
      <c r="K107" s="9" t="inlineStr">
        <is>
          <t>2025</t>
        </is>
      </c>
    </row>
    <row r="108" ht="18" customHeight="1" s="149">
      <c r="A108" s="17" t="inlineStr">
        <is>
          <t>SANUT</t>
        </is>
      </c>
      <c r="B108" s="17" t="inlineStr">
        <is>
          <t>Antiparasitario/Farmacia</t>
        </is>
      </c>
      <c r="C108" s="17" t="inlineStr">
        <is>
          <t>Pañales Comfort Nappy 1-12 pc</t>
        </is>
      </c>
      <c r="D108" s="17" t="inlineStr">
        <is>
          <t>Perro/Gato</t>
        </is>
      </c>
      <c r="E108" s="19" t="n">
        <v>1</v>
      </c>
      <c r="F108" s="42" t="n">
        <v>461</v>
      </c>
      <c r="G108" s="42" t="n">
        <v>576.25</v>
      </c>
      <c r="H108" s="42" t="n">
        <v>115.25</v>
      </c>
      <c r="I108" s="46" t="n">
        <v>0.25</v>
      </c>
      <c r="J108" s="17" t="n"/>
      <c r="K108" s="17" t="inlineStr">
        <is>
          <t>2025</t>
        </is>
      </c>
    </row>
    <row r="109" ht="18" customHeight="1" s="149">
      <c r="A109" s="9" t="inlineStr">
        <is>
          <t>SANUT</t>
        </is>
      </c>
      <c r="B109" s="9" t="inlineStr">
        <is>
          <t>Antiparasitario/Farmacia</t>
        </is>
      </c>
      <c r="C109" s="9" t="inlineStr">
        <is>
          <t>Dog Chow Cachorro Extra Life Minis</t>
        </is>
      </c>
      <c r="D109" s="9" t="inlineStr">
        <is>
          <t>Perro/Gato</t>
        </is>
      </c>
      <c r="E109" s="15" t="n">
        <v>1</v>
      </c>
      <c r="F109" s="41" t="n">
        <v>504</v>
      </c>
      <c r="G109" s="41" t="n">
        <v>630</v>
      </c>
      <c r="H109" s="41" t="n">
        <v>126</v>
      </c>
      <c r="I109" s="21" t="n">
        <v>0.25</v>
      </c>
      <c r="J109" s="9" t="n"/>
      <c r="K109" s="9" t="inlineStr">
        <is>
          <t>2025</t>
        </is>
      </c>
    </row>
    <row r="110" ht="18" customHeight="1" s="149">
      <c r="A110" s="17" t="inlineStr">
        <is>
          <t>SANUT</t>
        </is>
      </c>
      <c r="B110" s="17" t="inlineStr">
        <is>
          <t>Antiparasitario/Farmacia</t>
        </is>
      </c>
      <c r="C110" s="17" t="inlineStr">
        <is>
          <t>Pad absorcion mascotas (M)</t>
        </is>
      </c>
      <c r="D110" s="17" t="inlineStr">
        <is>
          <t>Perro/Gato</t>
        </is>
      </c>
      <c r="E110" s="19" t="n">
        <v>1</v>
      </c>
      <c r="F110" s="42" t="n">
        <v>508</v>
      </c>
      <c r="G110" s="42" t="n">
        <v>635</v>
      </c>
      <c r="H110" s="42" t="n">
        <v>127</v>
      </c>
      <c r="I110" s="46" t="n">
        <v>0.25</v>
      </c>
      <c r="J110" s="17" t="n"/>
      <c r="K110" s="17" t="inlineStr">
        <is>
          <t>2025</t>
        </is>
      </c>
    </row>
    <row r="111" ht="18" customHeight="1" s="149">
      <c r="A111" s="9" t="inlineStr">
        <is>
          <t>SANUT</t>
        </is>
      </c>
      <c r="B111" s="9" t="inlineStr">
        <is>
          <t>Antiparasitario/Farmacia</t>
        </is>
      </c>
      <c r="C111" s="9" t="inlineStr">
        <is>
          <t>Belcando Adult Dinner 4 kg</t>
        </is>
      </c>
      <c r="D111" s="9" t="inlineStr">
        <is>
          <t>Perro/Gato</t>
        </is>
      </c>
      <c r="E111" s="15" t="n">
        <v>1</v>
      </c>
      <c r="F111" s="41" t="n">
        <v>1050</v>
      </c>
      <c r="G111" s="41" t="n">
        <v>1312.5</v>
      </c>
      <c r="H111" s="41" t="n">
        <v>262.5</v>
      </c>
      <c r="I111" s="21" t="n">
        <v>0.25</v>
      </c>
      <c r="J111" s="9" t="n"/>
      <c r="K111" s="9" t="inlineStr">
        <is>
          <t>2025</t>
        </is>
      </c>
    </row>
    <row r="112" ht="18" customHeight="1" s="149">
      <c r="A112" s="17" t="inlineStr">
        <is>
          <t>SANUT</t>
        </is>
      </c>
      <c r="B112" s="17" t="inlineStr">
        <is>
          <t>Antiparasitario/Farmacia</t>
        </is>
      </c>
      <c r="C112" s="17" t="inlineStr">
        <is>
          <t>Belcando Puppy GF Poultry 4 kg</t>
        </is>
      </c>
      <c r="D112" s="17" t="inlineStr">
        <is>
          <t>Perro/Gato</t>
        </is>
      </c>
      <c r="E112" s="19" t="n">
        <v>1</v>
      </c>
      <c r="F112" s="42" t="n">
        <v>1500</v>
      </c>
      <c r="G112" s="42" t="n">
        <v>1875</v>
      </c>
      <c r="H112" s="42" t="n">
        <v>375</v>
      </c>
      <c r="I112" s="46" t="n">
        <v>0.25</v>
      </c>
      <c r="J112" s="17" t="n"/>
      <c r="K112" s="17" t="inlineStr">
        <is>
          <t>2025</t>
        </is>
      </c>
    </row>
    <row r="113" ht="18" customHeight="1" s="149">
      <c r="A113" s="9" t="inlineStr">
        <is>
          <t>SANUT</t>
        </is>
      </c>
      <c r="B113" s="9" t="inlineStr">
        <is>
          <t>Antiparasitario/Farmacia</t>
        </is>
      </c>
      <c r="C113" s="9" t="inlineStr">
        <is>
          <t>Belcando Junior Lamb &amp; Rice 4 kg</t>
        </is>
      </c>
      <c r="D113" s="9" t="inlineStr">
        <is>
          <t>Perro/Gato</t>
        </is>
      </c>
      <c r="E113" s="15" t="n">
        <v>1</v>
      </c>
      <c r="F113" s="41" t="n">
        <v>1275</v>
      </c>
      <c r="G113" s="41" t="n">
        <v>1593.75</v>
      </c>
      <c r="H113" s="41" t="n">
        <v>318.75</v>
      </c>
      <c r="I113" s="21" t="n">
        <v>0.25</v>
      </c>
      <c r="J113" s="9" t="n"/>
      <c r="K113" s="9" t="inlineStr">
        <is>
          <t>2025</t>
        </is>
      </c>
    </row>
    <row r="114" ht="18" customHeight="1" s="149">
      <c r="A114" s="17" t="inlineStr">
        <is>
          <t>SANUT</t>
        </is>
      </c>
      <c r="B114" s="17" t="inlineStr">
        <is>
          <t>Antiparasitario/Farmacia</t>
        </is>
      </c>
      <c r="C114" s="17" t="inlineStr">
        <is>
          <t>Belcando Adult GF Beef 4 kg</t>
        </is>
      </c>
      <c r="D114" s="17" t="inlineStr">
        <is>
          <t>Perro/Gato</t>
        </is>
      </c>
      <c r="E114" s="19" t="n">
        <v>1</v>
      </c>
      <c r="F114" s="42" t="n">
        <v>1495</v>
      </c>
      <c r="G114" s="42" t="n">
        <v>1868.75</v>
      </c>
      <c r="H114" s="42" t="n">
        <v>373.75</v>
      </c>
      <c r="I114" s="46" t="n">
        <v>0.25</v>
      </c>
      <c r="J114" s="17" t="n"/>
      <c r="K114" s="17" t="inlineStr">
        <is>
          <t>2025</t>
        </is>
      </c>
    </row>
    <row r="115" ht="18" customHeight="1" s="149">
      <c r="A115" s="9" t="inlineStr">
        <is>
          <t>SANUT</t>
        </is>
      </c>
      <c r="B115" s="9" t="inlineStr">
        <is>
          <t>Antiparasitario/Farmacia</t>
        </is>
      </c>
      <c r="C115" s="9" t="inlineStr">
        <is>
          <t>Acana Free-Run Poultry 4.5 lb</t>
        </is>
      </c>
      <c r="D115" s="9" t="inlineStr">
        <is>
          <t>Perro/Gato</t>
        </is>
      </c>
      <c r="E115" s="15" t="n">
        <v>1</v>
      </c>
      <c r="F115" s="41" t="n">
        <v>1750</v>
      </c>
      <c r="G115" s="41" t="n">
        <v>2187.5</v>
      </c>
      <c r="H115" s="41" t="n">
        <v>437.5</v>
      </c>
      <c r="I115" s="21" t="n">
        <v>0.25</v>
      </c>
      <c r="J115" s="9" t="n"/>
      <c r="K115" s="9" t="inlineStr">
        <is>
          <t>2025</t>
        </is>
      </c>
    </row>
    <row r="116" ht="18" customHeight="1" s="149">
      <c r="A116" s="17" t="inlineStr">
        <is>
          <t>SANUT</t>
        </is>
      </c>
      <c r="B116" s="17" t="inlineStr">
        <is>
          <t>Antiparasitario/Farmacia</t>
        </is>
      </c>
      <c r="C116" s="17" t="inlineStr">
        <is>
          <t>Acana Puppy Recipe Junior Dog</t>
        </is>
      </c>
      <c r="D116" s="17" t="inlineStr">
        <is>
          <t>Perro/Gato</t>
        </is>
      </c>
      <c r="E116" s="19" t="n">
        <v>1</v>
      </c>
      <c r="F116" s="42" t="n">
        <v>1775</v>
      </c>
      <c r="G116" s="42" t="n">
        <v>2218.75</v>
      </c>
      <c r="H116" s="42" t="n">
        <v>443.75</v>
      </c>
      <c r="I116" s="46" t="n">
        <v>0.25</v>
      </c>
      <c r="J116" s="17" t="n"/>
      <c r="K116" s="17" t="inlineStr">
        <is>
          <t>2025</t>
        </is>
      </c>
    </row>
    <row r="117" ht="18" customHeight="1" s="149">
      <c r="A117" s="9" t="inlineStr">
        <is>
          <t>SANUT</t>
        </is>
      </c>
      <c r="B117" s="9" t="inlineStr">
        <is>
          <t>Antiparasitario/Farmacia</t>
        </is>
      </c>
      <c r="C117" s="9" t="inlineStr">
        <is>
          <t>Leonardo Kitten GF 300 g</t>
        </is>
      </c>
      <c r="D117" s="9" t="inlineStr">
        <is>
          <t>Perro/Gato</t>
        </is>
      </c>
      <c r="E117" s="15" t="n">
        <v>1</v>
      </c>
      <c r="F117" s="41" t="n">
        <v>175</v>
      </c>
      <c r="G117" s="41" t="n">
        <v>218.75</v>
      </c>
      <c r="H117" s="41" t="n">
        <v>43.75</v>
      </c>
      <c r="I117" s="21" t="n">
        <v>0.25</v>
      </c>
      <c r="J117" s="9" t="n"/>
      <c r="K117" s="9" t="inlineStr">
        <is>
          <t>2025</t>
        </is>
      </c>
    </row>
    <row r="118" ht="18" customHeight="1" s="149">
      <c r="A118" s="17" t="inlineStr">
        <is>
          <t>SANUT</t>
        </is>
      </c>
      <c r="B118" s="17" t="inlineStr">
        <is>
          <t>Antiparasitario/Farmacia</t>
        </is>
      </c>
      <c r="C118" s="17" t="inlineStr">
        <is>
          <t>Leonardo Fresh Salmon 250 g</t>
        </is>
      </c>
      <c r="D118" s="17" t="inlineStr">
        <is>
          <t>Perro/Gato</t>
        </is>
      </c>
      <c r="E118" s="19" t="n">
        <v>1</v>
      </c>
      <c r="F118" s="42" t="n">
        <v>375</v>
      </c>
      <c r="G118" s="42" t="n">
        <v>468.75</v>
      </c>
      <c r="H118" s="42" t="n">
        <v>93.75</v>
      </c>
      <c r="I118" s="46" t="n">
        <v>0.25</v>
      </c>
      <c r="J118" s="17" t="n"/>
      <c r="K118" s="17" t="inlineStr">
        <is>
          <t>2025</t>
        </is>
      </c>
    </row>
    <row r="119" ht="18" customHeight="1" s="149">
      <c r="A119" s="9" t="inlineStr">
        <is>
          <t>SANUT</t>
        </is>
      </c>
      <c r="B119" s="9" t="inlineStr">
        <is>
          <t>Antiparasitario/Farmacia</t>
        </is>
      </c>
      <c r="C119" s="9" t="inlineStr">
        <is>
          <t>Leonardo Adult GF Maxi 300 g</t>
        </is>
      </c>
      <c r="D119" s="9" t="inlineStr">
        <is>
          <t>Perro/Gato</t>
        </is>
      </c>
      <c r="E119" s="15" t="n">
        <v>1</v>
      </c>
      <c r="F119" s="41" t="n">
        <v>180</v>
      </c>
      <c r="G119" s="41" t="n">
        <v>225</v>
      </c>
      <c r="H119" s="41" t="n">
        <v>45</v>
      </c>
      <c r="I119" s="21" t="n">
        <v>0.25</v>
      </c>
      <c r="J119" s="9" t="n"/>
      <c r="K119" s="9" t="inlineStr">
        <is>
          <t>2025</t>
        </is>
      </c>
    </row>
    <row r="120" ht="18" customHeight="1" s="149">
      <c r="A120" s="17" t="inlineStr">
        <is>
          <t>SANUT</t>
        </is>
      </c>
      <c r="B120" s="17" t="inlineStr">
        <is>
          <t>Antiparasitario/Farmacia</t>
        </is>
      </c>
      <c r="C120" s="17" t="inlineStr">
        <is>
          <t>Atican Cachorro Pollo 4 lbs</t>
        </is>
      </c>
      <c r="D120" s="17" t="inlineStr">
        <is>
          <t>Perro/Gato</t>
        </is>
      </c>
      <c r="E120" s="19" t="n">
        <v>1</v>
      </c>
      <c r="F120" s="42" t="n">
        <v>440</v>
      </c>
      <c r="G120" s="42" t="n">
        <v>550</v>
      </c>
      <c r="H120" s="42" t="n">
        <v>110</v>
      </c>
      <c r="I120" s="46" t="n">
        <v>0.25</v>
      </c>
      <c r="J120" s="17" t="n"/>
      <c r="K120" s="17" t="inlineStr">
        <is>
          <t>2025</t>
        </is>
      </c>
    </row>
    <row r="121" ht="18" customHeight="1" s="149">
      <c r="A121" s="9" t="inlineStr">
        <is>
          <t>SANUT</t>
        </is>
      </c>
      <c r="B121" s="9" t="inlineStr">
        <is>
          <t>Antiparasitario/Farmacia</t>
        </is>
      </c>
      <c r="C121" s="9" t="inlineStr">
        <is>
          <t>Canovi Cachorro para Pequeño 4.4 lb</t>
        </is>
      </c>
      <c r="D121" s="9" t="inlineStr">
        <is>
          <t>Perro/Gato</t>
        </is>
      </c>
      <c r="E121" s="15" t="n">
        <v>1</v>
      </c>
      <c r="F121" s="41" t="n">
        <v>1580</v>
      </c>
      <c r="G121" s="41" t="n">
        <v>1975</v>
      </c>
      <c r="H121" s="41" t="n">
        <v>395</v>
      </c>
      <c r="I121" s="21" t="n">
        <v>0.25</v>
      </c>
      <c r="J121" s="9" t="n"/>
      <c r="K121" s="9" t="inlineStr">
        <is>
          <t>2025</t>
        </is>
      </c>
    </row>
    <row r="122" ht="18" customHeight="1" s="149">
      <c r="A122" s="17" t="inlineStr">
        <is>
          <t>SANUT</t>
        </is>
      </c>
      <c r="B122" s="17" t="inlineStr">
        <is>
          <t>Antiparasitario/Farmacia</t>
        </is>
      </c>
      <c r="C122" s="17" t="inlineStr">
        <is>
          <t>Papel LBT-2</t>
        </is>
      </c>
      <c r="D122" s="17" t="inlineStr">
        <is>
          <t>Perro/Gato</t>
        </is>
      </c>
      <c r="E122" s="19" t="n">
        <v>1</v>
      </c>
      <c r="F122" s="42" t="n">
        <v>150</v>
      </c>
      <c r="G122" s="42" t="n">
        <v>300</v>
      </c>
      <c r="H122" s="42" t="n">
        <v>150</v>
      </c>
      <c r="I122" s="46" t="n">
        <v>0.5</v>
      </c>
      <c r="J122" s="17" t="n"/>
      <c r="K122" s="17" t="inlineStr">
        <is>
          <t>2025</t>
        </is>
      </c>
    </row>
    <row r="123" ht="18" customHeight="1" s="149">
      <c r="A123" s="9" t="inlineStr">
        <is>
          <t>SANUT</t>
        </is>
      </c>
      <c r="B123" s="9" t="inlineStr">
        <is>
          <t>BEBIDA</t>
        </is>
      </c>
      <c r="C123" s="9" t="inlineStr">
        <is>
          <t>LEONARDO DRINK DUCK 40G (GATO)</t>
        </is>
      </c>
      <c r="D123" s="9" t="inlineStr">
        <is>
          <t>GATO</t>
        </is>
      </c>
      <c r="E123" s="15" t="n">
        <v>23</v>
      </c>
      <c r="F123" s="41" t="n">
        <v>1242</v>
      </c>
      <c r="G123" s="41" t="n">
        <v>1552.61</v>
      </c>
      <c r="H123" s="41" t="n">
        <v>310.61</v>
      </c>
      <c r="I123" s="16" t="n">
        <v>0.2</v>
      </c>
      <c r="J123" s="9" t="inlineStr">
        <is>
          <t>DUCK</t>
        </is>
      </c>
      <c r="K123" s="9" t="inlineStr">
        <is>
          <t>2025</t>
        </is>
      </c>
    </row>
    <row r="124" ht="18" customHeight="1" s="149">
      <c r="A124" s="17" t="inlineStr">
        <is>
          <t>SANUT</t>
        </is>
      </c>
      <c r="B124" s="17" t="inlineStr">
        <is>
          <t>BEBIDA</t>
        </is>
      </c>
      <c r="C124" s="17" t="inlineStr">
        <is>
          <t>LEONARDO DRINK SALMON 40G (GATO)</t>
        </is>
      </c>
      <c r="D124" s="17" t="inlineStr">
        <is>
          <t>GATO</t>
        </is>
      </c>
      <c r="E124" s="19" t="n">
        <v>22</v>
      </c>
      <c r="F124" s="42" t="n">
        <v>1388.92</v>
      </c>
      <c r="G124" s="42" t="n">
        <v>1736.15</v>
      </c>
      <c r="H124" s="42" t="n">
        <v>347.23</v>
      </c>
      <c r="I124" s="20" t="n">
        <v>0.2</v>
      </c>
      <c r="J124" s="17" t="inlineStr">
        <is>
          <t>SALMON</t>
        </is>
      </c>
      <c r="K124" s="17" t="inlineStr">
        <is>
          <t>2025</t>
        </is>
      </c>
    </row>
    <row r="125" ht="15.75" customHeight="1" s="149"/>
    <row r="126" ht="15.75" customHeight="1" s="149"/>
    <row r="127" ht="15.75" customHeight="1" s="149"/>
    <row r="128" ht="15.75" customHeight="1" s="149"/>
    <row r="129" ht="15.75" customHeight="1" s="149"/>
    <row r="130" ht="15.75" customHeight="1" s="149"/>
    <row r="131" ht="15.75" customHeight="1" s="149"/>
    <row r="132" ht="15.75" customHeight="1" s="149"/>
    <row r="133" ht="15.75" customHeight="1" s="149"/>
    <row r="134" ht="15.75" customHeight="1" s="149"/>
    <row r="135" ht="15.75" customHeight="1" s="149"/>
    <row r="136" ht="15.75" customHeight="1" s="149"/>
    <row r="137" ht="15.75" customHeight="1" s="149"/>
    <row r="138" ht="15.75" customHeight="1" s="149"/>
    <row r="139" ht="15.75" customHeight="1" s="149"/>
    <row r="140" ht="15.75" customHeight="1" s="149"/>
    <row r="141" ht="15.75" customHeight="1" s="149"/>
    <row r="142" ht="15.75" customHeight="1" s="149"/>
    <row r="143" ht="15.75" customHeight="1" s="149"/>
    <row r="144" ht="15.75" customHeight="1" s="149"/>
    <row r="145" ht="15.75" customHeight="1" s="149"/>
    <row r="146" ht="15.75" customHeight="1" s="149"/>
    <row r="147" ht="15.75" customHeight="1" s="149"/>
    <row r="148" ht="15.75" customHeight="1" s="149"/>
    <row r="149" ht="15.75" customHeight="1" s="149"/>
    <row r="150" ht="15.75" customHeight="1" s="149"/>
    <row r="151" ht="15.75" customHeight="1" s="149"/>
    <row r="152" ht="15.75" customHeight="1" s="149"/>
    <row r="153" ht="15.75" customHeight="1" s="149"/>
    <row r="154" ht="15.75" customHeight="1" s="149"/>
    <row r="155" ht="15.75" customHeight="1" s="149"/>
    <row r="156" ht="15.75" customHeight="1" s="149"/>
    <row r="157" ht="15.75" customHeight="1" s="149"/>
    <row r="158" ht="15.75" customHeight="1" s="149"/>
    <row r="159" ht="15.75" customHeight="1" s="149"/>
    <row r="160" ht="15.75" customHeight="1" s="149"/>
    <row r="161" ht="15.75" customHeight="1" s="149"/>
    <row r="162" ht="15.75" customHeight="1" s="149"/>
    <row r="163" ht="15.75" customHeight="1" s="149"/>
    <row r="164" ht="15.75" customHeight="1" s="149"/>
    <row r="165" ht="15.75" customHeight="1" s="149"/>
    <row r="166" ht="15.75" customHeight="1" s="149"/>
    <row r="167" ht="15.75" customHeight="1" s="149"/>
    <row r="168" ht="15.75" customHeight="1" s="149"/>
    <row r="169" ht="15.75" customHeight="1" s="149"/>
    <row r="170" ht="15.75" customHeight="1" s="149"/>
    <row r="171" ht="15.75" customHeight="1" s="149"/>
    <row r="172" ht="15.75" customHeight="1" s="149"/>
    <row r="173" ht="15.75" customHeight="1" s="149"/>
    <row r="174" ht="15.75" customHeight="1" s="149"/>
    <row r="175" ht="15.75" customHeight="1" s="149"/>
    <row r="176" ht="15.75" customHeight="1" s="149"/>
    <row r="177" ht="15.75" customHeight="1" s="149"/>
    <row r="178" ht="15.75" customHeight="1" s="149"/>
    <row r="179" ht="15.75" customHeight="1" s="149"/>
    <row r="180" ht="15.75" customHeight="1" s="149"/>
    <row r="181" ht="15.75" customHeight="1" s="149"/>
    <row r="182" ht="15.75" customHeight="1" s="149"/>
    <row r="183" ht="15.75" customHeight="1" s="149"/>
    <row r="184" ht="15.75" customHeight="1" s="149"/>
    <row r="185" ht="15.75" customHeight="1" s="149"/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4">
    <mergeCell ref="A4:H4"/>
    <mergeCell ref="A2:H2"/>
    <mergeCell ref="A49:K49"/>
    <mergeCell ref="A1:H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tabColor rgb="FF7C3AED"/>
    <outlinePr summaryBelow="1" summaryRight="1"/>
    <pageSetUpPr/>
  </sheetPr>
  <dimension ref="A1:N185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5" customWidth="1" style="149" min="1" max="1"/>
    <col width="26" customWidth="1" style="149" min="2" max="2"/>
    <col width="16" customWidth="1" style="149" min="3" max="3"/>
    <col width="28" customWidth="1" style="149" min="4" max="4"/>
    <col width="22" customWidth="1" style="149" min="5" max="5"/>
    <col width="12" customWidth="1" style="149" min="6" max="6"/>
    <col width="18" customWidth="1" style="149" min="7" max="7"/>
    <col width="7" customWidth="1" style="149" min="8" max="8"/>
    <col width="14" customWidth="1" style="149" min="9" max="9"/>
    <col width="15" customWidth="1" style="149" min="10" max="10"/>
    <col width="30" customWidth="1" style="149" min="11" max="11"/>
    <col width="16" customWidth="1" style="149" min="12" max="13"/>
    <col width="24" customWidth="1" style="149" min="14" max="14"/>
    <col width="8.710000000000001" customWidth="1" style="149" min="15" max="26"/>
  </cols>
  <sheetData>
    <row r="1" ht="39.75" customHeight="1" s="149">
      <c r="A1" s="150" t="inlineStr">
        <is>
          <t>🐾 PetColinas — BASE DE CLIENTES</t>
        </is>
      </c>
    </row>
    <row r="2" ht="19.5" customHeight="1" s="149">
      <c r="A2" s="151" t="inlineStr">
        <is>
          <t>182 mascotas registradas · Base de datos completa</t>
        </is>
      </c>
    </row>
    <row r="3" ht="25.5" customHeight="1" s="149">
      <c r="A3" s="47" t="inlineStr">
        <is>
          <t>#</t>
        </is>
      </c>
      <c r="B3" s="47" t="inlineStr">
        <is>
          <t>PROPIETARIO</t>
        </is>
      </c>
      <c r="C3" s="47" t="inlineStr">
        <is>
          <t>CELULAR</t>
        </is>
      </c>
      <c r="D3" s="47" t="inlineStr">
        <is>
          <t>CORREO</t>
        </is>
      </c>
      <c r="E3" s="47" t="inlineStr">
        <is>
          <t>MASCOTA</t>
        </is>
      </c>
      <c r="F3" s="47" t="inlineStr">
        <is>
          <t>ESPECIE</t>
        </is>
      </c>
      <c r="G3" s="47" t="inlineStr">
        <is>
          <t>RAZA</t>
        </is>
      </c>
      <c r="H3" s="47" t="inlineStr">
        <is>
          <t>SEXO</t>
        </is>
      </c>
      <c r="I3" s="47" t="inlineStr">
        <is>
          <t>COLOR</t>
        </is>
      </c>
      <c r="J3" s="47" t="inlineStr">
        <is>
          <t>F. NACIMIENTO</t>
        </is>
      </c>
      <c r="K3" s="47" t="inlineStr">
        <is>
          <t>DIRECCIÓN</t>
        </is>
      </c>
      <c r="L3" s="47" t="inlineStr">
        <is>
          <t>CÉDULA</t>
        </is>
      </c>
      <c r="M3" s="47" t="inlineStr">
        <is>
          <t>TEL. EMERG.</t>
        </is>
      </c>
      <c r="N3" s="47" t="inlineStr">
        <is>
          <t>OBSERVACIÓN</t>
        </is>
      </c>
    </row>
    <row r="4" ht="18" customHeight="1" s="149">
      <c r="A4" s="15" t="n">
        <v>1</v>
      </c>
      <c r="B4" s="9" t="inlineStr">
        <is>
          <t>Yenelis  Mejia</t>
        </is>
      </c>
      <c r="C4" s="9" t="inlineStr">
        <is>
          <t>829-717-8855</t>
        </is>
      </c>
      <c r="D4" s="9" t="inlineStr">
        <is>
          <t>YENELISMEJIA22@GMAIL.COM</t>
        </is>
      </c>
      <c r="E4" s="9" t="inlineStr">
        <is>
          <t>BELLA MEJIA</t>
        </is>
      </c>
      <c r="F4" s="9" t="inlineStr">
        <is>
          <t>PERRO</t>
        </is>
      </c>
      <c r="G4" s="9" t="inlineStr">
        <is>
          <t>SHIH TZU</t>
        </is>
      </c>
      <c r="H4" s="9" t="inlineStr">
        <is>
          <t>F</t>
        </is>
      </c>
      <c r="I4" s="9" t="inlineStr">
        <is>
          <t>Negro/ blanco</t>
        </is>
      </c>
      <c r="J4" s="9" t="inlineStr">
        <is>
          <t>2024-08-16</t>
        </is>
      </c>
      <c r="K4" s="9" t="inlineStr">
        <is>
          <t>Colinas del oeste , bloque LP9, APA G2</t>
        </is>
      </c>
      <c r="L4" s="9" t="inlineStr">
        <is>
          <t>9300686855-1</t>
        </is>
      </c>
      <c r="M4" s="9" t="inlineStr">
        <is>
          <t>829-308-1551</t>
        </is>
      </c>
      <c r="N4" s="9" t="inlineStr">
        <is>
          <t>NO</t>
        </is>
      </c>
    </row>
    <row r="5" ht="18" customHeight="1" s="149">
      <c r="A5" s="19" t="n">
        <v>2</v>
      </c>
      <c r="B5" s="17" t="inlineStr">
        <is>
          <t>Dahyana Polo</t>
        </is>
      </c>
      <c r="C5" s="17" t="inlineStr">
        <is>
          <t>809-215-6890</t>
        </is>
      </c>
      <c r="D5" s="17" t="inlineStr">
        <is>
          <t>dahyanapolo0702@gmail.com</t>
        </is>
      </c>
      <c r="E5" s="17" t="inlineStr">
        <is>
          <t>Luna Polo</t>
        </is>
      </c>
      <c r="F5" s="17" t="inlineStr">
        <is>
          <t>PERRO</t>
        </is>
      </c>
      <c r="G5" s="17" t="inlineStr">
        <is>
          <t>SHIH TZU</t>
        </is>
      </c>
      <c r="H5" s="17" t="inlineStr">
        <is>
          <t>F</t>
        </is>
      </c>
      <c r="I5" s="17" t="inlineStr">
        <is>
          <t>gris/blanco</t>
        </is>
      </c>
      <c r="J5" s="17" t="inlineStr">
        <is>
          <t>2024-01-20</t>
        </is>
      </c>
      <c r="K5" s="17" t="inlineStr">
        <is>
          <t>Colina del oeste, bloque D, edif 21, apar a4</t>
        </is>
      </c>
      <c r="L5" s="17" t="inlineStr">
        <is>
          <t>093-0055799-9</t>
        </is>
      </c>
      <c r="M5" s="17" t="inlineStr">
        <is>
          <t>809-696-48</t>
        </is>
      </c>
      <c r="N5" s="17" t="inlineStr">
        <is>
          <t>NO</t>
        </is>
      </c>
    </row>
    <row r="6" ht="18" customHeight="1" s="149">
      <c r="A6" s="15" t="n">
        <v>3</v>
      </c>
      <c r="B6" s="9" t="inlineStr">
        <is>
          <t>Brayan Chavez</t>
        </is>
      </c>
      <c r="C6" s="9" t="inlineStr">
        <is>
          <t>829-477-6083</t>
        </is>
      </c>
      <c r="D6" s="9" t="inlineStr">
        <is>
          <t>BRAYANCHAVEZ059@GMAIL.COM</t>
        </is>
      </c>
      <c r="E6" s="9" t="inlineStr">
        <is>
          <t>SHAINA CHAVEZ</t>
        </is>
      </c>
      <c r="F6" s="9" t="inlineStr">
        <is>
          <t>PERRO</t>
        </is>
      </c>
      <c r="G6" s="9" t="inlineStr">
        <is>
          <t>YORKIE-CHIHUAHUA</t>
        </is>
      </c>
      <c r="H6" s="9" t="inlineStr">
        <is>
          <t>F</t>
        </is>
      </c>
      <c r="I6" s="9" t="n"/>
      <c r="J6" s="9" t="inlineStr">
        <is>
          <t>2019-10-01</t>
        </is>
      </c>
      <c r="K6" s="9" t="inlineStr">
        <is>
          <t>Colinas del oeste , bloque 15, A1</t>
        </is>
      </c>
      <c r="L6" s="9" t="inlineStr">
        <is>
          <t>402-2472629-5</t>
        </is>
      </c>
      <c r="M6" s="9" t="inlineStr">
        <is>
          <t>829-293-7174</t>
        </is>
      </c>
      <c r="N6" s="9" t="inlineStr">
        <is>
          <t>NO</t>
        </is>
      </c>
    </row>
    <row r="7" ht="18" customHeight="1" s="149">
      <c r="A7" s="19" t="n">
        <v>4</v>
      </c>
      <c r="B7" s="17" t="inlineStr">
        <is>
          <t>Leydeli Aybar</t>
        </is>
      </c>
      <c r="C7" s="17" t="inlineStr">
        <is>
          <t>829-221-2608</t>
        </is>
      </c>
      <c r="D7" s="17" t="inlineStr">
        <is>
          <t>leydeliaybar0312@outlook.com</t>
        </is>
      </c>
      <c r="E7" s="17" t="inlineStr">
        <is>
          <t>Nicky DE LOS SANTOS</t>
        </is>
      </c>
      <c r="F7" s="17" t="inlineStr">
        <is>
          <t>PERRO</t>
        </is>
      </c>
      <c r="G7" s="17" t="inlineStr">
        <is>
          <t>POODLE</t>
        </is>
      </c>
      <c r="H7" s="17" t="inlineStr">
        <is>
          <t>M</t>
        </is>
      </c>
      <c r="I7" s="17" t="inlineStr">
        <is>
          <t>NEGRO</t>
        </is>
      </c>
      <c r="J7" s="17" t="inlineStr">
        <is>
          <t>2020-04-01</t>
        </is>
      </c>
      <c r="K7" s="17" t="inlineStr">
        <is>
          <t>Urb. Real, Torre Rcc 4a</t>
        </is>
      </c>
      <c r="L7" s="17" t="n"/>
      <c r="M7" s="17" t="inlineStr">
        <is>
          <t>809-608-8970</t>
        </is>
      </c>
      <c r="N7" s="17" t="inlineStr">
        <is>
          <t>NO</t>
        </is>
      </c>
    </row>
    <row r="8" ht="18" customHeight="1" s="149">
      <c r="A8" s="15" t="n">
        <v>5</v>
      </c>
      <c r="B8" s="9" t="inlineStr">
        <is>
          <t>Omar Alberto Rodriguez</t>
        </is>
      </c>
      <c r="C8" s="9" t="inlineStr">
        <is>
          <t>(829) 636-1922</t>
        </is>
      </c>
      <c r="D8" s="9" t="inlineStr">
        <is>
          <t>omareugenia@gmail.com</t>
        </is>
      </c>
      <c r="E8" s="9" t="inlineStr">
        <is>
          <t>Shyguy</t>
        </is>
      </c>
      <c r="F8" s="9" t="inlineStr">
        <is>
          <t>perro</t>
        </is>
      </c>
      <c r="G8" s="9" t="inlineStr">
        <is>
          <t>YORKIE</t>
        </is>
      </c>
      <c r="H8" s="9" t="inlineStr">
        <is>
          <t>M</t>
        </is>
      </c>
      <c r="I8" s="9" t="n"/>
      <c r="J8" s="9" t="inlineStr">
        <is>
          <t>2023-08-24</t>
        </is>
      </c>
      <c r="K8" s="9" t="inlineStr">
        <is>
          <t>Colinas 3, 26 apart a4</t>
        </is>
      </c>
      <c r="L8" s="9" t="inlineStr">
        <is>
          <t>402-2235873-7</t>
        </is>
      </c>
      <c r="M8" s="9" t="inlineStr">
        <is>
          <t>829-528-6994</t>
        </is>
      </c>
      <c r="N8" s="9" t="inlineStr">
        <is>
          <t>NO</t>
        </is>
      </c>
    </row>
    <row r="9" ht="18" customHeight="1" s="149">
      <c r="A9" s="19" t="n">
        <v>6</v>
      </c>
      <c r="B9" s="17" t="inlineStr">
        <is>
          <t>ANA ROCHA</t>
        </is>
      </c>
      <c r="C9" s="17" t="inlineStr">
        <is>
          <t>829-9182979</t>
        </is>
      </c>
      <c r="D9" s="17" t="inlineStr">
        <is>
          <t>ELAINE_ROCHA50@HOTMAIL.COM</t>
        </is>
      </c>
      <c r="E9" s="17" t="inlineStr">
        <is>
          <t>Ferxxi</t>
        </is>
      </c>
      <c r="F9" s="17" t="inlineStr">
        <is>
          <t>perro</t>
        </is>
      </c>
      <c r="G9" s="17" t="inlineStr">
        <is>
          <t>Shih-poo</t>
        </is>
      </c>
      <c r="H9" s="17" t="inlineStr">
        <is>
          <t>m</t>
        </is>
      </c>
      <c r="I9" s="17" t="inlineStr">
        <is>
          <t>blanco con marron</t>
        </is>
      </c>
      <c r="J9" s="17" t="inlineStr">
        <is>
          <t>2023-11-30</t>
        </is>
      </c>
      <c r="K9" s="17" t="inlineStr">
        <is>
          <t>RESIDENCIAL LP8 EDIF 26, APART 402</t>
        </is>
      </c>
      <c r="L9" s="17" t="inlineStr">
        <is>
          <t>402-2301611-0</t>
        </is>
      </c>
      <c r="M9" s="17" t="inlineStr">
        <is>
          <t>8494954712</t>
        </is>
      </c>
      <c r="N9" s="17" t="inlineStr">
        <is>
          <t>NO</t>
        </is>
      </c>
    </row>
    <row r="10" ht="18" customHeight="1" s="149">
      <c r="A10" s="15" t="n">
        <v>7</v>
      </c>
      <c r="B10" s="9" t="inlineStr">
        <is>
          <t>Carolina Lorenzo</t>
        </is>
      </c>
      <c r="C10" s="9" t="inlineStr">
        <is>
          <t>849-248-9138</t>
        </is>
      </c>
      <c r="D10" s="9" t="inlineStr">
        <is>
          <t>acarolinalorenzo1822@gmail.com</t>
        </is>
      </c>
      <c r="E10" s="9" t="inlineStr">
        <is>
          <t>Popy</t>
        </is>
      </c>
      <c r="F10" s="9" t="inlineStr">
        <is>
          <t>perro</t>
        </is>
      </c>
      <c r="G10" s="9" t="inlineStr">
        <is>
          <t>Yorkie</t>
        </is>
      </c>
      <c r="H10" s="9" t="inlineStr">
        <is>
          <t>m</t>
        </is>
      </c>
      <c r="I10" s="9" t="n"/>
      <c r="J10" s="9" t="n"/>
      <c r="K10" s="9" t="inlineStr">
        <is>
          <t>Colinas del oeste, bloque L3, apart c3</t>
        </is>
      </c>
      <c r="L10" s="9" t="inlineStr">
        <is>
          <t>002-0130215-5</t>
        </is>
      </c>
      <c r="M10" s="9" t="inlineStr">
        <is>
          <t>809-350-1807</t>
        </is>
      </c>
      <c r="N10" s="9" t="inlineStr">
        <is>
          <t>NO</t>
        </is>
      </c>
    </row>
    <row r="11" ht="18" customHeight="1" s="149">
      <c r="A11" s="19" t="n">
        <v>8</v>
      </c>
      <c r="B11" s="17" t="inlineStr">
        <is>
          <t>Lizarenni Estevez</t>
        </is>
      </c>
      <c r="C11" s="17" t="inlineStr">
        <is>
          <t>829-422-8585</t>
        </is>
      </c>
      <c r="D11" s="17" t="inlineStr">
        <is>
          <t>lizarenniestevez21@hotmail.com</t>
        </is>
      </c>
      <c r="E11" s="17" t="inlineStr">
        <is>
          <t>Luna Estevez</t>
        </is>
      </c>
      <c r="F11" s="17" t="inlineStr">
        <is>
          <t>perro</t>
        </is>
      </c>
      <c r="G11" s="17" t="inlineStr">
        <is>
          <t>SHIH TZU</t>
        </is>
      </c>
      <c r="H11" s="17" t="inlineStr">
        <is>
          <t>F</t>
        </is>
      </c>
      <c r="I11" s="17" t="inlineStr">
        <is>
          <t>NEGRO</t>
        </is>
      </c>
      <c r="J11" s="17" t="inlineStr">
        <is>
          <t>2024-06-02</t>
        </is>
      </c>
      <c r="K11" s="17" t="inlineStr">
        <is>
          <t>Colina del Oeste, calle Cordillera Septentrional #76, casa 76</t>
        </is>
      </c>
      <c r="L11" s="17" t="inlineStr">
        <is>
          <t>011-384730-5</t>
        </is>
      </c>
      <c r="M11" s="17" t="inlineStr">
        <is>
          <t>809-404-0000</t>
        </is>
      </c>
      <c r="N11" s="17" t="inlineStr">
        <is>
          <t>NO</t>
        </is>
      </c>
    </row>
    <row r="12" ht="18" customHeight="1" s="149">
      <c r="A12" s="15" t="n">
        <v>9</v>
      </c>
      <c r="B12" s="9" t="inlineStr">
        <is>
          <t>Ana Taveras</t>
        </is>
      </c>
      <c r="C12" s="9" t="inlineStr">
        <is>
          <t>829-639-6620</t>
        </is>
      </c>
      <c r="D12" s="9" t="inlineStr">
        <is>
          <t>ana.taveras@me.com</t>
        </is>
      </c>
      <c r="E12" s="9" t="inlineStr">
        <is>
          <t>Kaki TAVERAS</t>
        </is>
      </c>
      <c r="F12" s="9" t="inlineStr">
        <is>
          <t>perro</t>
        </is>
      </c>
      <c r="G12" s="9" t="inlineStr">
        <is>
          <t>Mestizo</t>
        </is>
      </c>
      <c r="H12" s="9" t="inlineStr">
        <is>
          <t>m</t>
        </is>
      </c>
      <c r="I12" s="9" t="n"/>
      <c r="J12" s="9" t="inlineStr">
        <is>
          <t>2012-05-01</t>
        </is>
      </c>
      <c r="K12" s="9" t="inlineStr">
        <is>
          <t>Colinas 3, Edifc 28, aPART A4</t>
        </is>
      </c>
      <c r="L12" s="9" t="inlineStr">
        <is>
          <t>5300265567</t>
        </is>
      </c>
      <c r="M12" s="9" t="inlineStr">
        <is>
          <t>809-939-8539</t>
        </is>
      </c>
      <c r="N12" s="9" t="inlineStr">
        <is>
          <t>Alergico a casi todo.</t>
        </is>
      </c>
    </row>
    <row r="13" ht="18" customHeight="1" s="149">
      <c r="A13" s="19" t="n">
        <v>10</v>
      </c>
      <c r="B13" s="17" t="inlineStr">
        <is>
          <t>Jennifer Feliz Lopez</t>
        </is>
      </c>
      <c r="C13" s="17" t="inlineStr">
        <is>
          <t>809-989-4933</t>
        </is>
      </c>
      <c r="D13" s="17" t="inlineStr">
        <is>
          <t>jfeliz2508@gmail.com</t>
        </is>
      </c>
      <c r="E13" s="17" t="inlineStr">
        <is>
          <t>Otto Herrera</t>
        </is>
      </c>
      <c r="F13" s="17" t="inlineStr">
        <is>
          <t>perro</t>
        </is>
      </c>
      <c r="G13" s="17" t="inlineStr">
        <is>
          <t>Mezcla Alquipu</t>
        </is>
      </c>
      <c r="H13" s="17" t="inlineStr">
        <is>
          <t>m</t>
        </is>
      </c>
      <c r="I13" s="17" t="n"/>
      <c r="J13" s="17" t="inlineStr">
        <is>
          <t>2021-06-09</t>
        </is>
      </c>
      <c r="K13" s="17" t="inlineStr">
        <is>
          <t>Residencial Colinas , Cordillera septentrional, edif l11, E3</t>
        </is>
      </c>
      <c r="L13" s="17" t="inlineStr">
        <is>
          <t>001-15065435</t>
        </is>
      </c>
      <c r="M13" s="17" t="inlineStr">
        <is>
          <t>809-412-6556</t>
        </is>
      </c>
      <c r="N13" s="17" t="inlineStr">
        <is>
          <t>No</t>
        </is>
      </c>
    </row>
    <row r="14" ht="18" customHeight="1" s="149">
      <c r="A14" s="15" t="n">
        <v>11</v>
      </c>
      <c r="B14" s="9" t="inlineStr">
        <is>
          <t>Samuel Hernandez De la Cruz</t>
        </is>
      </c>
      <c r="C14" s="9" t="inlineStr">
        <is>
          <t>809-350-5023</t>
        </is>
      </c>
      <c r="D14" s="9" t="inlineStr">
        <is>
          <t>1277SHD@GMAIL.COM</t>
        </is>
      </c>
      <c r="E14" s="9" t="inlineStr">
        <is>
          <t>Daiquiri HERNANDEZ</t>
        </is>
      </c>
      <c r="F14" s="9" t="inlineStr">
        <is>
          <t>perro</t>
        </is>
      </c>
      <c r="G14" s="9" t="n"/>
      <c r="H14" s="9" t="inlineStr">
        <is>
          <t>m</t>
        </is>
      </c>
      <c r="I14" s="9" t="n"/>
      <c r="J14" s="9" t="n"/>
      <c r="K14" s="9" t="inlineStr">
        <is>
          <t>Residencia Colinas del oseste, calle PICO DUARTE, CASA #15</t>
        </is>
      </c>
      <c r="L14" s="9" t="inlineStr">
        <is>
          <t>402-26756449</t>
        </is>
      </c>
      <c r="M14" s="9" t="inlineStr">
        <is>
          <t>849-220-7347</t>
        </is>
      </c>
      <c r="N14" s="9" t="inlineStr">
        <is>
          <t>REFLUJO</t>
        </is>
      </c>
    </row>
    <row r="15" ht="18" customHeight="1" s="149">
      <c r="A15" s="19" t="n">
        <v>12</v>
      </c>
      <c r="B15" s="17" t="inlineStr">
        <is>
          <t>Viannesa Sanchez</t>
        </is>
      </c>
      <c r="C15" s="17" t="inlineStr">
        <is>
          <t>829-684-7321</t>
        </is>
      </c>
      <c r="D15" s="17" t="inlineStr">
        <is>
          <t>vsss16@gmail.com</t>
        </is>
      </c>
      <c r="E15" s="17" t="inlineStr">
        <is>
          <t>Shayna Sanchez</t>
        </is>
      </c>
      <c r="F15" s="17" t="inlineStr">
        <is>
          <t>perro</t>
        </is>
      </c>
      <c r="G15" s="17" t="inlineStr">
        <is>
          <t>Pug</t>
        </is>
      </c>
      <c r="H15" s="17" t="inlineStr">
        <is>
          <t>f</t>
        </is>
      </c>
      <c r="I15" s="17" t="n"/>
      <c r="J15" s="17" t="inlineStr">
        <is>
          <t>2021-02-19</t>
        </is>
      </c>
      <c r="K15" s="17" t="inlineStr">
        <is>
          <t>Residencial colinas 3, apartamento 2a3</t>
        </is>
      </c>
      <c r="L15" s="17" t="inlineStr">
        <is>
          <t>026-0140339-3</t>
        </is>
      </c>
      <c r="M15" s="17" t="inlineStr">
        <is>
          <t>829-667-2794</t>
        </is>
      </c>
      <c r="N15" s="17" t="inlineStr">
        <is>
          <t>Alergica</t>
        </is>
      </c>
    </row>
    <row r="16" ht="18" customHeight="1" s="149">
      <c r="A16" s="15" t="n">
        <v>13</v>
      </c>
      <c r="B16" s="9" t="inlineStr">
        <is>
          <t>Massiel Mejia</t>
        </is>
      </c>
      <c r="C16" s="9" t="inlineStr">
        <is>
          <t>829-697-4851</t>
        </is>
      </c>
      <c r="D16" s="9" t="inlineStr">
        <is>
          <t>massielmejia04@hotmail.com</t>
        </is>
      </c>
      <c r="E16" s="9" t="inlineStr">
        <is>
          <t>Lucas Mejia</t>
        </is>
      </c>
      <c r="F16" s="9" t="inlineStr">
        <is>
          <t>perro</t>
        </is>
      </c>
      <c r="G16" s="9" t="inlineStr">
        <is>
          <t>Shih-poo</t>
        </is>
      </c>
      <c r="H16" s="9" t="inlineStr">
        <is>
          <t>m</t>
        </is>
      </c>
      <c r="I16" s="9" t="inlineStr">
        <is>
          <t>GRIS/BLANCO</t>
        </is>
      </c>
      <c r="J16" s="9" t="n"/>
      <c r="K16" s="9" t="inlineStr">
        <is>
          <t>Calle San Anton  casa #10, Sector Loyola</t>
        </is>
      </c>
      <c r="L16" s="9" t="inlineStr">
        <is>
          <t>402-2778647-8</t>
        </is>
      </c>
      <c r="M16" s="9" t="inlineStr">
        <is>
          <t>829-866-5714</t>
        </is>
      </c>
      <c r="N16" s="9" t="inlineStr">
        <is>
          <t>NO</t>
        </is>
      </c>
    </row>
    <row r="17" ht="18" customHeight="1" s="149">
      <c r="A17" s="19" t="n">
        <v>14</v>
      </c>
      <c r="B17" s="17" t="inlineStr">
        <is>
          <t>July Zaira Jimenez Soñé</t>
        </is>
      </c>
      <c r="C17" s="17" t="inlineStr">
        <is>
          <t>829-548-1279</t>
        </is>
      </c>
      <c r="D17" s="17" t="inlineStr">
        <is>
          <t>julyzaira@gmail.com</t>
        </is>
      </c>
      <c r="E17" s="17" t="inlineStr">
        <is>
          <t>Luna Jimenez</t>
        </is>
      </c>
      <c r="F17" s="17" t="inlineStr">
        <is>
          <t>perro</t>
        </is>
      </c>
      <c r="G17" s="17" t="inlineStr">
        <is>
          <t>Bichon habanero</t>
        </is>
      </c>
      <c r="H17" s="17" t="inlineStr">
        <is>
          <t>f</t>
        </is>
      </c>
      <c r="I17" s="17" t="inlineStr">
        <is>
          <t>blanco/gris/negro</t>
        </is>
      </c>
      <c r="J17" s="17" t="inlineStr">
        <is>
          <t>2018-05-18</t>
        </is>
      </c>
      <c r="K17" s="17" t="inlineStr">
        <is>
          <t>Colinas edificio 10, aparatamento 10 B4</t>
        </is>
      </c>
      <c r="L17" s="17" t="inlineStr">
        <is>
          <t>001-0157195-8</t>
        </is>
      </c>
      <c r="M17" s="17" t="inlineStr">
        <is>
          <t>-</t>
        </is>
      </c>
      <c r="N17" s="17" t="inlineStr">
        <is>
          <t>NO</t>
        </is>
      </c>
    </row>
    <row r="18" ht="18" customHeight="1" s="149">
      <c r="A18" s="15" t="n">
        <v>15</v>
      </c>
      <c r="B18" s="9" t="inlineStr">
        <is>
          <t>Alexander Cabral</t>
        </is>
      </c>
      <c r="C18" s="9" t="inlineStr">
        <is>
          <t>809-715-7870</t>
        </is>
      </c>
      <c r="D18" s="9" t="inlineStr">
        <is>
          <t>warysj@hotmail.com</t>
        </is>
      </c>
      <c r="E18" s="9" t="inlineStr">
        <is>
          <t>Loki Cabral</t>
        </is>
      </c>
      <c r="F18" s="9" t="inlineStr">
        <is>
          <t>perro</t>
        </is>
      </c>
      <c r="G18" s="9" t="inlineStr">
        <is>
          <t>Shih-poo</t>
        </is>
      </c>
      <c r="H18" s="9" t="inlineStr">
        <is>
          <t>m</t>
        </is>
      </c>
      <c r="I18" s="9" t="inlineStr">
        <is>
          <t>crema/blanco</t>
        </is>
      </c>
      <c r="J18" s="9" t="inlineStr">
        <is>
          <t>2024-11-22</t>
        </is>
      </c>
      <c r="K18" s="9" t="inlineStr">
        <is>
          <t>Calle quitaespuesla  bloque c apartamento 452, Colinas del Oeste</t>
        </is>
      </c>
      <c r="L18" s="9" t="inlineStr">
        <is>
          <t>001-1714940-1</t>
        </is>
      </c>
      <c r="M18" s="9" t="inlineStr">
        <is>
          <t>-</t>
        </is>
      </c>
      <c r="N18" s="9" t="n"/>
    </row>
    <row r="19" ht="18" customHeight="1" s="149">
      <c r="A19" s="19" t="n">
        <v>16</v>
      </c>
      <c r="B19" s="17" t="inlineStr">
        <is>
          <t>Wendy Suazo</t>
        </is>
      </c>
      <c r="C19" s="17" t="inlineStr">
        <is>
          <t>829-259-3719</t>
        </is>
      </c>
      <c r="D19" s="17" t="inlineStr">
        <is>
          <t>wssuazo@gmail.com</t>
        </is>
      </c>
      <c r="E19" s="17" t="inlineStr">
        <is>
          <t>Max (Marcos Armando)</t>
        </is>
      </c>
      <c r="F19" s="17" t="inlineStr">
        <is>
          <t>perro</t>
        </is>
      </c>
      <c r="G19" s="17" t="inlineStr">
        <is>
          <t>Maltes</t>
        </is>
      </c>
      <c r="H19" s="17" t="inlineStr">
        <is>
          <t>m</t>
        </is>
      </c>
      <c r="I19" s="17" t="inlineStr">
        <is>
          <t>blanco</t>
        </is>
      </c>
      <c r="J19" s="17" t="inlineStr">
        <is>
          <t>2025-01-15</t>
        </is>
      </c>
      <c r="K19" s="17" t="inlineStr">
        <is>
          <t>Colinas 3 edif 32, apart 32 a4</t>
        </is>
      </c>
      <c r="L19" s="17" t="inlineStr">
        <is>
          <t>084-0008483-9</t>
        </is>
      </c>
      <c r="M19" s="17" t="inlineStr">
        <is>
          <t>829-376-0869</t>
        </is>
      </c>
      <c r="N19" s="17" t="inlineStr">
        <is>
          <t>no</t>
        </is>
      </c>
    </row>
    <row r="20" ht="18" customHeight="1" s="149">
      <c r="A20" s="15" t="n">
        <v>17</v>
      </c>
      <c r="B20" s="9" t="inlineStr">
        <is>
          <t>Williams Aquino</t>
        </is>
      </c>
      <c r="C20" s="9" t="inlineStr">
        <is>
          <t>849-867-0601</t>
        </is>
      </c>
      <c r="D20" s="9" t="inlineStr">
        <is>
          <t>williamsaquino26@gmail.com</t>
        </is>
      </c>
      <c r="E20" s="9" t="inlineStr">
        <is>
          <t>Puppy</t>
        </is>
      </c>
      <c r="F20" s="9" t="inlineStr">
        <is>
          <t>perro</t>
        </is>
      </c>
      <c r="G20" s="9" t="inlineStr">
        <is>
          <t>Maltes - Poddler</t>
        </is>
      </c>
      <c r="H20" s="9" t="inlineStr">
        <is>
          <t>m</t>
        </is>
      </c>
      <c r="I20" s="9" t="inlineStr">
        <is>
          <t>BLANCO</t>
        </is>
      </c>
      <c r="J20" s="9" t="n"/>
      <c r="K20" s="9" t="inlineStr">
        <is>
          <t>Calle cordfillera sept, casa #38 A, Colinas del oeste</t>
        </is>
      </c>
      <c r="L20" s="9" t="inlineStr">
        <is>
          <t>402-1473348-5</t>
        </is>
      </c>
      <c r="M20" s="9" t="inlineStr">
        <is>
          <t>-</t>
        </is>
      </c>
      <c r="N20" s="9" t="inlineStr">
        <is>
          <t>NO</t>
        </is>
      </c>
    </row>
    <row r="21" ht="18" customHeight="1" s="149">
      <c r="A21" s="19" t="n">
        <v>18</v>
      </c>
      <c r="B21" s="17" t="inlineStr">
        <is>
          <t>Gabriel De la Rosa</t>
        </is>
      </c>
      <c r="C21" s="17" t="inlineStr">
        <is>
          <t>849-785-4854</t>
        </is>
      </c>
      <c r="D21" s="17" t="inlineStr">
        <is>
          <t>delarosafranciscog04@gmail.com</t>
        </is>
      </c>
      <c r="E21" s="17" t="inlineStr">
        <is>
          <t>Klaus DE LA ROSA</t>
        </is>
      </c>
      <c r="F21" s="17" t="inlineStr">
        <is>
          <t>perro</t>
        </is>
      </c>
      <c r="G21" s="17" t="inlineStr">
        <is>
          <t>Cocker spaniel</t>
        </is>
      </c>
      <c r="H21" s="17" t="inlineStr">
        <is>
          <t>m</t>
        </is>
      </c>
      <c r="I21" s="17" t="inlineStr">
        <is>
          <t>negro</t>
        </is>
      </c>
      <c r="J21" s="17" t="inlineStr">
        <is>
          <t>2020-07-12</t>
        </is>
      </c>
      <c r="K21" s="17" t="inlineStr">
        <is>
          <t>Colinas del Oeste, calle Septentrional #67</t>
        </is>
      </c>
      <c r="L21" s="17" t="inlineStr">
        <is>
          <t>40200609564</t>
        </is>
      </c>
      <c r="M21" s="17" t="inlineStr">
        <is>
          <t>8093720232</t>
        </is>
      </c>
      <c r="N21" s="17" t="n"/>
    </row>
    <row r="22" ht="18" customHeight="1" s="149">
      <c r="A22" s="15" t="n">
        <v>19</v>
      </c>
      <c r="B22" s="9" t="inlineStr">
        <is>
          <t>Leidy Vargas</t>
        </is>
      </c>
      <c r="C22" s="9" t="inlineStr">
        <is>
          <t>829-348-3386</t>
        </is>
      </c>
      <c r="D22" s="9" t="n"/>
      <c r="E22" s="9" t="inlineStr">
        <is>
          <t>Braulin</t>
        </is>
      </c>
      <c r="F22" s="9" t="inlineStr">
        <is>
          <t>perro</t>
        </is>
      </c>
      <c r="G22" s="9" t="inlineStr">
        <is>
          <t>Chihuahua</t>
        </is>
      </c>
      <c r="H22" s="9" t="inlineStr">
        <is>
          <t>m</t>
        </is>
      </c>
      <c r="I22" s="9" t="inlineStr">
        <is>
          <t>marron</t>
        </is>
      </c>
      <c r="J22" s="9" t="n"/>
      <c r="K22" s="9" t="inlineStr">
        <is>
          <t>Colinas 3</t>
        </is>
      </c>
      <c r="L22" s="9" t="inlineStr">
        <is>
          <t>pendiente</t>
        </is>
      </c>
      <c r="M22" s="9" t="n"/>
      <c r="N22" s="9" t="n"/>
    </row>
    <row r="23" ht="18" customHeight="1" s="149">
      <c r="A23" s="19" t="n">
        <v>20</v>
      </c>
      <c r="B23" s="17" t="inlineStr">
        <is>
          <t>Jose Luis Acosta</t>
        </is>
      </c>
      <c r="C23" s="17" t="inlineStr">
        <is>
          <t>8297971862</t>
        </is>
      </c>
      <c r="D23" s="17" t="inlineStr">
        <is>
          <t>joseluisacosta25@hotmail.com</t>
        </is>
      </c>
      <c r="E23" s="17" t="inlineStr">
        <is>
          <t>Andrws</t>
        </is>
      </c>
      <c r="F23" s="17" t="inlineStr">
        <is>
          <t>perro</t>
        </is>
      </c>
      <c r="G23" s="17" t="inlineStr">
        <is>
          <t>Hoskey Siveriano</t>
        </is>
      </c>
      <c r="H23" s="17" t="inlineStr">
        <is>
          <t>m</t>
        </is>
      </c>
      <c r="I23" s="17" t="n"/>
      <c r="J23" s="17" t="inlineStr">
        <is>
          <t>2021-10-30</t>
        </is>
      </c>
      <c r="K23" s="17" t="inlineStr">
        <is>
          <t>Colinas 3, edifc 33, apt B3</t>
        </is>
      </c>
      <c r="L23" s="17" t="inlineStr">
        <is>
          <t>6900096741</t>
        </is>
      </c>
      <c r="M23" s="17" t="inlineStr">
        <is>
          <t>8097013836</t>
        </is>
      </c>
      <c r="N23" s="17" t="inlineStr">
        <is>
          <t>no</t>
        </is>
      </c>
    </row>
    <row r="24" ht="18" customHeight="1" s="149">
      <c r="A24" s="15" t="n">
        <v>21</v>
      </c>
      <c r="B24" s="9" t="inlineStr">
        <is>
          <t>Penelope Diaz</t>
        </is>
      </c>
      <c r="C24" s="9" t="inlineStr">
        <is>
          <t>8297262182</t>
        </is>
      </c>
      <c r="D24" s="9" t="inlineStr">
        <is>
          <t>PENEPOLEDIAZ_03@HOTMAIL.COM</t>
        </is>
      </c>
      <c r="E24" s="9" t="inlineStr">
        <is>
          <t>BENJI DIAZ</t>
        </is>
      </c>
      <c r="F24" s="9" t="inlineStr">
        <is>
          <t>PERRO</t>
        </is>
      </c>
      <c r="G24" s="9" t="inlineStr">
        <is>
          <t>BERNADUT</t>
        </is>
      </c>
      <c r="H24" s="9" t="inlineStr">
        <is>
          <t>M</t>
        </is>
      </c>
      <c r="I24" s="9" t="inlineStr">
        <is>
          <t>NEGRO</t>
        </is>
      </c>
      <c r="J24" s="9" t="inlineStr">
        <is>
          <t>2024-03-11</t>
        </is>
      </c>
      <c r="K24" s="9" t="inlineStr">
        <is>
          <t>Calle Maria trinidad sanchez, residencial LP8, EFDIC 38, 402</t>
        </is>
      </c>
      <c r="L24" s="9" t="inlineStr">
        <is>
          <t>118754308</t>
        </is>
      </c>
      <c r="M24" s="9" t="inlineStr">
        <is>
          <t>8098845190</t>
        </is>
      </c>
      <c r="N24" s="9" t="inlineStr">
        <is>
          <t>NO</t>
        </is>
      </c>
    </row>
    <row r="25" ht="18" customHeight="1" s="149">
      <c r="A25" s="19" t="n">
        <v>22</v>
      </c>
      <c r="B25" s="17" t="inlineStr">
        <is>
          <t>Francisco Martinez</t>
        </is>
      </c>
      <c r="C25" s="17" t="inlineStr">
        <is>
          <t>849-457-4439</t>
        </is>
      </c>
      <c r="D25" s="17" t="inlineStr">
        <is>
          <t>fmv28@hotmail.com</t>
        </is>
      </c>
      <c r="E25" s="17" t="inlineStr">
        <is>
          <t>Cleo</t>
        </is>
      </c>
      <c r="F25" s="17" t="inlineStr">
        <is>
          <t>perro</t>
        </is>
      </c>
      <c r="G25" s="17" t="inlineStr">
        <is>
          <t>indefinida</t>
        </is>
      </c>
      <c r="H25" s="17" t="inlineStr">
        <is>
          <t>f</t>
        </is>
      </c>
      <c r="I25" s="17" t="n"/>
      <c r="J25" s="17" t="n"/>
      <c r="K25" s="17" t="inlineStr">
        <is>
          <t>Colinas de Oeste, Don Juan A2</t>
        </is>
      </c>
      <c r="L25" s="17" t="inlineStr">
        <is>
          <t>40233082789</t>
        </is>
      </c>
      <c r="M25" s="17" t="inlineStr">
        <is>
          <t>829-635-9977</t>
        </is>
      </c>
      <c r="N25" s="17" t="n"/>
    </row>
    <row r="26" ht="18" customHeight="1" s="149">
      <c r="A26" s="15" t="n">
        <v>23</v>
      </c>
      <c r="B26" s="9" t="inlineStr">
        <is>
          <t>Reiny Rodriguez</t>
        </is>
      </c>
      <c r="C26" s="9" t="inlineStr">
        <is>
          <t>8296522510</t>
        </is>
      </c>
      <c r="D26" s="9" t="inlineStr">
        <is>
          <t>reinyester01@efgo.com</t>
        </is>
      </c>
      <c r="E26" s="9" t="inlineStr">
        <is>
          <t>Mel</t>
        </is>
      </c>
      <c r="F26" s="9" t="inlineStr">
        <is>
          <t>perro</t>
        </is>
      </c>
      <c r="G26" s="9" t="inlineStr">
        <is>
          <t>Shih tzu</t>
        </is>
      </c>
      <c r="H26" s="9" t="inlineStr">
        <is>
          <t>f</t>
        </is>
      </c>
      <c r="I26" s="9" t="n"/>
      <c r="J26" s="9" t="inlineStr">
        <is>
          <t>2025-03-12</t>
        </is>
      </c>
      <c r="K26" s="9" t="inlineStr">
        <is>
          <t>R. Lp8, Apartamento 52</t>
        </is>
      </c>
      <c r="L26" s="9" t="inlineStr">
        <is>
          <t>40232973236</t>
        </is>
      </c>
      <c r="M26" s="9" t="inlineStr">
        <is>
          <t>-</t>
        </is>
      </c>
      <c r="N26" s="9" t="inlineStr">
        <is>
          <t>no</t>
        </is>
      </c>
    </row>
    <row r="27" ht="18" customHeight="1" s="149">
      <c r="A27" s="19" t="n">
        <v>24</v>
      </c>
      <c r="B27" s="17" t="inlineStr">
        <is>
          <t>Betania Segura</t>
        </is>
      </c>
      <c r="C27" s="17" t="inlineStr">
        <is>
          <t>809-483-1674</t>
        </is>
      </c>
      <c r="D27" s="17" t="inlineStr">
        <is>
          <t>betasanchez.17@hotmail.com</t>
        </is>
      </c>
      <c r="E27" s="17" t="inlineStr">
        <is>
          <t>Pinot</t>
        </is>
      </c>
      <c r="F27" s="17" t="inlineStr">
        <is>
          <t>perro</t>
        </is>
      </c>
      <c r="G27" s="17" t="inlineStr">
        <is>
          <t>Chihuahua</t>
        </is>
      </c>
      <c r="H27" s="17" t="inlineStr">
        <is>
          <t>m</t>
        </is>
      </c>
      <c r="I27" s="17" t="n"/>
      <c r="J27" s="17" t="n"/>
      <c r="K27" s="17" t="inlineStr">
        <is>
          <t>Colinas 3, apart 28, A2</t>
        </is>
      </c>
      <c r="L27" s="17" t="inlineStr">
        <is>
          <t>173017179</t>
        </is>
      </c>
      <c r="M27" s="17" t="inlineStr">
        <is>
          <t>829-843-1674</t>
        </is>
      </c>
      <c r="N27" s="17" t="n"/>
    </row>
    <row r="28" ht="18" customHeight="1" s="149">
      <c r="A28" s="15" t="n">
        <v>25</v>
      </c>
      <c r="B28" s="9" t="inlineStr">
        <is>
          <t>Linabel Perez</t>
        </is>
      </c>
      <c r="C28" s="9" t="inlineStr">
        <is>
          <t>829-677-0309</t>
        </is>
      </c>
      <c r="D28" s="9" t="inlineStr">
        <is>
          <t>linabel9411@hotmail.com</t>
        </is>
      </c>
      <c r="E28" s="9" t="inlineStr">
        <is>
          <t>Copito PEREZ</t>
        </is>
      </c>
      <c r="F28" s="9" t="inlineStr">
        <is>
          <t>canina</t>
        </is>
      </c>
      <c r="G28" s="9" t="inlineStr">
        <is>
          <t>Shih tzu</t>
        </is>
      </c>
      <c r="H28" s="9" t="inlineStr">
        <is>
          <t>m</t>
        </is>
      </c>
      <c r="I28" s="9" t="inlineStr">
        <is>
          <t>Presenta una llaguita en la barriga</t>
        </is>
      </c>
      <c r="J28" s="9" t="n"/>
      <c r="K28" s="9" t="inlineStr">
        <is>
          <t>Residencial Colinas del Oeste, Calle Pico Duarte, edificio L4, apto L4i2.</t>
        </is>
      </c>
      <c r="L28" s="9" t="inlineStr">
        <is>
          <t>40223191269</t>
        </is>
      </c>
      <c r="M28" s="9" t="inlineStr">
        <is>
          <t>829-760-6345</t>
        </is>
      </c>
      <c r="N28" s="9" t="inlineStr">
        <is>
          <t>no</t>
        </is>
      </c>
    </row>
    <row r="29" ht="18" customHeight="1" s="149">
      <c r="A29" s="19" t="n">
        <v>26</v>
      </c>
      <c r="B29" s="17" t="inlineStr">
        <is>
          <t>Rosa Sanchez Ramos</t>
        </is>
      </c>
      <c r="C29" s="17" t="inlineStr">
        <is>
          <t>849-352-0218</t>
        </is>
      </c>
      <c r="D29" s="17" t="inlineStr">
        <is>
          <t>backuprosa52@gmail.com</t>
        </is>
      </c>
      <c r="E29" s="17" t="inlineStr">
        <is>
          <t>Mia Pon Sanchez</t>
        </is>
      </c>
      <c r="F29" s="17" t="inlineStr">
        <is>
          <t>canina</t>
        </is>
      </c>
      <c r="G29" s="17" t="inlineStr">
        <is>
          <t>Shih tzu</t>
        </is>
      </c>
      <c r="H29" s="17" t="inlineStr">
        <is>
          <t>f</t>
        </is>
      </c>
      <c r="I29" s="17" t="inlineStr">
        <is>
          <t>Sensible  a la piel</t>
        </is>
      </c>
      <c r="J29" s="17" t="inlineStr">
        <is>
          <t>2021-11-27</t>
        </is>
      </c>
      <c r="K29" s="17" t="inlineStr">
        <is>
          <t>Colinas deoeste, cale Pico duarte, lote 2, apato b3</t>
        </is>
      </c>
      <c r="L29" s="17" t="inlineStr">
        <is>
          <t>40230094332</t>
        </is>
      </c>
      <c r="M29" s="17" t="inlineStr">
        <is>
          <t>809-537-0237</t>
        </is>
      </c>
      <c r="N29" s="17" t="inlineStr">
        <is>
          <t>no</t>
        </is>
      </c>
    </row>
    <row r="30" ht="18" customHeight="1" s="149">
      <c r="A30" s="15" t="n">
        <v>27</v>
      </c>
      <c r="B30" s="9" t="inlineStr">
        <is>
          <t>Karina Santana</t>
        </is>
      </c>
      <c r="C30" s="9" t="inlineStr">
        <is>
          <t>8097142092</t>
        </is>
      </c>
      <c r="D30" s="9" t="inlineStr">
        <is>
          <t>kari_aaron1207@hotmail.com</t>
        </is>
      </c>
      <c r="E30" s="9" t="n"/>
      <c r="F30" s="9" t="inlineStr">
        <is>
          <t>canina</t>
        </is>
      </c>
      <c r="G30" s="9" t="inlineStr">
        <is>
          <t>Shih-poo</t>
        </is>
      </c>
      <c r="H30" s="9" t="inlineStr">
        <is>
          <t>m</t>
        </is>
      </c>
      <c r="I30" s="9" t="n"/>
      <c r="J30" s="9" t="inlineStr">
        <is>
          <t>2020-02-15</t>
        </is>
      </c>
      <c r="K30" s="9" t="inlineStr">
        <is>
          <t>Colinas del oeste, calle septentrional, apto lote 11 k4</t>
        </is>
      </c>
      <c r="L30" s="9" t="inlineStr">
        <is>
          <t>22400071803</t>
        </is>
      </c>
      <c r="M30" s="9" t="inlineStr">
        <is>
          <t>8095018793</t>
        </is>
      </c>
      <c r="N30" s="9" t="inlineStr">
        <is>
          <t>no</t>
        </is>
      </c>
    </row>
    <row r="31" ht="18" customHeight="1" s="149">
      <c r="A31" s="19" t="n">
        <v>28</v>
      </c>
      <c r="B31" s="17" t="inlineStr">
        <is>
          <t>Manuel</t>
        </is>
      </c>
      <c r="C31" s="17" t="inlineStr">
        <is>
          <t>(829) 325-4929</t>
        </is>
      </c>
      <c r="D31" s="17" t="n"/>
      <c r="E31" s="17" t="inlineStr">
        <is>
          <t>Maicol</t>
        </is>
      </c>
      <c r="F31" s="17" t="inlineStr">
        <is>
          <t>canina</t>
        </is>
      </c>
      <c r="G31" s="17" t="inlineStr">
        <is>
          <t>Shih tzu</t>
        </is>
      </c>
      <c r="H31" s="17" t="inlineStr">
        <is>
          <t>m</t>
        </is>
      </c>
      <c r="I31" s="17" t="n"/>
      <c r="J31" s="17" t="n"/>
      <c r="K31" s="17" t="n"/>
      <c r="L31" s="17" t="n"/>
      <c r="M31" s="17" t="n"/>
      <c r="N31" s="17" t="n"/>
    </row>
    <row r="32" ht="18" customHeight="1" s="149">
      <c r="A32" s="15" t="n">
        <v>29</v>
      </c>
      <c r="B32" s="9" t="inlineStr">
        <is>
          <t>Sheila Custodio Villano</t>
        </is>
      </c>
      <c r="C32" s="9" t="inlineStr">
        <is>
          <t>8292529630</t>
        </is>
      </c>
      <c r="D32" s="9" t="inlineStr">
        <is>
          <t>crystalvillar.cv@gmail.com</t>
        </is>
      </c>
      <c r="E32" s="9" t="inlineStr">
        <is>
          <t>ESTRELLA CUSTODIO</t>
        </is>
      </c>
      <c r="F32" s="9" t="inlineStr">
        <is>
          <t>canina</t>
        </is>
      </c>
      <c r="G32" s="9" t="inlineStr">
        <is>
          <t>POODLE</t>
        </is>
      </c>
      <c r="H32" s="9" t="inlineStr">
        <is>
          <t>f</t>
        </is>
      </c>
      <c r="I32" s="9" t="n"/>
      <c r="J32" s="9" t="inlineStr">
        <is>
          <t>2025-09-01</t>
        </is>
      </c>
      <c r="K32" s="9" t="inlineStr">
        <is>
          <t>Palmas criolla #6, sector Ecombes, casa #22.</t>
        </is>
      </c>
      <c r="L32" s="9" t="inlineStr">
        <is>
          <t>40222114809</t>
        </is>
      </c>
      <c r="M32" s="9" t="inlineStr">
        <is>
          <t>849-6351869</t>
        </is>
      </c>
      <c r="N32" s="9" t="inlineStr">
        <is>
          <t>no</t>
        </is>
      </c>
    </row>
    <row r="33" ht="18" customHeight="1" s="149">
      <c r="A33" s="19" t="n">
        <v>30</v>
      </c>
      <c r="B33" s="17" t="inlineStr">
        <is>
          <t>Edwin Marcano</t>
        </is>
      </c>
      <c r="C33" s="17" t="inlineStr">
        <is>
          <t>9395290726</t>
        </is>
      </c>
      <c r="D33" s="17" t="inlineStr">
        <is>
          <t>emarcanorosa@gmail.com</t>
        </is>
      </c>
      <c r="E33" s="17" t="inlineStr">
        <is>
          <t>Max Marcano</t>
        </is>
      </c>
      <c r="F33" s="17" t="inlineStr">
        <is>
          <t>canina</t>
        </is>
      </c>
      <c r="G33" s="17" t="inlineStr">
        <is>
          <t>shih poo</t>
        </is>
      </c>
      <c r="H33" s="17" t="inlineStr">
        <is>
          <t>m</t>
        </is>
      </c>
      <c r="I33" s="17" t="n"/>
      <c r="J33" s="17" t="inlineStr">
        <is>
          <t>2025-02-25</t>
        </is>
      </c>
      <c r="K33" s="17" t="inlineStr">
        <is>
          <t>Valle Encantado (pendiente)</t>
        </is>
      </c>
      <c r="L33" s="17" t="inlineStr">
        <is>
          <t>596098669</t>
        </is>
      </c>
      <c r="M33" s="17" t="n"/>
      <c r="N33" s="17" t="inlineStr">
        <is>
          <t>no</t>
        </is>
      </c>
    </row>
    <row r="34" ht="18" customHeight="1" s="149">
      <c r="A34" s="15" t="n">
        <v>31</v>
      </c>
      <c r="B34" s="9" t="inlineStr">
        <is>
          <t>Luis Alberto Checo</t>
        </is>
      </c>
      <c r="C34" s="9" t="inlineStr">
        <is>
          <t>829-335-8229</t>
        </is>
      </c>
      <c r="D34" s="9" t="inlineStr">
        <is>
          <t>checosoto40@gmail.com</t>
        </is>
      </c>
      <c r="E34" s="9" t="inlineStr">
        <is>
          <t>Luna Checo</t>
        </is>
      </c>
      <c r="F34" s="9" t="inlineStr">
        <is>
          <t>canina</t>
        </is>
      </c>
      <c r="G34" s="9" t="inlineStr">
        <is>
          <t>maltes mix</t>
        </is>
      </c>
      <c r="H34" s="9" t="inlineStr">
        <is>
          <t>f</t>
        </is>
      </c>
      <c r="I34" s="9" t="n"/>
      <c r="J34" s="9" t="n"/>
      <c r="K34" s="9" t="inlineStr">
        <is>
          <t>Manoguayabo, Ciriaco nunez #26.</t>
        </is>
      </c>
      <c r="L34" s="9" t="inlineStr">
        <is>
          <t>40223156882</t>
        </is>
      </c>
      <c r="M34" s="9" t="inlineStr">
        <is>
          <t>809-317-4607</t>
        </is>
      </c>
      <c r="N34" s="9" t="n"/>
    </row>
    <row r="35" ht="18" customHeight="1" s="149">
      <c r="A35" s="19" t="n">
        <v>32</v>
      </c>
      <c r="B35" s="17" t="inlineStr">
        <is>
          <t>Rosmery</t>
        </is>
      </c>
      <c r="C35" s="17" t="inlineStr">
        <is>
          <t>8492143084</t>
        </is>
      </c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</row>
    <row r="36" ht="18" customHeight="1" s="149">
      <c r="A36" s="15" t="n">
        <v>33</v>
      </c>
      <c r="B36" s="9" t="inlineStr">
        <is>
          <t>Elian Bautista</t>
        </is>
      </c>
      <c r="C36" s="9" t="inlineStr">
        <is>
          <t>809-874-6866</t>
        </is>
      </c>
      <c r="D36" s="9" t="inlineStr">
        <is>
          <t>elianroble476@gmail.com</t>
        </is>
      </c>
      <c r="E36" s="9" t="inlineStr">
        <is>
          <t>Chiquito</t>
        </is>
      </c>
      <c r="F36" s="9" t="inlineStr">
        <is>
          <t>canina</t>
        </is>
      </c>
      <c r="G36" s="9" t="inlineStr">
        <is>
          <t>Shih tzu</t>
        </is>
      </c>
      <c r="H36" s="9" t="inlineStr">
        <is>
          <t>m</t>
        </is>
      </c>
      <c r="I36" s="9" t="n"/>
      <c r="J36" s="9" t="n"/>
      <c r="K36" s="9" t="inlineStr">
        <is>
          <t>Colinas del Oeste, calle septetrional, aparto L9 h4</t>
        </is>
      </c>
      <c r="L36" s="9" t="inlineStr">
        <is>
          <t>40211423062</t>
        </is>
      </c>
      <c r="M36" s="9" t="inlineStr">
        <is>
          <t>8097069011</t>
        </is>
      </c>
      <c r="N36" s="9" t="n"/>
    </row>
    <row r="37" ht="18" customHeight="1" s="149">
      <c r="A37" s="19" t="n">
        <v>34</v>
      </c>
      <c r="B37" s="17" t="inlineStr">
        <is>
          <t>Yelissa Garcia</t>
        </is>
      </c>
      <c r="C37" s="17" t="inlineStr">
        <is>
          <t>809-657-9909</t>
        </is>
      </c>
      <c r="D37" s="17" t="n"/>
      <c r="E37" s="17" t="inlineStr">
        <is>
          <t>Lia</t>
        </is>
      </c>
      <c r="F37" s="17" t="inlineStr">
        <is>
          <t>canina</t>
        </is>
      </c>
      <c r="G37" s="17" t="inlineStr">
        <is>
          <t>Hoskey</t>
        </is>
      </c>
      <c r="H37" s="17" t="inlineStr">
        <is>
          <t>f</t>
        </is>
      </c>
      <c r="I37" s="17" t="inlineStr">
        <is>
          <t>BLANCO</t>
        </is>
      </c>
      <c r="J37" s="17" t="inlineStr">
        <is>
          <t>2021-02-27</t>
        </is>
      </c>
      <c r="K37" s="17" t="inlineStr">
        <is>
          <t>Colinas del Oeste</t>
        </is>
      </c>
      <c r="L37" s="17" t="n"/>
      <c r="M37" s="17" t="n"/>
      <c r="N37" s="17" t="n"/>
    </row>
    <row r="38" ht="18" customHeight="1" s="149">
      <c r="A38" s="15" t="n">
        <v>35</v>
      </c>
      <c r="B38" s="9" t="inlineStr">
        <is>
          <t>Elizabeth Moscoso</t>
        </is>
      </c>
      <c r="C38" s="9" t="inlineStr">
        <is>
          <t>8293403146</t>
        </is>
      </c>
      <c r="D38" s="9" t="inlineStr">
        <is>
          <t>elyzabeth20@hotmail.com</t>
        </is>
      </c>
      <c r="E38" s="9" t="inlineStr">
        <is>
          <t>Luna Juliao</t>
        </is>
      </c>
      <c r="F38" s="9" t="inlineStr">
        <is>
          <t>canina</t>
        </is>
      </c>
      <c r="G38" s="9" t="inlineStr">
        <is>
          <t>Yorkie</t>
        </is>
      </c>
      <c r="H38" s="9" t="inlineStr">
        <is>
          <t>f</t>
        </is>
      </c>
      <c r="I38" s="9" t="n"/>
      <c r="J38" s="9" t="n"/>
      <c r="K38" s="9" t="inlineStr">
        <is>
          <t>Colinas del oeste, lote 6e1</t>
        </is>
      </c>
      <c r="L38" s="9" t="inlineStr">
        <is>
          <t>115384825</t>
        </is>
      </c>
      <c r="M38" s="9" t="n"/>
      <c r="N38" s="9" t="n"/>
    </row>
    <row r="39" ht="18" customHeight="1" s="149">
      <c r="A39" s="19" t="n">
        <v>36</v>
      </c>
      <c r="B39" s="17" t="inlineStr">
        <is>
          <t>Angela Vargas</t>
        </is>
      </c>
      <c r="C39" s="17" t="inlineStr">
        <is>
          <t>9143204770</t>
        </is>
      </c>
      <c r="D39" s="17" t="inlineStr">
        <is>
          <t>paloma5454@hotmail.com</t>
        </is>
      </c>
      <c r="E39" s="17" t="inlineStr">
        <is>
          <t>Bella Vargas</t>
        </is>
      </c>
      <c r="F39" s="17" t="inlineStr">
        <is>
          <t>canina</t>
        </is>
      </c>
      <c r="G39" s="17" t="inlineStr">
        <is>
          <t>Latzazu</t>
        </is>
      </c>
      <c r="H39" s="17" t="inlineStr">
        <is>
          <t>f</t>
        </is>
      </c>
      <c r="I39" s="17" t="inlineStr">
        <is>
          <t>blanco, crema</t>
        </is>
      </c>
      <c r="J39" s="17" t="n"/>
      <c r="K39" s="17" t="inlineStr">
        <is>
          <t>Colinas 3 , apratamento 14 B1</t>
        </is>
      </c>
      <c r="L39" s="17" t="inlineStr">
        <is>
          <t>113847867</t>
        </is>
      </c>
      <c r="M39" s="17" t="inlineStr">
        <is>
          <t>8495364770</t>
        </is>
      </c>
      <c r="N39" s="17" t="inlineStr">
        <is>
          <t>no</t>
        </is>
      </c>
    </row>
    <row r="40" ht="18" customHeight="1" s="149">
      <c r="A40" s="15" t="n">
        <v>37</v>
      </c>
      <c r="B40" s="9" t="inlineStr">
        <is>
          <t>Maria Gomez Carvajal</t>
        </is>
      </c>
      <c r="C40" s="9" t="inlineStr">
        <is>
          <t>829-550-3820</t>
        </is>
      </c>
      <c r="D40" s="9" t="inlineStr">
        <is>
          <t>marycarmenmatos86@gmail.com</t>
        </is>
      </c>
      <c r="E40" s="9" t="inlineStr">
        <is>
          <t>Harrry Junior</t>
        </is>
      </c>
      <c r="F40" s="9" t="inlineStr">
        <is>
          <t>canina</t>
        </is>
      </c>
      <c r="G40" s="9" t="inlineStr">
        <is>
          <t>Chihuahua +Shih tzu</t>
        </is>
      </c>
      <c r="H40" s="9" t="inlineStr">
        <is>
          <t>m</t>
        </is>
      </c>
      <c r="I40" s="9" t="inlineStr">
        <is>
          <t>negro</t>
        </is>
      </c>
      <c r="J40" s="9" t="n"/>
      <c r="K40" s="9" t="inlineStr">
        <is>
          <t>Brisas del Colinas 3, Edifi 29 A1</t>
        </is>
      </c>
      <c r="L40" s="9" t="inlineStr">
        <is>
          <t>1800294488</t>
        </is>
      </c>
      <c r="M40" s="9" t="inlineStr">
        <is>
          <t>849-533-6469</t>
        </is>
      </c>
      <c r="N40" s="9" t="inlineStr">
        <is>
          <t>no</t>
        </is>
      </c>
    </row>
    <row r="41" ht="18" customHeight="1" s="149">
      <c r="A41" s="19" t="n">
        <v>38</v>
      </c>
      <c r="B41" s="17" t="inlineStr">
        <is>
          <t>Lorian Ortiz</t>
        </is>
      </c>
      <c r="C41" s="17" t="inlineStr">
        <is>
          <t>8099093145</t>
        </is>
      </c>
      <c r="D41" s="17" t="inlineStr">
        <is>
          <t>lorianlorimar@gmail.com</t>
        </is>
      </c>
      <c r="E41" s="17" t="inlineStr">
        <is>
          <t>Nick ORTIZ</t>
        </is>
      </c>
      <c r="F41" s="17" t="inlineStr">
        <is>
          <t>canina</t>
        </is>
      </c>
      <c r="G41" s="17" t="inlineStr">
        <is>
          <t>poodler</t>
        </is>
      </c>
      <c r="H41" s="17" t="inlineStr">
        <is>
          <t>m</t>
        </is>
      </c>
      <c r="I41" s="17" t="inlineStr">
        <is>
          <t>negro</t>
        </is>
      </c>
      <c r="J41" s="17" t="inlineStr">
        <is>
          <t>2024-04-09</t>
        </is>
      </c>
      <c r="K41" s="17" t="inlineStr">
        <is>
          <t>Colinas 3 edif 30 a2</t>
        </is>
      </c>
      <c r="L41" s="17" t="inlineStr">
        <is>
          <t>22300103532</t>
        </is>
      </c>
      <c r="M41" s="17" t="n"/>
      <c r="N41" s="17" t="inlineStr">
        <is>
          <t>no</t>
        </is>
      </c>
    </row>
    <row r="42" ht="18" customHeight="1" s="149">
      <c r="A42" s="15" t="n">
        <v>40</v>
      </c>
      <c r="B42" s="9" t="inlineStr">
        <is>
          <t>Wendy Roble</t>
        </is>
      </c>
      <c r="C42" s="9" t="inlineStr">
        <is>
          <t>809-848-5253</t>
        </is>
      </c>
      <c r="D42" s="9" t="inlineStr">
        <is>
          <t>WENDY.PAOLA.ROBLE@GMAIL.COM</t>
        </is>
      </c>
      <c r="E42" s="9" t="inlineStr">
        <is>
          <t>Minie Roble</t>
        </is>
      </c>
      <c r="F42" s="9" t="inlineStr">
        <is>
          <t>canina</t>
        </is>
      </c>
      <c r="G42" s="9" t="inlineStr">
        <is>
          <t>Shih tzu</t>
        </is>
      </c>
      <c r="H42" s="9" t="inlineStr">
        <is>
          <t>f</t>
        </is>
      </c>
      <c r="I42" s="9" t="inlineStr">
        <is>
          <t>cafe/blanco</t>
        </is>
      </c>
      <c r="J42" s="9" t="inlineStr">
        <is>
          <t>2025-02-01</t>
        </is>
      </c>
      <c r="K42" s="9" t="inlineStr">
        <is>
          <t>Colinas del oeste, lote 7, d1</t>
        </is>
      </c>
      <c r="L42" s="9" t="inlineStr">
        <is>
          <t>115847311</t>
        </is>
      </c>
      <c r="M42" s="9" t="inlineStr">
        <is>
          <t>809-375-6282</t>
        </is>
      </c>
      <c r="N42" s="9" t="inlineStr">
        <is>
          <t>no</t>
        </is>
      </c>
    </row>
    <row r="43" ht="18" customHeight="1" s="149">
      <c r="A43" s="19" t="n">
        <v>41</v>
      </c>
      <c r="B43" s="17" t="inlineStr">
        <is>
          <t>Massiel Ramirez</t>
        </is>
      </c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</row>
    <row r="44" ht="18" customHeight="1" s="149">
      <c r="A44" s="15" t="n">
        <v>42</v>
      </c>
      <c r="B44" s="9" t="inlineStr">
        <is>
          <t>Ani Montero</t>
        </is>
      </c>
      <c r="C44" s="9" t="inlineStr">
        <is>
          <t>8296842984</t>
        </is>
      </c>
      <c r="D44" s="9" t="inlineStr">
        <is>
          <t>natacha_la_baby_18@hotmail.com</t>
        </is>
      </c>
      <c r="E44" s="9" t="inlineStr">
        <is>
          <t>Milo</t>
        </is>
      </c>
      <c r="F44" s="9" t="inlineStr">
        <is>
          <t>canina</t>
        </is>
      </c>
      <c r="G44" s="9" t="inlineStr">
        <is>
          <t>Yorkie</t>
        </is>
      </c>
      <c r="H44" s="9" t="inlineStr">
        <is>
          <t>m</t>
        </is>
      </c>
      <c r="I44" s="9" t="n"/>
      <c r="J44" s="9" t="inlineStr">
        <is>
          <t>2021-12-10</t>
        </is>
      </c>
      <c r="K44" s="9" t="inlineStr">
        <is>
          <t>Colinas del oeste, edificio l10, apartamento b1</t>
        </is>
      </c>
      <c r="L44" s="9" t="inlineStr">
        <is>
          <t>22400638726</t>
        </is>
      </c>
      <c r="M44" s="9" t="inlineStr">
        <is>
          <t>8494954712</t>
        </is>
      </c>
      <c r="N44" s="9" t="inlineStr">
        <is>
          <t>no</t>
        </is>
      </c>
    </row>
    <row r="45" ht="18" customHeight="1" s="149">
      <c r="A45" s="19" t="n">
        <v>43</v>
      </c>
      <c r="B45" s="17" t="inlineStr">
        <is>
          <t>Cehila Diaz</t>
        </is>
      </c>
      <c r="C45" s="17" t="inlineStr">
        <is>
          <t>8493527198</t>
        </is>
      </c>
      <c r="D45" s="17" t="inlineStr">
        <is>
          <t>anissamidiaz@gmail.com</t>
        </is>
      </c>
      <c r="E45" s="17" t="inlineStr">
        <is>
          <t>Benji Cabrera Diaz</t>
        </is>
      </c>
      <c r="F45" s="17" t="inlineStr">
        <is>
          <t>canina</t>
        </is>
      </c>
      <c r="G45" s="17" t="inlineStr">
        <is>
          <t>Yorkie</t>
        </is>
      </c>
      <c r="H45" s="17" t="inlineStr">
        <is>
          <t>m</t>
        </is>
      </c>
      <c r="I45" s="17" t="n"/>
      <c r="J45" s="17" t="inlineStr">
        <is>
          <t>2025-03-15</t>
        </is>
      </c>
      <c r="K45" s="17" t="inlineStr">
        <is>
          <t>Colinas 3, edificio 4, apat 4b4</t>
        </is>
      </c>
      <c r="L45" s="17" t="inlineStr">
        <is>
          <t>117722595</t>
        </is>
      </c>
      <c r="M45" s="17" t="n"/>
      <c r="N45" s="17" t="inlineStr">
        <is>
          <t>no</t>
        </is>
      </c>
    </row>
    <row r="46" ht="18" customHeight="1" s="149">
      <c r="A46" s="15" t="n">
        <v>44</v>
      </c>
      <c r="B46" s="9" t="inlineStr">
        <is>
          <t>Glenny De Jesus</t>
        </is>
      </c>
      <c r="C46" s="9" t="inlineStr">
        <is>
          <t>8298895252</t>
        </is>
      </c>
      <c r="D46" s="9" t="inlineStr">
        <is>
          <t>glenny1829@hotmail.com</t>
        </is>
      </c>
      <c r="E46" s="9" t="inlineStr">
        <is>
          <t>Zoe</t>
        </is>
      </c>
      <c r="F46" s="9" t="inlineStr">
        <is>
          <t>canina</t>
        </is>
      </c>
      <c r="G46" s="9" t="inlineStr">
        <is>
          <t>Shih tzu</t>
        </is>
      </c>
      <c r="H46" s="9" t="inlineStr">
        <is>
          <t>f</t>
        </is>
      </c>
      <c r="I46" s="9" t="inlineStr">
        <is>
          <t>pendiente tarjeta de vacunacion</t>
        </is>
      </c>
      <c r="J46" s="9" t="inlineStr">
        <is>
          <t>2025-08-14</t>
        </is>
      </c>
      <c r="K46" s="9" t="inlineStr">
        <is>
          <t>Colinas 3, edificio 10, 1a</t>
        </is>
      </c>
      <c r="L46" s="9" t="inlineStr">
        <is>
          <t>5800258187</t>
        </is>
      </c>
      <c r="M46" s="9" t="n"/>
      <c r="N46" s="9" t="inlineStr">
        <is>
          <t>no</t>
        </is>
      </c>
    </row>
    <row r="47" ht="18" customHeight="1" s="149">
      <c r="A47" s="19" t="n">
        <v>45</v>
      </c>
      <c r="B47" s="17" t="inlineStr">
        <is>
          <t>Joel Saturria</t>
        </is>
      </c>
      <c r="C47" s="17" t="inlineStr">
        <is>
          <t>8299212592</t>
        </is>
      </c>
      <c r="D47" s="17" t="inlineStr">
        <is>
          <t>sl.joelsaturria@gmail.com</t>
        </is>
      </c>
      <c r="E47" s="17" t="inlineStr">
        <is>
          <t>Teddy</t>
        </is>
      </c>
      <c r="F47" s="17" t="inlineStr">
        <is>
          <t>canina</t>
        </is>
      </c>
      <c r="G47" s="17" t="inlineStr">
        <is>
          <t>Shih tzu</t>
        </is>
      </c>
      <c r="H47" s="17" t="inlineStr">
        <is>
          <t>m</t>
        </is>
      </c>
      <c r="I47" s="17" t="n"/>
      <c r="J47" s="17" t="inlineStr">
        <is>
          <t>2025-07-14</t>
        </is>
      </c>
      <c r="K47" s="17" t="inlineStr">
        <is>
          <t>Libertador calle 3 de herrera</t>
        </is>
      </c>
      <c r="L47" s="17" t="inlineStr">
        <is>
          <t>22301412171</t>
        </is>
      </c>
      <c r="M47" s="17" t="inlineStr">
        <is>
          <t>8294794236</t>
        </is>
      </c>
      <c r="N47" s="17" t="inlineStr">
        <is>
          <t>no</t>
        </is>
      </c>
    </row>
    <row r="48" ht="18" customHeight="1" s="149">
      <c r="A48" s="15" t="n">
        <v>46</v>
      </c>
      <c r="B48" s="9" t="inlineStr">
        <is>
          <t>Jonathan Rosario Paulino</t>
        </is>
      </c>
      <c r="C48" s="9" t="inlineStr">
        <is>
          <t>8093973400</t>
        </is>
      </c>
      <c r="D48" s="9" t="inlineStr">
        <is>
          <t>jhonattandrp@hotmail.com</t>
        </is>
      </c>
      <c r="E48" s="9" t="inlineStr">
        <is>
          <t>Max</t>
        </is>
      </c>
      <c r="F48" s="9" t="inlineStr">
        <is>
          <t>canina</t>
        </is>
      </c>
      <c r="G48" s="9" t="inlineStr">
        <is>
          <t>Buldog frances</t>
        </is>
      </c>
      <c r="H48" s="9" t="inlineStr">
        <is>
          <t>m</t>
        </is>
      </c>
      <c r="I48" s="9" t="n"/>
      <c r="J48" s="9" t="inlineStr">
        <is>
          <t>2025-07-20</t>
        </is>
      </c>
      <c r="K48" s="9" t="inlineStr">
        <is>
          <t>Colinas 3 edificio 6, apato A3</t>
        </is>
      </c>
      <c r="L48" s="9" t="inlineStr">
        <is>
          <t>114767973</t>
        </is>
      </c>
      <c r="M48" s="9" t="inlineStr">
        <is>
          <t>8095372100</t>
        </is>
      </c>
      <c r="N48" s="9" t="n"/>
    </row>
    <row r="49" ht="18" customHeight="1" s="149">
      <c r="A49" s="19" t="n">
        <v>47</v>
      </c>
      <c r="B49" s="17" t="inlineStr">
        <is>
          <t>Angela Fermin</t>
        </is>
      </c>
      <c r="C49" s="17" t="inlineStr">
        <is>
          <t>8095307860</t>
        </is>
      </c>
      <c r="D49" s="17" t="inlineStr">
        <is>
          <t>angelafermin@hotmail.com</t>
        </is>
      </c>
      <c r="E49" s="17" t="inlineStr">
        <is>
          <t>Nala</t>
        </is>
      </c>
      <c r="F49" s="17" t="inlineStr">
        <is>
          <t>canina</t>
        </is>
      </c>
      <c r="G49" s="17" t="inlineStr">
        <is>
          <t>Poodler mestizo</t>
        </is>
      </c>
      <c r="H49" s="17" t="inlineStr">
        <is>
          <t>f</t>
        </is>
      </c>
      <c r="I49" s="17" t="inlineStr">
        <is>
          <t>vacunas de la rabia al dia. Faltan fotos del resto de las vacunas</t>
        </is>
      </c>
      <c r="J49" s="17" t="inlineStr">
        <is>
          <t>2022-09-10</t>
        </is>
      </c>
      <c r="K49" s="17" t="inlineStr">
        <is>
          <t>Colinas del oeste. Lote 9, soto C3</t>
        </is>
      </c>
      <c r="L49" s="17" t="inlineStr">
        <is>
          <t>22301143339</t>
        </is>
      </c>
      <c r="M49" s="17" t="inlineStr">
        <is>
          <t>8097010085</t>
        </is>
      </c>
      <c r="N49" s="17" t="inlineStr">
        <is>
          <t>no</t>
        </is>
      </c>
    </row>
    <row r="50" ht="18" customHeight="1" s="149">
      <c r="A50" s="15" t="n">
        <v>48</v>
      </c>
      <c r="B50" s="9" t="inlineStr">
        <is>
          <t>Yohanny Ariz</t>
        </is>
      </c>
      <c r="C50" s="9" t="inlineStr">
        <is>
          <t>809-820-9660</t>
        </is>
      </c>
      <c r="D50" s="9" t="inlineStr">
        <is>
          <t>y_ariz@hotmail.com</t>
        </is>
      </c>
      <c r="E50" s="9" t="inlineStr">
        <is>
          <t>Yaki</t>
        </is>
      </c>
      <c r="F50" s="9" t="inlineStr">
        <is>
          <t>canina</t>
        </is>
      </c>
      <c r="G50" s="9" t="inlineStr">
        <is>
          <t>Mestiza Colli</t>
        </is>
      </c>
      <c r="H50" s="9" t="inlineStr">
        <is>
          <t>f</t>
        </is>
      </c>
      <c r="I50" s="9" t="inlineStr">
        <is>
          <t>falta tarjeta de vacunas</t>
        </is>
      </c>
      <c r="J50" s="9" t="inlineStr">
        <is>
          <t>2022-08-17</t>
        </is>
      </c>
      <c r="K50" s="9" t="inlineStr">
        <is>
          <t>Calle quitaespuela, lote 6, Apato c3, Colinas del oeste</t>
        </is>
      </c>
      <c r="L50" s="9" t="inlineStr">
        <is>
          <t>0010149620-6</t>
        </is>
      </c>
      <c r="M50" s="9" t="n"/>
      <c r="N50" s="9" t="n"/>
    </row>
    <row r="51" ht="18" customHeight="1" s="149">
      <c r="A51" s="19" t="n">
        <v>49</v>
      </c>
      <c r="B51" s="17" t="inlineStr">
        <is>
          <t>Kevin Concet</t>
        </is>
      </c>
      <c r="C51" s="17" t="inlineStr">
        <is>
          <t>8297876603</t>
        </is>
      </c>
      <c r="D51" s="17" t="inlineStr">
        <is>
          <t>kevinconcetcastro@gmail.com</t>
        </is>
      </c>
      <c r="E51" s="17" t="inlineStr">
        <is>
          <t>Tommy Concet</t>
        </is>
      </c>
      <c r="F51" s="17" t="inlineStr">
        <is>
          <t>canina</t>
        </is>
      </c>
      <c r="G51" s="17" t="inlineStr">
        <is>
          <t>chihuahua</t>
        </is>
      </c>
      <c r="H51" s="17" t="inlineStr">
        <is>
          <t>m</t>
        </is>
      </c>
      <c r="I51" s="17" t="n"/>
      <c r="J51" s="17" t="inlineStr">
        <is>
          <t>2020-05-17</t>
        </is>
      </c>
      <c r="K51" s="17" t="inlineStr">
        <is>
          <t>Brisas de las colinas 03</t>
        </is>
      </c>
      <c r="L51" s="17" t="inlineStr">
        <is>
          <t>40215177661</t>
        </is>
      </c>
      <c r="M51" s="17" t="inlineStr">
        <is>
          <t>8099233273</t>
        </is>
      </c>
      <c r="N51" s="17" t="inlineStr">
        <is>
          <t>no</t>
        </is>
      </c>
    </row>
    <row r="52" ht="18" customHeight="1" s="149">
      <c r="A52" s="15" t="n">
        <v>51</v>
      </c>
      <c r="B52" s="9" t="inlineStr">
        <is>
          <t>Sarah Pujols</t>
        </is>
      </c>
      <c r="C52" s="9" t="inlineStr">
        <is>
          <t>809-2724530</t>
        </is>
      </c>
      <c r="D52" s="9" t="inlineStr">
        <is>
          <t>srossoenator@gmail.com</t>
        </is>
      </c>
      <c r="E52" s="9" t="inlineStr">
        <is>
          <t>Noah Pujols</t>
        </is>
      </c>
      <c r="F52" s="9" t="inlineStr">
        <is>
          <t>canina</t>
        </is>
      </c>
      <c r="G52" s="9" t="inlineStr">
        <is>
          <t>Shih tzu</t>
        </is>
      </c>
      <c r="H52" s="9" t="inlineStr">
        <is>
          <t>m</t>
        </is>
      </c>
      <c r="I52" s="9" t="n"/>
      <c r="J52" s="9" t="n"/>
      <c r="K52" s="9" t="inlineStr">
        <is>
          <t>Colinas 3, edificio 14, apartamento a2</t>
        </is>
      </c>
      <c r="L52" s="9" t="inlineStr">
        <is>
          <t>40209059258</t>
        </is>
      </c>
      <c r="M52" s="9" t="inlineStr">
        <is>
          <t>8097524638</t>
        </is>
      </c>
      <c r="N52" s="9" t="inlineStr">
        <is>
          <t>Cardiacos</t>
        </is>
      </c>
    </row>
    <row r="53" ht="18" customHeight="1" s="149">
      <c r="A53" s="19" t="n">
        <v>52</v>
      </c>
      <c r="B53" s="17" t="inlineStr">
        <is>
          <t>Osvaldo Tatis</t>
        </is>
      </c>
      <c r="C53" s="17" t="inlineStr">
        <is>
          <t>809-871-9493</t>
        </is>
      </c>
      <c r="D53" s="17" t="inlineStr">
        <is>
          <t>osvaldotatis18@hotmail.com</t>
        </is>
      </c>
      <c r="E53" s="17" t="inlineStr">
        <is>
          <t>Alee A</t>
        </is>
      </c>
      <c r="F53" s="17" t="inlineStr">
        <is>
          <t>canina</t>
        </is>
      </c>
      <c r="G53" s="17" t="inlineStr">
        <is>
          <t>cocki spaning</t>
        </is>
      </c>
      <c r="H53" s="17" t="inlineStr">
        <is>
          <t>f</t>
        </is>
      </c>
      <c r="I53" s="17" t="inlineStr">
        <is>
          <t>tarjeta de vacuna foto en la flota</t>
        </is>
      </c>
      <c r="J53" s="17" t="inlineStr">
        <is>
          <t>2025-11-19</t>
        </is>
      </c>
      <c r="K53" s="17" t="inlineStr">
        <is>
          <t>Calle cordillera central #8 Colinas Oeste</t>
        </is>
      </c>
      <c r="L53" s="17" t="inlineStr">
        <is>
          <t>001-1229491-3</t>
        </is>
      </c>
      <c r="M53" s="17" t="n"/>
      <c r="N53" s="17" t="n"/>
    </row>
    <row r="54" ht="18" customHeight="1" s="149">
      <c r="A54" s="15" t="n">
        <v>55</v>
      </c>
      <c r="B54" s="9" t="inlineStr">
        <is>
          <t>Madileyde Marte</t>
        </is>
      </c>
      <c r="C54" s="9" t="inlineStr">
        <is>
          <t>829-916-9180</t>
        </is>
      </c>
      <c r="D54" s="9" t="inlineStr">
        <is>
          <t>madileydy@gmail.com</t>
        </is>
      </c>
      <c r="E54" s="9" t="inlineStr">
        <is>
          <t>Colyn</t>
        </is>
      </c>
      <c r="F54" s="9" t="inlineStr">
        <is>
          <t>canina</t>
        </is>
      </c>
      <c r="G54" s="9" t="inlineStr">
        <is>
          <t>chihuahua</t>
        </is>
      </c>
      <c r="H54" s="9" t="inlineStr">
        <is>
          <t>M</t>
        </is>
      </c>
      <c r="I54" s="9" t="inlineStr">
        <is>
          <t>desparacitacion en junio 2025</t>
        </is>
      </c>
      <c r="J54" s="9" t="inlineStr">
        <is>
          <t>2025-11-28</t>
        </is>
      </c>
      <c r="K54" s="9" t="inlineStr">
        <is>
          <t>Prologacion 27 de Febrero . LP8</t>
        </is>
      </c>
      <c r="L54" s="9" t="inlineStr">
        <is>
          <t>223-0087828-1</t>
        </is>
      </c>
      <c r="M54" s="9" t="n"/>
      <c r="N54" s="9" t="n"/>
    </row>
    <row r="55" ht="18" customHeight="1" s="149">
      <c r="A55" s="19" t="n">
        <v>56</v>
      </c>
      <c r="B55" s="17" t="inlineStr">
        <is>
          <t>Jeannette Almanzar</t>
        </is>
      </c>
      <c r="C55" s="17" t="inlineStr">
        <is>
          <t>809-519-2579</t>
        </is>
      </c>
      <c r="D55" s="17" t="inlineStr">
        <is>
          <t>jeannette-almanzar@gmail.com</t>
        </is>
      </c>
      <c r="E55" s="17" t="inlineStr">
        <is>
          <t>Tuti</t>
        </is>
      </c>
      <c r="F55" s="17" t="inlineStr">
        <is>
          <t>canina</t>
        </is>
      </c>
      <c r="G55" s="17" t="inlineStr">
        <is>
          <t>chipu</t>
        </is>
      </c>
      <c r="H55" s="17" t="inlineStr">
        <is>
          <t>f</t>
        </is>
      </c>
      <c r="I55" s="17" t="n"/>
      <c r="J55" s="17" t="inlineStr">
        <is>
          <t>2025-11-12</t>
        </is>
      </c>
      <c r="K55" s="17" t="inlineStr">
        <is>
          <t>Calle Paseo  del Lago #8 Residencial</t>
        </is>
      </c>
      <c r="L55" s="17" t="inlineStr">
        <is>
          <t>047-0015209-5</t>
        </is>
      </c>
      <c r="M55" s="17" t="inlineStr">
        <is>
          <t>809-763-5433</t>
        </is>
      </c>
      <c r="N55" s="17" t="n"/>
    </row>
    <row r="56" ht="18" customHeight="1" s="149">
      <c r="A56" s="15" t="n">
        <v>57</v>
      </c>
      <c r="B56" s="9" t="inlineStr">
        <is>
          <t>Sandra Almonte</t>
        </is>
      </c>
      <c r="C56" s="9" t="inlineStr">
        <is>
          <t>829-723-0721</t>
        </is>
      </c>
      <c r="D56" s="9" t="inlineStr">
        <is>
          <t>sandraap721@gmail.com</t>
        </is>
      </c>
      <c r="E56" s="9" t="inlineStr">
        <is>
          <t>Dohko</t>
        </is>
      </c>
      <c r="F56" s="9" t="inlineStr">
        <is>
          <t>canina</t>
        </is>
      </c>
      <c r="G56" s="9" t="inlineStr">
        <is>
          <t>shippo</t>
        </is>
      </c>
      <c r="H56" s="9" t="inlineStr">
        <is>
          <t>m</t>
        </is>
      </c>
      <c r="I56" s="9" t="n"/>
      <c r="J56" s="9" t="inlineStr">
        <is>
          <t>2025-11-20</t>
        </is>
      </c>
      <c r="K56" s="9" t="inlineStr">
        <is>
          <t>manzana 6 Edificio 5 B</t>
        </is>
      </c>
      <c r="L56" s="9" t="inlineStr">
        <is>
          <t>224-0055412-1</t>
        </is>
      </c>
      <c r="M56" s="9" t="inlineStr">
        <is>
          <t>829-986-0721</t>
        </is>
      </c>
      <c r="N56" s="9" t="n"/>
    </row>
    <row r="57" ht="18" customHeight="1" s="149">
      <c r="A57" s="19" t="n">
        <v>58</v>
      </c>
      <c r="B57" s="17" t="inlineStr">
        <is>
          <t>Lia Martinez</t>
        </is>
      </c>
      <c r="C57" s="17" t="inlineStr">
        <is>
          <t>849-480-1935</t>
        </is>
      </c>
      <c r="D57" s="17" t="inlineStr">
        <is>
          <t>lisccmsstuff@gmail.com</t>
        </is>
      </c>
      <c r="E57" s="17" t="inlineStr">
        <is>
          <t>Luna Arias</t>
        </is>
      </c>
      <c r="F57" s="17" t="inlineStr">
        <is>
          <t>canina</t>
        </is>
      </c>
      <c r="G57" s="17" t="inlineStr">
        <is>
          <t>Bichon Maltes</t>
        </is>
      </c>
      <c r="H57" s="17" t="inlineStr">
        <is>
          <t>f</t>
        </is>
      </c>
      <c r="I57" s="17" t="n"/>
      <c r="J57" s="17" t="inlineStr">
        <is>
          <t>2025-11-18</t>
        </is>
      </c>
      <c r="K57" s="17" t="inlineStr">
        <is>
          <t>Colinas del Oeste ,C/ Isabel de torres #3</t>
        </is>
      </c>
      <c r="L57" s="17" t="n"/>
      <c r="M57" s="17" t="inlineStr">
        <is>
          <t>809-436-7662</t>
        </is>
      </c>
      <c r="N57" s="17" t="n"/>
    </row>
    <row r="58" ht="18" customHeight="1" s="149">
      <c r="A58" s="15" t="n">
        <v>59</v>
      </c>
      <c r="B58" s="9" t="inlineStr">
        <is>
          <t>Edith Gomez</t>
        </is>
      </c>
      <c r="C58" s="9" t="inlineStr">
        <is>
          <t>829-883-4645</t>
        </is>
      </c>
      <c r="D58" s="9" t="inlineStr">
        <is>
          <t>edithmgomez95@gmail.com</t>
        </is>
      </c>
      <c r="E58" s="9" t="inlineStr">
        <is>
          <t>Luna GOMEZ</t>
        </is>
      </c>
      <c r="F58" s="9" t="inlineStr">
        <is>
          <t>canina</t>
        </is>
      </c>
      <c r="G58" s="9" t="inlineStr">
        <is>
          <t>yorshire</t>
        </is>
      </c>
      <c r="H58" s="9" t="inlineStr">
        <is>
          <t>f</t>
        </is>
      </c>
      <c r="I58" s="9" t="n"/>
      <c r="J58" s="9" t="inlineStr">
        <is>
          <t>2025-11-28</t>
        </is>
      </c>
      <c r="K58" s="9" t="inlineStr">
        <is>
          <t>Calle/ Plaza 13 mirador Norte, Residencial Melissa Alexandra</t>
        </is>
      </c>
      <c r="L58" s="9" t="inlineStr">
        <is>
          <t>402-0076163-9</t>
        </is>
      </c>
      <c r="M58" s="9" t="inlineStr">
        <is>
          <t>809-530-6914</t>
        </is>
      </c>
      <c r="N58" s="9" t="n"/>
    </row>
    <row r="59" ht="18" customHeight="1" s="149">
      <c r="A59" s="19" t="n">
        <v>60</v>
      </c>
      <c r="B59" s="17" t="inlineStr">
        <is>
          <t>Edith Gomez</t>
        </is>
      </c>
      <c r="C59" s="17" t="inlineStr">
        <is>
          <t>829-883-4645</t>
        </is>
      </c>
      <c r="D59" s="17" t="inlineStr">
        <is>
          <t>edithmgomez95@gmail.com</t>
        </is>
      </c>
      <c r="E59" s="17" t="inlineStr">
        <is>
          <t>Lia</t>
        </is>
      </c>
      <c r="F59" s="17" t="inlineStr">
        <is>
          <t>canina</t>
        </is>
      </c>
      <c r="G59" s="17" t="inlineStr">
        <is>
          <t>yorshire</t>
        </is>
      </c>
      <c r="H59" s="17" t="inlineStr">
        <is>
          <t>f</t>
        </is>
      </c>
      <c r="I59" s="17" t="n"/>
      <c r="J59" s="17" t="inlineStr">
        <is>
          <t>2025-11-28</t>
        </is>
      </c>
      <c r="K59" s="17" t="inlineStr">
        <is>
          <t>Calle/ Plaza 13 mirador Norte, Residencial Melissa Alexandra</t>
        </is>
      </c>
      <c r="L59" s="17" t="inlineStr">
        <is>
          <t>402-0076163-9</t>
        </is>
      </c>
      <c r="M59" s="17" t="inlineStr">
        <is>
          <t>809-530-6914</t>
        </is>
      </c>
      <c r="N59" s="17" t="n"/>
    </row>
    <row r="60" ht="18" customHeight="1" s="149">
      <c r="A60" s="15" t="n">
        <v>61</v>
      </c>
      <c r="B60" s="9" t="inlineStr">
        <is>
          <t>Guerlin Plascencia</t>
        </is>
      </c>
      <c r="C60" s="9" t="inlineStr">
        <is>
          <t>809-865-6765</t>
        </is>
      </c>
      <c r="D60" s="9" t="inlineStr">
        <is>
          <t>guerlinplascencia@hotmail.com</t>
        </is>
      </c>
      <c r="E60" s="9" t="inlineStr">
        <is>
          <t>Karim PLASCENCIA</t>
        </is>
      </c>
      <c r="F60" s="9" t="inlineStr">
        <is>
          <t>canina</t>
        </is>
      </c>
      <c r="G60" s="9" t="inlineStr">
        <is>
          <t>shithzu</t>
        </is>
      </c>
      <c r="H60" s="9" t="inlineStr">
        <is>
          <t>m</t>
        </is>
      </c>
      <c r="I60" s="9" t="n"/>
      <c r="J60" s="9" t="inlineStr">
        <is>
          <t>2025-11-29</t>
        </is>
      </c>
      <c r="K60" s="9" t="inlineStr">
        <is>
          <t>Av. Isabela Guiar esq. Penetracion   Sur</t>
        </is>
      </c>
      <c r="L60" s="9" t="inlineStr">
        <is>
          <t>224-00044677-1</t>
        </is>
      </c>
      <c r="M60" s="9" t="inlineStr">
        <is>
          <t>829-865-6765</t>
        </is>
      </c>
      <c r="N60" s="9" t="n"/>
    </row>
    <row r="61" ht="18" customHeight="1" s="149">
      <c r="A61" s="19" t="n">
        <v>62</v>
      </c>
      <c r="B61" s="17" t="inlineStr">
        <is>
          <t>Chamila  Heriquez</t>
        </is>
      </c>
      <c r="C61" s="17" t="inlineStr">
        <is>
          <t>849-864-2412</t>
        </is>
      </c>
      <c r="D61" s="17" t="inlineStr">
        <is>
          <t>chamilahenrriquez@gmail.com</t>
        </is>
      </c>
      <c r="E61" s="17" t="inlineStr">
        <is>
          <t>Jimmy HENRIQUEZ</t>
        </is>
      </c>
      <c r="F61" s="17" t="inlineStr">
        <is>
          <t>felina</t>
        </is>
      </c>
      <c r="G61" s="17" t="n"/>
      <c r="H61" s="17" t="inlineStr">
        <is>
          <t>m</t>
        </is>
      </c>
      <c r="I61" s="17" t="n"/>
      <c r="J61" s="17" t="inlineStr">
        <is>
          <t>2025-11-30</t>
        </is>
      </c>
      <c r="K61" s="17" t="inlineStr">
        <is>
          <t>Calle/ llanos, Los Rios #48</t>
        </is>
      </c>
      <c r="L61" s="17" t="inlineStr">
        <is>
          <t>402-0956542-9</t>
        </is>
      </c>
      <c r="M61" s="17" t="inlineStr">
        <is>
          <t>809-372-1001</t>
        </is>
      </c>
      <c r="N61" s="17" t="n"/>
    </row>
    <row r="62" ht="18" customHeight="1" s="149">
      <c r="A62" s="15" t="n">
        <v>63</v>
      </c>
      <c r="B62" s="9" t="inlineStr">
        <is>
          <t>Emely  Carreras</t>
        </is>
      </c>
      <c r="C62" s="9" t="inlineStr">
        <is>
          <t>829-587-9607</t>
        </is>
      </c>
      <c r="D62" s="9" t="n"/>
      <c r="E62" s="9" t="inlineStr">
        <is>
          <t>Oliver CARRERAS</t>
        </is>
      </c>
      <c r="F62" s="9" t="inlineStr">
        <is>
          <t>canina</t>
        </is>
      </c>
      <c r="G62" s="9" t="inlineStr">
        <is>
          <t>shihpoo</t>
        </is>
      </c>
      <c r="H62" s="9" t="inlineStr">
        <is>
          <t>m</t>
        </is>
      </c>
      <c r="I62" s="9" t="n"/>
      <c r="J62" s="9" t="inlineStr">
        <is>
          <t>205-11-30</t>
        </is>
      </c>
      <c r="K62" s="9" t="inlineStr">
        <is>
          <t>Av. Beisbolista #133 res. residencial  colinas</t>
        </is>
      </c>
      <c r="L62" s="9" t="inlineStr">
        <is>
          <t>001-1632031-8</t>
        </is>
      </c>
      <c r="M62" s="9" t="inlineStr">
        <is>
          <t>809-608-0805</t>
        </is>
      </c>
      <c r="N62" s="9" t="n"/>
    </row>
    <row r="63" ht="18" customHeight="1" s="149">
      <c r="A63" s="19" t="n">
        <v>64</v>
      </c>
      <c r="B63" s="17" t="inlineStr">
        <is>
          <t>Jatnna Santos</t>
        </is>
      </c>
      <c r="C63" s="17" t="inlineStr">
        <is>
          <t>829-557-1465</t>
        </is>
      </c>
      <c r="D63" s="17" t="inlineStr">
        <is>
          <t>santosaltagracia033@gmail.com</t>
        </is>
      </c>
      <c r="E63" s="17" t="inlineStr">
        <is>
          <t>Benji Sanchez</t>
        </is>
      </c>
      <c r="F63" s="17" t="inlineStr">
        <is>
          <t>canina</t>
        </is>
      </c>
      <c r="G63" s="17" t="inlineStr">
        <is>
          <t>Yorshire</t>
        </is>
      </c>
      <c r="H63" s="17" t="inlineStr">
        <is>
          <t>m</t>
        </is>
      </c>
      <c r="I63" s="17" t="n"/>
      <c r="J63" s="17" t="inlineStr">
        <is>
          <t>2025-11-03</t>
        </is>
      </c>
      <c r="K63" s="17" t="inlineStr">
        <is>
          <t>Calle hermanas Mirabal #6, Bayona, SDO.</t>
        </is>
      </c>
      <c r="L63" s="17" t="inlineStr">
        <is>
          <t>4021183890-5</t>
        </is>
      </c>
      <c r="M63" s="17" t="inlineStr">
        <is>
          <t>849-883-9895</t>
        </is>
      </c>
      <c r="N63" s="17" t="n"/>
    </row>
    <row r="64" ht="18" customHeight="1" s="149">
      <c r="A64" s="15" t="n">
        <v>65</v>
      </c>
      <c r="B64" s="9" t="inlineStr">
        <is>
          <t>Cesar De Leon</t>
        </is>
      </c>
      <c r="C64" s="9" t="inlineStr">
        <is>
          <t>809-532-5766</t>
        </is>
      </c>
      <c r="D64" s="9" t="inlineStr">
        <is>
          <t>mr.cesardeleon@gamil.com</t>
        </is>
      </c>
      <c r="E64" s="9" t="inlineStr">
        <is>
          <t>Luna De Leon</t>
        </is>
      </c>
      <c r="F64" s="9" t="inlineStr">
        <is>
          <t>canina</t>
        </is>
      </c>
      <c r="G64" s="9" t="inlineStr">
        <is>
          <t>Salchicha</t>
        </is>
      </c>
      <c r="H64" s="9" t="inlineStr">
        <is>
          <t>f</t>
        </is>
      </c>
      <c r="I64" s="9" t="inlineStr">
        <is>
          <t>negro</t>
        </is>
      </c>
      <c r="J64" s="9" t="inlineStr">
        <is>
          <t>2025-10-22</t>
        </is>
      </c>
      <c r="K64" s="9" t="inlineStr">
        <is>
          <t>manzana 18, apto AB2, Las Caobas</t>
        </is>
      </c>
      <c r="L64" s="9" t="inlineStr">
        <is>
          <t>0010063421-1</t>
        </is>
      </c>
      <c r="M64" s="9" t="inlineStr">
        <is>
          <t>809-949-5666</t>
        </is>
      </c>
      <c r="N64" s="9" t="n"/>
    </row>
    <row r="65" ht="18" customHeight="1" s="149">
      <c r="A65" s="19" t="n">
        <v>66</v>
      </c>
      <c r="B65" s="17" t="inlineStr">
        <is>
          <t>Darlenis Perez Rosario</t>
        </is>
      </c>
      <c r="C65" s="17" t="inlineStr">
        <is>
          <t>829-916-8090</t>
        </is>
      </c>
      <c r="D65" s="17" t="inlineStr">
        <is>
          <t>darlenis0796@icloud.com</t>
        </is>
      </c>
      <c r="E65" s="17" t="inlineStr">
        <is>
          <t>Abril Rosario</t>
        </is>
      </c>
      <c r="F65" s="17" t="inlineStr">
        <is>
          <t>canina</t>
        </is>
      </c>
      <c r="G65" s="17" t="inlineStr">
        <is>
          <t>shih tzu</t>
        </is>
      </c>
      <c r="H65" s="17" t="inlineStr">
        <is>
          <t>f</t>
        </is>
      </c>
      <c r="I65" s="17" t="inlineStr">
        <is>
          <t>negro</t>
        </is>
      </c>
      <c r="J65" s="17" t="inlineStr">
        <is>
          <t>2025-09-08</t>
        </is>
      </c>
      <c r="K65" s="17" t="inlineStr">
        <is>
          <t>residencial 2p9, Alameda, SDO</t>
        </is>
      </c>
      <c r="L65" s="17" t="inlineStr">
        <is>
          <t>2240080465-8</t>
        </is>
      </c>
      <c r="M65" s="17" t="inlineStr">
        <is>
          <t>-</t>
        </is>
      </c>
      <c r="N65" s="17" t="n"/>
    </row>
    <row r="66" ht="18" customHeight="1" s="149">
      <c r="A66" s="15" t="n">
        <v>67</v>
      </c>
      <c r="B66" s="9" t="inlineStr">
        <is>
          <t>Camelia Lisbeth Brens Montero</t>
        </is>
      </c>
      <c r="C66" s="9" t="inlineStr">
        <is>
          <t>809-771-0190</t>
        </is>
      </c>
      <c r="D66" s="9" t="inlineStr">
        <is>
          <t>brensmonterocamelia@gmail.com</t>
        </is>
      </c>
      <c r="E66" s="9" t="inlineStr">
        <is>
          <t>Chocolate Montero</t>
        </is>
      </c>
      <c r="F66" s="9" t="inlineStr">
        <is>
          <t>canina</t>
        </is>
      </c>
      <c r="G66" s="9" t="inlineStr">
        <is>
          <t>Chihuahua mariposa</t>
        </is>
      </c>
      <c r="H66" s="9" t="inlineStr">
        <is>
          <t>m</t>
        </is>
      </c>
      <c r="I66" s="9" t="inlineStr">
        <is>
          <t>marron</t>
        </is>
      </c>
      <c r="J66" s="9" t="n"/>
      <c r="K66" s="9" t="inlineStr">
        <is>
          <t>calle de Dios #6, El abanico, Herrera</t>
        </is>
      </c>
      <c r="L66" s="9" t="inlineStr">
        <is>
          <t>4021497269-3</t>
        </is>
      </c>
      <c r="M66" s="9" t="inlineStr">
        <is>
          <t>829-323-3202</t>
        </is>
      </c>
      <c r="N66" s="9" t="n"/>
    </row>
    <row r="67" ht="18" customHeight="1" s="149">
      <c r="A67" s="19" t="n">
        <v>68</v>
      </c>
      <c r="B67" s="17" t="inlineStr">
        <is>
          <t>Caridad Mercado</t>
        </is>
      </c>
      <c r="C67" s="17" t="inlineStr">
        <is>
          <t>829-466-3030</t>
        </is>
      </c>
      <c r="D67" s="17" t="n"/>
      <c r="E67" s="17" t="inlineStr">
        <is>
          <t>Princesa Mercado</t>
        </is>
      </c>
      <c r="F67" s="17" t="inlineStr">
        <is>
          <t>canina</t>
        </is>
      </c>
      <c r="G67" s="17" t="inlineStr">
        <is>
          <t>Shih Poo</t>
        </is>
      </c>
      <c r="H67" s="17" t="inlineStr">
        <is>
          <t>f</t>
        </is>
      </c>
      <c r="I67" s="17" t="n"/>
      <c r="J67" s="17" t="n"/>
      <c r="K67" s="17" t="inlineStr">
        <is>
          <t>-</t>
        </is>
      </c>
      <c r="L67" s="17" t="inlineStr">
        <is>
          <t>0380016036-2</t>
        </is>
      </c>
      <c r="M67" s="17" t="inlineStr">
        <is>
          <t>-</t>
        </is>
      </c>
      <c r="N67" s="17" t="n"/>
    </row>
    <row r="68" ht="18" customHeight="1" s="149">
      <c r="A68" s="15" t="n">
        <v>69</v>
      </c>
      <c r="B68" s="9" t="inlineStr">
        <is>
          <t>Felicia Mera</t>
        </is>
      </c>
      <c r="C68" s="9" t="inlineStr">
        <is>
          <t>849-637-0790</t>
        </is>
      </c>
      <c r="D68" s="9" t="inlineStr">
        <is>
          <t>fmera2396@gmail.com</t>
        </is>
      </c>
      <c r="E68" s="9" t="inlineStr">
        <is>
          <t>Bella Mera</t>
        </is>
      </c>
      <c r="F68" s="9" t="inlineStr">
        <is>
          <t>canina</t>
        </is>
      </c>
      <c r="G68" s="9" t="inlineStr">
        <is>
          <t>Shih Poo</t>
        </is>
      </c>
      <c r="H68" s="9" t="inlineStr">
        <is>
          <t>f</t>
        </is>
      </c>
      <c r="I68" s="9" t="inlineStr">
        <is>
          <t>blanco/negro</t>
        </is>
      </c>
      <c r="J68" s="9" t="inlineStr">
        <is>
          <t>2025-04-25</t>
        </is>
      </c>
      <c r="K68" s="9" t="inlineStr">
        <is>
          <t>residencial pinos del paraiso, calle 17, Bayona</t>
        </is>
      </c>
      <c r="L68" s="9" t="inlineStr">
        <is>
          <t>4021202624-5</t>
        </is>
      </c>
      <c r="M68" s="9" t="inlineStr">
        <is>
          <t>-</t>
        </is>
      </c>
      <c r="N68" s="9" t="n"/>
    </row>
    <row r="69" ht="18" customHeight="1" s="149">
      <c r="A69" s="19" t="n">
        <v>70</v>
      </c>
      <c r="B69" s="17" t="inlineStr">
        <is>
          <t>Oscar Ramirez</t>
        </is>
      </c>
      <c r="C69" s="17" t="inlineStr">
        <is>
          <t>829-850-5483</t>
        </is>
      </c>
      <c r="D69" s="17" t="inlineStr">
        <is>
          <t>-</t>
        </is>
      </c>
      <c r="E69" s="17" t="inlineStr">
        <is>
          <t>Toby Ramirez</t>
        </is>
      </c>
      <c r="F69" s="17" t="inlineStr">
        <is>
          <t>canina</t>
        </is>
      </c>
      <c r="G69" s="17" t="inlineStr">
        <is>
          <t>Golden Retriever</t>
        </is>
      </c>
      <c r="H69" s="17" t="inlineStr">
        <is>
          <t>m</t>
        </is>
      </c>
      <c r="I69" s="17" t="n"/>
      <c r="J69" s="17" t="inlineStr">
        <is>
          <t>2025-04-19</t>
        </is>
      </c>
      <c r="K69" s="17" t="inlineStr">
        <is>
          <t>-</t>
        </is>
      </c>
      <c r="L69" s="17" t="inlineStr">
        <is>
          <t>4022635082-1</t>
        </is>
      </c>
      <c r="M69" s="17" t="inlineStr">
        <is>
          <t>-</t>
        </is>
      </c>
      <c r="N69" s="17" t="n"/>
    </row>
    <row r="70" ht="18" customHeight="1" s="149">
      <c r="A70" s="15" t="n">
        <v>71</v>
      </c>
      <c r="B70" s="9" t="inlineStr">
        <is>
          <t>Maidelin Villar</t>
        </is>
      </c>
      <c r="C70" s="9" t="inlineStr">
        <is>
          <t>829-329-4659</t>
        </is>
      </c>
      <c r="D70" s="9" t="inlineStr">
        <is>
          <t>maidelinvillarmontero@gmail.com</t>
        </is>
      </c>
      <c r="E70" s="9" t="inlineStr">
        <is>
          <t>Rochy Villar</t>
        </is>
      </c>
      <c r="F70" s="9" t="inlineStr">
        <is>
          <t>canina</t>
        </is>
      </c>
      <c r="G70" s="9" t="inlineStr">
        <is>
          <t>Yorshire</t>
        </is>
      </c>
      <c r="H70" s="9" t="inlineStr">
        <is>
          <t>m</t>
        </is>
      </c>
      <c r="I70" s="9" t="inlineStr">
        <is>
          <t>dorado/negro</t>
        </is>
      </c>
      <c r="J70" s="9" t="n"/>
      <c r="K70" s="9" t="inlineStr">
        <is>
          <t>maidelinvillarmontero@gmail.com</t>
        </is>
      </c>
      <c r="L70" s="9" t="inlineStr">
        <is>
          <t>4021535998-1</t>
        </is>
      </c>
      <c r="M70" s="9" t="inlineStr">
        <is>
          <t>809-353-3559</t>
        </is>
      </c>
      <c r="N70" s="9" t="n"/>
    </row>
    <row r="71" ht="18" customHeight="1" s="149">
      <c r="A71" s="19" t="n">
        <v>72</v>
      </c>
      <c r="B71" s="17" t="inlineStr">
        <is>
          <t>Mario Guerra</t>
        </is>
      </c>
      <c r="C71" s="17" t="inlineStr">
        <is>
          <t>829-695-1901</t>
        </is>
      </c>
      <c r="D71" s="17" t="inlineStr">
        <is>
          <t>maguerra@gmail.com</t>
        </is>
      </c>
      <c r="E71" s="17" t="inlineStr">
        <is>
          <t>Sky Guerra</t>
        </is>
      </c>
      <c r="F71" s="17" t="inlineStr">
        <is>
          <t>canina</t>
        </is>
      </c>
      <c r="G71" s="17" t="inlineStr">
        <is>
          <t>Maltes- Poodler</t>
        </is>
      </c>
      <c r="H71" s="17" t="inlineStr">
        <is>
          <t>m</t>
        </is>
      </c>
      <c r="I71" s="17" t="inlineStr">
        <is>
          <t>blanco</t>
        </is>
      </c>
      <c r="J71" s="17" t="inlineStr">
        <is>
          <t>2020-10-03</t>
        </is>
      </c>
      <c r="K71" s="17" t="inlineStr">
        <is>
          <t>-</t>
        </is>
      </c>
      <c r="L71" s="17" t="inlineStr">
        <is>
          <t>-</t>
        </is>
      </c>
      <c r="M71" s="17" t="inlineStr">
        <is>
          <t>-</t>
        </is>
      </c>
      <c r="N71" s="17" t="n"/>
    </row>
    <row r="72" ht="18" customHeight="1" s="149">
      <c r="A72" s="15" t="n">
        <v>73</v>
      </c>
      <c r="B72" s="9" t="inlineStr">
        <is>
          <t>Andrea Beltre</t>
        </is>
      </c>
      <c r="C72" s="9" t="inlineStr">
        <is>
          <t>809-609-6099</t>
        </is>
      </c>
      <c r="D72" s="9" t="inlineStr">
        <is>
          <t>-</t>
        </is>
      </c>
      <c r="E72" s="9" t="inlineStr">
        <is>
          <t>Unica Hernadez Beltre</t>
        </is>
      </c>
      <c r="F72" s="9" t="inlineStr">
        <is>
          <t>canina</t>
        </is>
      </c>
      <c r="G72" s="9" t="inlineStr">
        <is>
          <t>Mestizo</t>
        </is>
      </c>
      <c r="H72" s="9" t="inlineStr">
        <is>
          <t>f</t>
        </is>
      </c>
      <c r="I72" s="9" t="inlineStr">
        <is>
          <t>blanco/negro</t>
        </is>
      </c>
      <c r="J72" s="9" t="n"/>
      <c r="K72" s="9" t="inlineStr">
        <is>
          <t>Ruinas de engombe</t>
        </is>
      </c>
      <c r="L72" s="9" t="inlineStr">
        <is>
          <t>-</t>
        </is>
      </c>
      <c r="M72" s="9" t="inlineStr">
        <is>
          <t>809-889-2876</t>
        </is>
      </c>
      <c r="N72" s="9" t="n"/>
    </row>
    <row r="73" ht="18" customHeight="1" s="149">
      <c r="A73" s="19" t="n">
        <v>74</v>
      </c>
      <c r="B73" s="17" t="inlineStr">
        <is>
          <t>Gustavo Santos</t>
        </is>
      </c>
      <c r="C73" s="17" t="inlineStr">
        <is>
          <t>829-505-8890</t>
        </is>
      </c>
      <c r="D73" s="17" t="inlineStr">
        <is>
          <t>ing.sagus@gmail.com</t>
        </is>
      </c>
      <c r="E73" s="17" t="inlineStr">
        <is>
          <t>Stella Santos</t>
        </is>
      </c>
      <c r="F73" s="17" t="inlineStr">
        <is>
          <t>canina</t>
        </is>
      </c>
      <c r="G73" s="17" t="inlineStr">
        <is>
          <t>cocker Spanier</t>
        </is>
      </c>
      <c r="H73" s="17" t="inlineStr">
        <is>
          <t>f</t>
        </is>
      </c>
      <c r="I73" s="17" t="inlineStr">
        <is>
          <t>rubia</t>
        </is>
      </c>
      <c r="J73" s="17" t="inlineStr">
        <is>
          <t>2024-12-13</t>
        </is>
      </c>
      <c r="K73" s="17" t="inlineStr">
        <is>
          <t>calle interior tercera, Los Restauradores</t>
        </is>
      </c>
      <c r="L73" s="17" t="inlineStr">
        <is>
          <t>-</t>
        </is>
      </c>
      <c r="M73" s="17" t="inlineStr">
        <is>
          <t>-</t>
        </is>
      </c>
      <c r="N73" s="17" t="n"/>
    </row>
    <row r="74" ht="18" customHeight="1" s="149">
      <c r="A74" s="15" t="n">
        <v>75</v>
      </c>
      <c r="B74" s="9" t="inlineStr">
        <is>
          <t>Freddy Felipe Maldonado</t>
        </is>
      </c>
      <c r="C74" s="9" t="inlineStr">
        <is>
          <t>849-881-5697</t>
        </is>
      </c>
      <c r="D74" s="9" t="inlineStr">
        <is>
          <t>ffelipemaldonado@gmail.com</t>
        </is>
      </c>
      <c r="E74" s="9" t="inlineStr">
        <is>
          <t>Shadow Felipe Maldonado</t>
        </is>
      </c>
      <c r="F74" s="9" t="inlineStr">
        <is>
          <t>canina</t>
        </is>
      </c>
      <c r="G74" s="9" t="inlineStr">
        <is>
          <t>Golden Retriever</t>
        </is>
      </c>
      <c r="H74" s="9" t="inlineStr">
        <is>
          <t>m</t>
        </is>
      </c>
      <c r="I74" s="9" t="inlineStr">
        <is>
          <t>negro</t>
        </is>
      </c>
      <c r="J74" s="9" t="inlineStr">
        <is>
          <t>2025-07-03</t>
        </is>
      </c>
      <c r="K74" s="9" t="inlineStr">
        <is>
          <t>Colinas 3, Edificio 29, apto. 29b1</t>
        </is>
      </c>
      <c r="L74" s="9" t="inlineStr">
        <is>
          <t>4023461644-8</t>
        </is>
      </c>
      <c r="M74" s="9" t="inlineStr">
        <is>
          <t>809-816-4086</t>
        </is>
      </c>
      <c r="N74" s="9" t="n"/>
    </row>
    <row r="75" ht="18" customHeight="1" s="149">
      <c r="A75" s="19" t="n">
        <v>76</v>
      </c>
      <c r="B75" s="17" t="inlineStr">
        <is>
          <t>Oscar Disla</t>
        </is>
      </c>
      <c r="C75" s="17" t="inlineStr">
        <is>
          <t>829-728-8414</t>
        </is>
      </c>
      <c r="D75" s="17" t="inlineStr">
        <is>
          <t>oscardisla1422@gmail.com</t>
        </is>
      </c>
      <c r="E75" s="17" t="inlineStr">
        <is>
          <t>Sasha Disla</t>
        </is>
      </c>
      <c r="F75" s="17" t="inlineStr">
        <is>
          <t>canina</t>
        </is>
      </c>
      <c r="G75" s="17" t="inlineStr">
        <is>
          <t>Poodler- Maltes</t>
        </is>
      </c>
      <c r="H75" s="17" t="inlineStr">
        <is>
          <t>f</t>
        </is>
      </c>
      <c r="I75" s="17" t="inlineStr">
        <is>
          <t>blanco/marron</t>
        </is>
      </c>
      <c r="J75" s="17" t="inlineStr">
        <is>
          <t>2025-03-24</t>
        </is>
      </c>
      <c r="K75" s="17" t="inlineStr">
        <is>
          <t>Alma Rosa, SDE</t>
        </is>
      </c>
      <c r="L75" s="17" t="inlineStr">
        <is>
          <t>4024043940-2</t>
        </is>
      </c>
      <c r="M75" s="17" t="inlineStr">
        <is>
          <t>-</t>
        </is>
      </c>
      <c r="N75" s="17" t="n"/>
    </row>
    <row r="76" ht="18" customHeight="1" s="149">
      <c r="A76" s="15" t="n">
        <v>77</v>
      </c>
      <c r="B76" s="9" t="inlineStr">
        <is>
          <t>Erika Then</t>
        </is>
      </c>
      <c r="C76" s="9" t="inlineStr">
        <is>
          <t>849-577-4920</t>
        </is>
      </c>
      <c r="D76" s="9" t="inlineStr">
        <is>
          <t>-</t>
        </is>
      </c>
      <c r="E76" s="9" t="inlineStr">
        <is>
          <t>Toby Then</t>
        </is>
      </c>
      <c r="F76" s="9" t="inlineStr">
        <is>
          <t>canina</t>
        </is>
      </c>
      <c r="G76" s="9" t="inlineStr">
        <is>
          <t>Shih Tzu</t>
        </is>
      </c>
      <c r="H76" s="9" t="inlineStr">
        <is>
          <t>m</t>
        </is>
      </c>
      <c r="I76" s="9" t="inlineStr">
        <is>
          <t>blanco/marron</t>
        </is>
      </c>
      <c r="J76" s="9" t="n"/>
      <c r="K76" s="9" t="inlineStr">
        <is>
          <t>Colinas del Oeste, L2 A4</t>
        </is>
      </c>
      <c r="L76" s="9" t="inlineStr">
        <is>
          <t>-</t>
        </is>
      </c>
      <c r="M76" s="9" t="inlineStr">
        <is>
          <t>-</t>
        </is>
      </c>
      <c r="N76" s="9" t="n"/>
    </row>
    <row r="77" ht="18" customHeight="1" s="149">
      <c r="A77" s="19" t="n">
        <v>78</v>
      </c>
      <c r="B77" s="17" t="inlineStr">
        <is>
          <t>Williams Aquino Dia</t>
        </is>
      </c>
      <c r="C77" s="17" t="inlineStr">
        <is>
          <t>849-867-0601</t>
        </is>
      </c>
      <c r="D77" s="17" t="inlineStr">
        <is>
          <t>williamsaquino26@gmail.com</t>
        </is>
      </c>
      <c r="E77" s="17" t="inlineStr">
        <is>
          <t>Simba Aquino</t>
        </is>
      </c>
      <c r="F77" s="17" t="inlineStr">
        <is>
          <t>canina</t>
        </is>
      </c>
      <c r="G77" s="17" t="inlineStr">
        <is>
          <t>Mestizo</t>
        </is>
      </c>
      <c r="H77" s="17" t="inlineStr">
        <is>
          <t>f</t>
        </is>
      </c>
      <c r="I77" s="17" t="n"/>
      <c r="J77" s="17" t="inlineStr">
        <is>
          <t>2025-09-09</t>
        </is>
      </c>
      <c r="K77" s="17" t="inlineStr">
        <is>
          <t>calle cordillera septentrional no. 3BA, Residencial Colinas del oeste</t>
        </is>
      </c>
      <c r="L77" s="17" t="inlineStr">
        <is>
          <t>4021473248-5</t>
        </is>
      </c>
      <c r="M77" s="17" t="inlineStr">
        <is>
          <t>-</t>
        </is>
      </c>
      <c r="N77" s="17" t="n"/>
    </row>
    <row r="78" ht="18" customHeight="1" s="149">
      <c r="A78" s="15" t="n">
        <v>79</v>
      </c>
      <c r="B78" s="9" t="inlineStr">
        <is>
          <t>Joel David Cabrera</t>
        </is>
      </c>
      <c r="C78" s="9" t="inlineStr">
        <is>
          <t>829-918-7870</t>
        </is>
      </c>
      <c r="D78" s="9" t="inlineStr">
        <is>
          <t>-</t>
        </is>
      </c>
      <c r="E78" s="9" t="inlineStr">
        <is>
          <t>Sasha Cabrera</t>
        </is>
      </c>
      <c r="F78" s="9" t="inlineStr">
        <is>
          <t>canina</t>
        </is>
      </c>
      <c r="G78" s="9" t="inlineStr">
        <is>
          <t>Chow Chow</t>
        </is>
      </c>
      <c r="H78" s="9" t="inlineStr">
        <is>
          <t>f</t>
        </is>
      </c>
      <c r="I78" s="9" t="inlineStr">
        <is>
          <t>rubia</t>
        </is>
      </c>
      <c r="J78" s="9" t="inlineStr">
        <is>
          <t>2025-08-10</t>
        </is>
      </c>
      <c r="K78" s="9" t="inlineStr">
        <is>
          <t>Quita sueño cason, Bajos de Haina</t>
        </is>
      </c>
      <c r="L78" s="9" t="inlineStr">
        <is>
          <t>25020106833-1</t>
        </is>
      </c>
      <c r="M78" s="9" t="inlineStr">
        <is>
          <t>829-914-9182</t>
        </is>
      </c>
      <c r="N78" s="9" t="n"/>
    </row>
    <row r="79" ht="18" customHeight="1" s="149">
      <c r="A79" s="19" t="n">
        <v>80</v>
      </c>
      <c r="B79" s="17" t="inlineStr">
        <is>
          <t>Eunice Diaz</t>
        </is>
      </c>
      <c r="C79" s="17" t="inlineStr">
        <is>
          <t>849-806-0723</t>
        </is>
      </c>
      <c r="D79" s="17" t="inlineStr">
        <is>
          <t>ediaz2307@gmail.com</t>
        </is>
      </c>
      <c r="E79" s="17" t="inlineStr">
        <is>
          <t>Lucas Diaz</t>
        </is>
      </c>
      <c r="F79" s="17" t="inlineStr">
        <is>
          <t>canina</t>
        </is>
      </c>
      <c r="G79" s="17" t="inlineStr">
        <is>
          <t>Shih Tzu</t>
        </is>
      </c>
      <c r="H79" s="17" t="inlineStr">
        <is>
          <t>m</t>
        </is>
      </c>
      <c r="I79" s="17" t="inlineStr">
        <is>
          <t>negro</t>
        </is>
      </c>
      <c r="J79" s="17" t="inlineStr">
        <is>
          <t>2025-02-08</t>
        </is>
      </c>
      <c r="K79" s="17" t="inlineStr">
        <is>
          <t>calle manguanagua, no.29, Los Restauradores</t>
        </is>
      </c>
      <c r="L79" s="17" t="inlineStr">
        <is>
          <t>22300221409</t>
        </is>
      </c>
      <c r="M79" s="17" t="inlineStr">
        <is>
          <t>-</t>
        </is>
      </c>
      <c r="N79" s="17" t="n"/>
    </row>
    <row r="80" ht="18" customHeight="1" s="149">
      <c r="A80" s="15" t="n">
        <v>81</v>
      </c>
      <c r="B80" s="9" t="inlineStr">
        <is>
          <t>Rosalyn Moni Cedano</t>
        </is>
      </c>
      <c r="C80" s="9" t="inlineStr">
        <is>
          <t>829-344-0343</t>
        </is>
      </c>
      <c r="D80" s="9" t="inlineStr">
        <is>
          <t>rosalynmoni@gmail.com</t>
        </is>
      </c>
      <c r="E80" s="9" t="inlineStr">
        <is>
          <t>Yukel Moni</t>
        </is>
      </c>
      <c r="F80" s="9" t="inlineStr">
        <is>
          <t>canina</t>
        </is>
      </c>
      <c r="G80" s="9" t="inlineStr">
        <is>
          <t>Chihuahua</t>
        </is>
      </c>
      <c r="H80" s="9" t="inlineStr">
        <is>
          <t>f</t>
        </is>
      </c>
      <c r="I80" s="9" t="inlineStr">
        <is>
          <t>crema</t>
        </is>
      </c>
      <c r="J80" s="9" t="inlineStr">
        <is>
          <t>2019-04-17</t>
        </is>
      </c>
      <c r="K80" s="9" t="inlineStr">
        <is>
          <t>edificio 5, apto. B3 , Brisas Colinas 3</t>
        </is>
      </c>
      <c r="L80" s="9" t="inlineStr">
        <is>
          <t>0290010786-9</t>
        </is>
      </c>
      <c r="M80" s="9" t="inlineStr">
        <is>
          <t>809-848-4012</t>
        </is>
      </c>
      <c r="N80" s="9" t="n"/>
    </row>
    <row r="81" ht="18" customHeight="1" s="149">
      <c r="A81" s="19" t="n">
        <v>82</v>
      </c>
      <c r="B81" s="17" t="inlineStr">
        <is>
          <t>Luiseliana Lara Tavarez</t>
        </is>
      </c>
      <c r="C81" s="17" t="inlineStr">
        <is>
          <t>829-808-9332</t>
        </is>
      </c>
      <c r="D81" s="17" t="inlineStr">
        <is>
          <t>luiselianalara@gmail.com</t>
        </is>
      </c>
      <c r="E81" s="17" t="inlineStr">
        <is>
          <t>Poky Cabral Lara</t>
        </is>
      </c>
      <c r="F81" s="17" t="inlineStr">
        <is>
          <t>canina</t>
        </is>
      </c>
      <c r="G81" s="17" t="inlineStr">
        <is>
          <t>Chihuahua</t>
        </is>
      </c>
      <c r="H81" s="17" t="inlineStr">
        <is>
          <t>f</t>
        </is>
      </c>
      <c r="I81" s="17" t="inlineStr">
        <is>
          <t>rubia</t>
        </is>
      </c>
      <c r="J81" s="17" t="n"/>
      <c r="K81" s="17" t="inlineStr">
        <is>
          <t>Colinas del oeste</t>
        </is>
      </c>
      <c r="L81" s="17" t="inlineStr">
        <is>
          <t>4022211726-5</t>
        </is>
      </c>
      <c r="M81" s="17" t="inlineStr">
        <is>
          <t>849-860-9000</t>
        </is>
      </c>
      <c r="N81" s="17" t="n"/>
    </row>
    <row r="82" ht="18" customHeight="1" s="149">
      <c r="A82" s="15" t="n">
        <v>83</v>
      </c>
      <c r="B82" s="9" t="inlineStr">
        <is>
          <t>Maria Fernanda Liz</t>
        </is>
      </c>
      <c r="C82" s="9" t="inlineStr">
        <is>
          <t>809-663-8850</t>
        </is>
      </c>
      <c r="D82" s="9" t="inlineStr">
        <is>
          <t>mariafliz@gmail.com</t>
        </is>
      </c>
      <c r="E82" s="9" t="inlineStr">
        <is>
          <t>Rocco Liz</t>
        </is>
      </c>
      <c r="F82" s="9" t="inlineStr">
        <is>
          <t>canino</t>
        </is>
      </c>
      <c r="G82" s="9" t="inlineStr">
        <is>
          <t>Shih Poo</t>
        </is>
      </c>
      <c r="H82" s="9" t="inlineStr">
        <is>
          <t>m</t>
        </is>
      </c>
      <c r="I82" s="9" t="inlineStr">
        <is>
          <t>blanco</t>
        </is>
      </c>
      <c r="J82" s="9" t="inlineStr">
        <is>
          <t>2023-06-04</t>
        </is>
      </c>
      <c r="K82" s="9" t="inlineStr">
        <is>
          <t>c, Orlando Martinez, esquina experimental, Urbanizable. Engombe</t>
        </is>
      </c>
      <c r="L82" s="9" t="inlineStr">
        <is>
          <t>402-2679984-5</t>
        </is>
      </c>
      <c r="M82" s="9" t="inlineStr">
        <is>
          <t>849-380-4046</t>
        </is>
      </c>
      <c r="N82" s="9" t="n"/>
    </row>
    <row r="83" ht="18" customHeight="1" s="149">
      <c r="A83" s="19" t="n">
        <v>84</v>
      </c>
      <c r="B83" s="17" t="inlineStr">
        <is>
          <t>Gustavo Bracho</t>
        </is>
      </c>
      <c r="C83" s="17" t="inlineStr">
        <is>
          <t>809-602-8043</t>
        </is>
      </c>
      <c r="D83" s="17" t="inlineStr">
        <is>
          <t>gbracho104@gmail.com</t>
        </is>
      </c>
      <c r="E83" s="17" t="inlineStr">
        <is>
          <t>Bongo Bracho</t>
        </is>
      </c>
      <c r="F83" s="17" t="inlineStr">
        <is>
          <t>canino</t>
        </is>
      </c>
      <c r="G83" s="17" t="inlineStr">
        <is>
          <t>Golden Retriever</t>
        </is>
      </c>
      <c r="H83" s="17" t="inlineStr">
        <is>
          <t>m</t>
        </is>
      </c>
      <c r="I83" s="17" t="inlineStr">
        <is>
          <t>rubio</t>
        </is>
      </c>
      <c r="J83" s="17" t="n"/>
      <c r="K83" s="17" t="inlineStr">
        <is>
          <t>Lp8, edificio 51, apto 102</t>
        </is>
      </c>
      <c r="L83" s="17" t="inlineStr">
        <is>
          <t>13914891-8</t>
        </is>
      </c>
      <c r="M83" s="17" t="inlineStr">
        <is>
          <t>-</t>
        </is>
      </c>
      <c r="N83" s="17" t="n"/>
    </row>
    <row r="84" ht="18" customHeight="1" s="149">
      <c r="A84" s="15" t="n">
        <v>85</v>
      </c>
      <c r="B84" s="9" t="inlineStr">
        <is>
          <t>Hector Aristy</t>
        </is>
      </c>
      <c r="C84" s="9" t="inlineStr">
        <is>
          <t>829-913-8708</t>
        </is>
      </c>
      <c r="D84" s="9" t="inlineStr">
        <is>
          <t>hrafaelaristy@gmaill.com</t>
        </is>
      </c>
      <c r="E84" s="9" t="inlineStr">
        <is>
          <t>Thor Aristy</t>
        </is>
      </c>
      <c r="F84" s="9" t="inlineStr">
        <is>
          <t>canino</t>
        </is>
      </c>
      <c r="G84" s="9" t="inlineStr">
        <is>
          <t>Shih Tzu</t>
        </is>
      </c>
      <c r="H84" s="9" t="inlineStr">
        <is>
          <t>m</t>
        </is>
      </c>
      <c r="I84" s="9" t="inlineStr">
        <is>
          <t>blanco/ crema</t>
        </is>
      </c>
      <c r="J84" s="9" t="n"/>
      <c r="K84" s="9" t="inlineStr">
        <is>
          <t>Colinas 3, edificio 21, apto. 2b</t>
        </is>
      </c>
      <c r="L84" s="9" t="inlineStr">
        <is>
          <t>402-2265698-1</t>
        </is>
      </c>
      <c r="M84" s="9" t="inlineStr">
        <is>
          <t>809-729-5361</t>
        </is>
      </c>
      <c r="N84" s="9" t="n"/>
    </row>
    <row r="85" ht="18" customHeight="1" s="149">
      <c r="A85" s="19" t="n">
        <v>86</v>
      </c>
      <c r="B85" s="17" t="inlineStr">
        <is>
          <t>Orlando Castaño</t>
        </is>
      </c>
      <c r="C85" s="17" t="inlineStr">
        <is>
          <t>829-675-0600</t>
        </is>
      </c>
      <c r="D85" s="17" t="inlineStr">
        <is>
          <t>orlandosantana244@gmail.com</t>
        </is>
      </c>
      <c r="E85" s="17" t="inlineStr">
        <is>
          <t>Tommy Castaños</t>
        </is>
      </c>
      <c r="F85" s="17" t="inlineStr">
        <is>
          <t>canino</t>
        </is>
      </c>
      <c r="G85" s="17" t="inlineStr">
        <is>
          <t>Chow chow</t>
        </is>
      </c>
      <c r="H85" s="17" t="inlineStr">
        <is>
          <t>m</t>
        </is>
      </c>
      <c r="I85" s="17" t="inlineStr">
        <is>
          <t>-</t>
        </is>
      </c>
      <c r="J85" s="17" t="n"/>
      <c r="K85" s="17" t="inlineStr">
        <is>
          <t>-</t>
        </is>
      </c>
      <c r="L85" s="17" t="inlineStr">
        <is>
          <t>4020912519-0</t>
        </is>
      </c>
      <c r="M85" s="17" t="inlineStr">
        <is>
          <t>829-702-7717</t>
        </is>
      </c>
      <c r="N85" s="17" t="n"/>
    </row>
    <row r="86" ht="18" customHeight="1" s="149">
      <c r="A86" s="15" t="n">
        <v>87</v>
      </c>
      <c r="B86" s="9" t="inlineStr">
        <is>
          <t>Carolina Sosa</t>
        </is>
      </c>
      <c r="C86" s="9" t="inlineStr">
        <is>
          <t>849-816-8217</t>
        </is>
      </c>
      <c r="D86" s="9" t="inlineStr">
        <is>
          <t>cse2021@gmail.com</t>
        </is>
      </c>
      <c r="E86" s="9" t="inlineStr">
        <is>
          <t>Lulu Sanchez</t>
        </is>
      </c>
      <c r="F86" s="9" t="inlineStr">
        <is>
          <t>canino</t>
        </is>
      </c>
      <c r="G86" s="9" t="inlineStr">
        <is>
          <t>Yorkie Terrier</t>
        </is>
      </c>
      <c r="H86" s="9" t="inlineStr">
        <is>
          <t>f</t>
        </is>
      </c>
      <c r="I86" s="9" t="inlineStr">
        <is>
          <t>-</t>
        </is>
      </c>
      <c r="J86" s="9" t="inlineStr">
        <is>
          <t>2021-11-21</t>
        </is>
      </c>
      <c r="K86" s="9" t="inlineStr">
        <is>
          <t>Calle los julios, residencial Felipe 2, Alamo</t>
        </is>
      </c>
      <c r="L86" s="9" t="inlineStr">
        <is>
          <t>001-1806581-2</t>
        </is>
      </c>
      <c r="M86" s="9" t="inlineStr">
        <is>
          <t>-</t>
        </is>
      </c>
      <c r="N86" s="9" t="n"/>
    </row>
    <row r="87" ht="18" customHeight="1" s="149">
      <c r="A87" s="19" t="n">
        <v>88</v>
      </c>
      <c r="B87" s="17" t="inlineStr">
        <is>
          <t>David Perez Uri</t>
        </is>
      </c>
      <c r="C87" s="17" t="inlineStr">
        <is>
          <t>849-203-2200</t>
        </is>
      </c>
      <c r="D87" s="17" t="inlineStr">
        <is>
          <t>enobe220@gmail.coim</t>
        </is>
      </c>
      <c r="E87" s="17" t="inlineStr">
        <is>
          <t>Kira uri</t>
        </is>
      </c>
      <c r="F87" s="17" t="inlineStr">
        <is>
          <t>canino</t>
        </is>
      </c>
      <c r="G87" s="17" t="inlineStr">
        <is>
          <t>Shih Tzu</t>
        </is>
      </c>
      <c r="H87" s="17" t="inlineStr">
        <is>
          <t>f</t>
        </is>
      </c>
      <c r="I87" s="17" t="inlineStr">
        <is>
          <t>blanco con manchas</t>
        </is>
      </c>
      <c r="J87" s="17" t="inlineStr">
        <is>
          <t>2025-11-11</t>
        </is>
      </c>
      <c r="K87" s="17" t="inlineStr">
        <is>
          <t>-</t>
        </is>
      </c>
      <c r="L87" s="17" t="inlineStr">
        <is>
          <t>4022133807-8</t>
        </is>
      </c>
      <c r="M87" s="17" t="inlineStr">
        <is>
          <t>-</t>
        </is>
      </c>
      <c r="N87" s="17" t="n"/>
    </row>
    <row r="88" ht="18" customHeight="1" s="149">
      <c r="A88" s="15" t="n">
        <v>89</v>
      </c>
      <c r="B88" s="9" t="inlineStr">
        <is>
          <t>Marilyn Nieve</t>
        </is>
      </c>
      <c r="C88" s="9" t="inlineStr">
        <is>
          <t>-</t>
        </is>
      </c>
      <c r="D88" s="9" t="inlineStr">
        <is>
          <t>-</t>
        </is>
      </c>
      <c r="E88" s="9" t="inlineStr">
        <is>
          <t>Yeri Nieve</t>
        </is>
      </c>
      <c r="F88" s="9" t="inlineStr">
        <is>
          <t>felino</t>
        </is>
      </c>
      <c r="G88" s="9" t="inlineStr">
        <is>
          <t>-</t>
        </is>
      </c>
      <c r="H88" s="9" t="inlineStr">
        <is>
          <t>m</t>
        </is>
      </c>
      <c r="I88" s="9" t="inlineStr">
        <is>
          <t>blanco/negro</t>
        </is>
      </c>
      <c r="J88" s="9" t="n"/>
      <c r="K88" s="9" t="inlineStr">
        <is>
          <t>calle 4, #5 Las palmas de herrera</t>
        </is>
      </c>
      <c r="L88" s="9" t="inlineStr">
        <is>
          <t>0010881816-2</t>
        </is>
      </c>
      <c r="M88" s="9" t="inlineStr">
        <is>
          <t>-</t>
        </is>
      </c>
      <c r="N88" s="9" t="n"/>
    </row>
    <row r="89" ht="18" customHeight="1" s="149">
      <c r="A89" s="19" t="n">
        <v>90</v>
      </c>
      <c r="B89" s="17" t="inlineStr">
        <is>
          <t>Baldony Lora</t>
        </is>
      </c>
      <c r="C89" s="17" t="inlineStr">
        <is>
          <t>849-243-1226</t>
        </is>
      </c>
      <c r="D89" s="17" t="inlineStr">
        <is>
          <t>bmloras@hotmail.com</t>
        </is>
      </c>
      <c r="E89" s="17" t="inlineStr">
        <is>
          <t>Chloe Lora</t>
        </is>
      </c>
      <c r="F89" s="17" t="inlineStr">
        <is>
          <t>canino</t>
        </is>
      </c>
      <c r="G89" s="17" t="inlineStr">
        <is>
          <t>Shih Poo</t>
        </is>
      </c>
      <c r="H89" s="17" t="inlineStr">
        <is>
          <t>f</t>
        </is>
      </c>
      <c r="I89" s="17" t="inlineStr">
        <is>
          <t>gris</t>
        </is>
      </c>
      <c r="J89" s="17" t="inlineStr">
        <is>
          <t>2021-05-01</t>
        </is>
      </c>
      <c r="K89" s="17" t="inlineStr">
        <is>
          <t>colinas del oeste, L11, G2</t>
        </is>
      </c>
      <c r="L89" s="17" t="inlineStr">
        <is>
          <t>0010119920-6</t>
        </is>
      </c>
      <c r="M89" s="17" t="inlineStr">
        <is>
          <t>809-467-1265</t>
        </is>
      </c>
      <c r="N89" s="17" t="n"/>
    </row>
    <row r="90" ht="18" customHeight="1" s="149">
      <c r="A90" s="15" t="n">
        <v>91</v>
      </c>
      <c r="B90" s="9" t="inlineStr">
        <is>
          <t>Raul De Leon</t>
        </is>
      </c>
      <c r="C90" s="9" t="inlineStr">
        <is>
          <t>829-701-1496</t>
        </is>
      </c>
      <c r="D90" s="9" t="inlineStr">
        <is>
          <t>amilkar_raul@hotmail.com</t>
        </is>
      </c>
      <c r="E90" s="9" t="inlineStr">
        <is>
          <t>Rufo De Leon</t>
        </is>
      </c>
      <c r="F90" s="9" t="inlineStr">
        <is>
          <t>canino</t>
        </is>
      </c>
      <c r="G90" s="9" t="inlineStr">
        <is>
          <t>Poodler</t>
        </is>
      </c>
      <c r="H90" s="9" t="inlineStr">
        <is>
          <t>m</t>
        </is>
      </c>
      <c r="I90" s="9" t="inlineStr">
        <is>
          <t>blanco</t>
        </is>
      </c>
      <c r="J90" s="9" t="inlineStr">
        <is>
          <t>2024-01-01</t>
        </is>
      </c>
      <c r="K90" s="9" t="inlineStr">
        <is>
          <t>calle los pinos #18, Engombe</t>
        </is>
      </c>
      <c r="L90" s="9" t="inlineStr">
        <is>
          <t>0011802655-8</t>
        </is>
      </c>
      <c r="M90" s="9" t="inlineStr">
        <is>
          <t>-</t>
        </is>
      </c>
      <c r="N90" s="9" t="n"/>
    </row>
    <row r="91" ht="18" customHeight="1" s="149">
      <c r="A91" s="19" t="n">
        <v>92</v>
      </c>
      <c r="B91" s="17" t="inlineStr">
        <is>
          <t>Flor Alicia Brito</t>
        </is>
      </c>
      <c r="C91" s="17" t="inlineStr">
        <is>
          <t>829-263-1288</t>
        </is>
      </c>
      <c r="D91" s="17" t="inlineStr">
        <is>
          <t>-</t>
        </is>
      </c>
      <c r="E91" s="17" t="inlineStr">
        <is>
          <t>Kiara Brito</t>
        </is>
      </c>
      <c r="F91" s="17" t="inlineStr">
        <is>
          <t>canino</t>
        </is>
      </c>
      <c r="G91" s="17" t="inlineStr">
        <is>
          <t>Shih Tzu</t>
        </is>
      </c>
      <c r="H91" s="17" t="inlineStr">
        <is>
          <t>f</t>
        </is>
      </c>
      <c r="I91" s="17" t="inlineStr">
        <is>
          <t>blanco</t>
        </is>
      </c>
      <c r="J91" s="17" t="n"/>
      <c r="K91" s="17" t="inlineStr">
        <is>
          <t>av. independencia, km 7 1/2, residencial Villas del centro</t>
        </is>
      </c>
      <c r="L91" s="17" t="inlineStr">
        <is>
          <t>0370078489-9</t>
        </is>
      </c>
      <c r="M91" s="17" t="inlineStr">
        <is>
          <t>-</t>
        </is>
      </c>
      <c r="N91" s="17" t="n"/>
    </row>
    <row r="92" ht="18" customHeight="1" s="149">
      <c r="A92" s="15" t="n">
        <v>93</v>
      </c>
      <c r="B92" s="9" t="inlineStr">
        <is>
          <t>Cristina Perez</t>
        </is>
      </c>
      <c r="C92" s="9" t="inlineStr">
        <is>
          <t>849-271-9282</t>
        </is>
      </c>
      <c r="D92" s="9" t="inlineStr">
        <is>
          <t>cristianfelipeperezbadillo@gmail.com</t>
        </is>
      </c>
      <c r="E92" s="9" t="inlineStr">
        <is>
          <t>Pury Perez</t>
        </is>
      </c>
      <c r="F92" s="9" t="inlineStr">
        <is>
          <t>canino</t>
        </is>
      </c>
      <c r="G92" s="9" t="inlineStr">
        <is>
          <t>Shih Tzu</t>
        </is>
      </c>
      <c r="H92" s="9" t="inlineStr">
        <is>
          <t>-</t>
        </is>
      </c>
      <c r="I92" s="9" t="inlineStr">
        <is>
          <t>blanco / gris</t>
        </is>
      </c>
      <c r="J92" s="9" t="n"/>
      <c r="K92" s="9" t="inlineStr">
        <is>
          <t>calle Gaviño, Palmares del Este 4</t>
        </is>
      </c>
      <c r="L92" s="9" t="inlineStr">
        <is>
          <t>2230054201-0</t>
        </is>
      </c>
      <c r="M92" s="9" t="inlineStr">
        <is>
          <t>-</t>
        </is>
      </c>
      <c r="N92" s="9" t="n"/>
    </row>
    <row r="93" ht="18" customHeight="1" s="149">
      <c r="A93" s="19" t="n">
        <v>94</v>
      </c>
      <c r="B93" s="17" t="inlineStr">
        <is>
          <t>Elodia Severino</t>
        </is>
      </c>
      <c r="C93" s="17" t="inlineStr">
        <is>
          <t>849-214-3084</t>
        </is>
      </c>
      <c r="D93" s="17" t="inlineStr">
        <is>
          <t>rosemary1802@hotmail.com</t>
        </is>
      </c>
      <c r="E93" s="17" t="inlineStr">
        <is>
          <t>Ruthy Severino</t>
        </is>
      </c>
      <c r="F93" s="17" t="inlineStr">
        <is>
          <t>canino</t>
        </is>
      </c>
      <c r="G93" s="17" t="inlineStr">
        <is>
          <t>Pomerania</t>
        </is>
      </c>
      <c r="H93" s="17" t="inlineStr">
        <is>
          <t>f</t>
        </is>
      </c>
      <c r="I93" s="17" t="inlineStr">
        <is>
          <t>blanca</t>
        </is>
      </c>
      <c r="J93" s="17" t="inlineStr">
        <is>
          <t>2024-12-22</t>
        </is>
      </c>
      <c r="K93" s="17" t="inlineStr">
        <is>
          <t>-</t>
        </is>
      </c>
      <c r="L93" s="17" t="inlineStr">
        <is>
          <t>-</t>
        </is>
      </c>
      <c r="M93" s="17" t="inlineStr">
        <is>
          <t>-</t>
        </is>
      </c>
      <c r="N93" s="17" t="n"/>
    </row>
    <row r="94" ht="18" customHeight="1" s="149">
      <c r="A94" s="15" t="n">
        <v>95</v>
      </c>
      <c r="B94" s="9" t="inlineStr">
        <is>
          <t>Karlany Duran</t>
        </is>
      </c>
      <c r="C94" s="9" t="inlineStr">
        <is>
          <t>829-321-1199</t>
        </is>
      </c>
      <c r="D94" s="9" t="inlineStr">
        <is>
          <t>-</t>
        </is>
      </c>
      <c r="E94" s="9" t="inlineStr">
        <is>
          <t>Cariño Duran</t>
        </is>
      </c>
      <c r="F94" s="9" t="inlineStr">
        <is>
          <t>felino</t>
        </is>
      </c>
      <c r="G94" s="9" t="inlineStr">
        <is>
          <t>Perza</t>
        </is>
      </c>
      <c r="H94" s="9" t="inlineStr">
        <is>
          <t>f</t>
        </is>
      </c>
      <c r="I94" s="9" t="inlineStr">
        <is>
          <t>negro/ marron</t>
        </is>
      </c>
      <c r="J94" s="9" t="inlineStr">
        <is>
          <t>2025-10-24</t>
        </is>
      </c>
      <c r="K94" s="9" t="inlineStr">
        <is>
          <t>Av. Jacobo Majluta, Residencial Jardines del Arroyo MD.30</t>
        </is>
      </c>
      <c r="L94" s="9" t="inlineStr">
        <is>
          <t>4028905747-6</t>
        </is>
      </c>
      <c r="M94" s="9" t="inlineStr">
        <is>
          <t>809265-6443</t>
        </is>
      </c>
      <c r="N94" s="9" t="n"/>
    </row>
    <row r="95" ht="18" customHeight="1" s="149">
      <c r="A95" s="19" t="n">
        <v>96</v>
      </c>
      <c r="B95" s="17" t="inlineStr">
        <is>
          <t>Gian Jorge Montero</t>
        </is>
      </c>
      <c r="C95" s="17" t="inlineStr">
        <is>
          <t>829-676-2998</t>
        </is>
      </c>
      <c r="D95" s="17" t="inlineStr">
        <is>
          <t>gianjorgemontero@gmail.com</t>
        </is>
      </c>
      <c r="E95" s="17" t="inlineStr">
        <is>
          <t>Wolfie Montero</t>
        </is>
      </c>
      <c r="F95" s="17" t="inlineStr">
        <is>
          <t>canino</t>
        </is>
      </c>
      <c r="G95" s="17" t="inlineStr">
        <is>
          <t>Mestizo</t>
        </is>
      </c>
      <c r="H95" s="17" t="inlineStr">
        <is>
          <t>m</t>
        </is>
      </c>
      <c r="I95" s="17" t="inlineStr">
        <is>
          <t>rubio</t>
        </is>
      </c>
      <c r="J95" s="17" t="n"/>
      <c r="K95" s="17" t="inlineStr">
        <is>
          <t>Colinas del oeste</t>
        </is>
      </c>
      <c r="L95" s="17" t="inlineStr">
        <is>
          <t>4020050788-3</t>
        </is>
      </c>
      <c r="M95" s="17" t="inlineStr">
        <is>
          <t>-</t>
        </is>
      </c>
      <c r="N95" s="17" t="n"/>
    </row>
    <row r="96" ht="18" customHeight="1" s="149">
      <c r="A96" s="15" t="n">
        <v>97</v>
      </c>
      <c r="B96" s="9" t="inlineStr">
        <is>
          <t>Jumiris Ureña Suriel</t>
        </is>
      </c>
      <c r="C96" s="9" t="inlineStr">
        <is>
          <t>809-486-3094</t>
        </is>
      </c>
      <c r="D96" s="9" t="inlineStr">
        <is>
          <t>jumirissurena@gmail.com</t>
        </is>
      </c>
      <c r="E96" s="9" t="inlineStr">
        <is>
          <t>Odie Cavallo Ureña</t>
        </is>
      </c>
      <c r="F96" s="9" t="inlineStr">
        <is>
          <t>canino</t>
        </is>
      </c>
      <c r="G96" s="9" t="inlineStr">
        <is>
          <t>Yorkie</t>
        </is>
      </c>
      <c r="H96" s="9" t="inlineStr">
        <is>
          <t>m</t>
        </is>
      </c>
      <c r="I96" s="9" t="inlineStr">
        <is>
          <t>castaño</t>
        </is>
      </c>
      <c r="J96" s="9" t="inlineStr">
        <is>
          <t>2024-05-17</t>
        </is>
      </c>
      <c r="K96" s="9" t="inlineStr">
        <is>
          <t>Colinas del oeste, edificios L6 g, apto g3</t>
        </is>
      </c>
      <c r="L96" s="9" t="inlineStr">
        <is>
          <t>402-3028618-5</t>
        </is>
      </c>
      <c r="M96" s="9" t="inlineStr">
        <is>
          <t>809-354-6863</t>
        </is>
      </c>
      <c r="N96" s="9" t="n"/>
    </row>
    <row r="97" ht="18" customHeight="1" s="149">
      <c r="A97" s="19" t="n">
        <v>98</v>
      </c>
      <c r="B97" s="17" t="inlineStr">
        <is>
          <t>Edwin Mañon Lara</t>
        </is>
      </c>
      <c r="C97" s="17" t="inlineStr">
        <is>
          <t>829-577-3439</t>
        </is>
      </c>
      <c r="D97" s="17" t="inlineStr">
        <is>
          <t>urbehomerd@gmail.com</t>
        </is>
      </c>
      <c r="E97" s="17" t="inlineStr">
        <is>
          <t>Oreo Mañon Molina</t>
        </is>
      </c>
      <c r="F97" s="17" t="inlineStr">
        <is>
          <t>canino</t>
        </is>
      </c>
      <c r="G97" s="17" t="inlineStr">
        <is>
          <t>Shih Tzu</t>
        </is>
      </c>
      <c r="H97" s="17" t="inlineStr">
        <is>
          <t>m</t>
        </is>
      </c>
      <c r="I97" s="17" t="inlineStr">
        <is>
          <t>Blanco/marron/negro</t>
        </is>
      </c>
      <c r="J97" s="17" t="n"/>
      <c r="K97" s="17" t="inlineStr">
        <is>
          <t>Av. Rio Haina #25</t>
        </is>
      </c>
      <c r="L97" s="17" t="inlineStr">
        <is>
          <t>0930052098-9</t>
        </is>
      </c>
      <c r="M97" s="17" t="inlineStr">
        <is>
          <t>-</t>
        </is>
      </c>
      <c r="N97" s="17" t="n"/>
    </row>
    <row r="98" ht="18" customHeight="1" s="149">
      <c r="A98" s="15" t="n">
        <v>99</v>
      </c>
      <c r="B98" s="9" t="inlineStr">
        <is>
          <t>Johanna Rosario</t>
        </is>
      </c>
      <c r="C98" s="9" t="inlineStr">
        <is>
          <t>829-585-8682</t>
        </is>
      </c>
      <c r="D98" s="9" t="inlineStr">
        <is>
          <t>-</t>
        </is>
      </c>
      <c r="E98" s="9" t="inlineStr">
        <is>
          <t>Oliver Matos Rosario</t>
        </is>
      </c>
      <c r="F98" s="9" t="inlineStr">
        <is>
          <t>canino</t>
        </is>
      </c>
      <c r="G98" s="9" t="inlineStr">
        <is>
          <t>Shih Tzu</t>
        </is>
      </c>
      <c r="H98" s="9" t="inlineStr">
        <is>
          <t>m</t>
        </is>
      </c>
      <c r="I98" s="9" t="inlineStr">
        <is>
          <t>blanco</t>
        </is>
      </c>
      <c r="J98" s="9" t="inlineStr">
        <is>
          <t>2025-04-12</t>
        </is>
      </c>
      <c r="K98" s="9" t="inlineStr">
        <is>
          <t>Colinas de oeste, bloque b, 301</t>
        </is>
      </c>
      <c r="L98" s="9" t="inlineStr">
        <is>
          <t>0011833325-1</t>
        </is>
      </c>
      <c r="M98" s="9" t="inlineStr">
        <is>
          <t>809-620-8468</t>
        </is>
      </c>
      <c r="N98" s="9" t="n"/>
    </row>
    <row r="99" ht="18" customHeight="1" s="149">
      <c r="A99" s="19" t="n">
        <v>100</v>
      </c>
      <c r="B99" s="17" t="inlineStr">
        <is>
          <t>Mirbelia Peguero</t>
        </is>
      </c>
      <c r="C99" s="17" t="inlineStr">
        <is>
          <t>809-714-3510</t>
        </is>
      </c>
      <c r="D99" s="17" t="inlineStr">
        <is>
          <t>mirbeliapeguero@gmail.com</t>
        </is>
      </c>
      <c r="E99" s="17" t="inlineStr">
        <is>
          <t>Sky Peguero</t>
        </is>
      </c>
      <c r="F99" s="17" t="inlineStr">
        <is>
          <t>canino</t>
        </is>
      </c>
      <c r="G99" s="17" t="inlineStr">
        <is>
          <t>-</t>
        </is>
      </c>
      <c r="H99" s="17" t="inlineStr">
        <is>
          <t>f</t>
        </is>
      </c>
      <c r="I99" s="17" t="inlineStr">
        <is>
          <t>blanca/crema</t>
        </is>
      </c>
      <c r="J99" s="17" t="inlineStr">
        <is>
          <t>2025-02-01</t>
        </is>
      </c>
      <c r="K99" s="17" t="inlineStr">
        <is>
          <t>Residencial Roalva II, Manoguayabo</t>
        </is>
      </c>
      <c r="L99" s="17" t="inlineStr">
        <is>
          <t>4022422714-6</t>
        </is>
      </c>
      <c r="M99" s="17" t="inlineStr">
        <is>
          <t>809-983-5060</t>
        </is>
      </c>
      <c r="N99" s="17" t="n"/>
    </row>
    <row r="100" ht="18" customHeight="1" s="149">
      <c r="A100" s="15" t="n">
        <v>101</v>
      </c>
      <c r="B100" s="9" t="inlineStr">
        <is>
          <t>Ross Ramirez</t>
        </is>
      </c>
      <c r="C100" s="9" t="inlineStr">
        <is>
          <t>849-330-2712</t>
        </is>
      </c>
      <c r="D100" s="9" t="inlineStr">
        <is>
          <t>-</t>
        </is>
      </c>
      <c r="E100" s="9" t="inlineStr">
        <is>
          <t>Oreo Ramirez</t>
        </is>
      </c>
      <c r="F100" s="9" t="inlineStr">
        <is>
          <t>canino</t>
        </is>
      </c>
      <c r="G100" s="9" t="inlineStr">
        <is>
          <t>Shih Tzu</t>
        </is>
      </c>
      <c r="H100" s="9" t="inlineStr">
        <is>
          <t>m</t>
        </is>
      </c>
      <c r="I100" s="9" t="inlineStr">
        <is>
          <t>negro/blanco</t>
        </is>
      </c>
      <c r="J100" s="9" t="inlineStr">
        <is>
          <t>2024-08-25</t>
        </is>
      </c>
      <c r="K100" s="9" t="inlineStr">
        <is>
          <t>residencial Don juan, Colinas del oeste</t>
        </is>
      </c>
      <c r="L100" s="9" t="inlineStr">
        <is>
          <t>4020957062-7</t>
        </is>
      </c>
      <c r="M100" s="9" t="inlineStr">
        <is>
          <t>-</t>
        </is>
      </c>
      <c r="N100" s="9" t="n"/>
    </row>
    <row r="101" ht="18" customHeight="1" s="149">
      <c r="A101" s="19" t="n">
        <v>102</v>
      </c>
      <c r="B101" s="17" t="inlineStr">
        <is>
          <t>Juana Victorino</t>
        </is>
      </c>
      <c r="C101" s="17" t="inlineStr">
        <is>
          <t>809-855-6480</t>
        </is>
      </c>
      <c r="D101" s="17" t="inlineStr">
        <is>
          <t>juanamuz03@gmail.com</t>
        </is>
      </c>
      <c r="E101" s="17" t="inlineStr">
        <is>
          <t>Bobby Victorino</t>
        </is>
      </c>
      <c r="F101" s="17" t="inlineStr">
        <is>
          <t>canino</t>
        </is>
      </c>
      <c r="G101" s="17" t="inlineStr">
        <is>
          <t>Chihuahua</t>
        </is>
      </c>
      <c r="H101" s="17" t="inlineStr">
        <is>
          <t>m</t>
        </is>
      </c>
      <c r="I101" s="17" t="inlineStr">
        <is>
          <t>Amarillo oscuro</t>
        </is>
      </c>
      <c r="J101" s="17" t="inlineStr">
        <is>
          <t>2024-10-11</t>
        </is>
      </c>
      <c r="K101" s="17" t="inlineStr">
        <is>
          <t>calle el portal #2, casa 28, Bayona, SDO</t>
        </is>
      </c>
      <c r="L101" s="17" t="inlineStr">
        <is>
          <t>4021349640-5</t>
        </is>
      </c>
      <c r="M101" s="17" t="inlineStr">
        <is>
          <t>-</t>
        </is>
      </c>
      <c r="N101" s="17" t="n"/>
    </row>
    <row r="102" ht="18" customHeight="1" s="149">
      <c r="A102" s="15" t="n">
        <v>103</v>
      </c>
      <c r="B102" s="9" t="inlineStr">
        <is>
          <t>Yunibel Jimenez Pimentel</t>
        </is>
      </c>
      <c r="C102" s="9" t="inlineStr">
        <is>
          <t>829-266-6218</t>
        </is>
      </c>
      <c r="D102" s="9" t="inlineStr">
        <is>
          <t>aralyjimenez17@gmail.com</t>
        </is>
      </c>
      <c r="E102" s="9" t="inlineStr">
        <is>
          <t>Bebe Pimentel</t>
        </is>
      </c>
      <c r="F102" s="9" t="inlineStr">
        <is>
          <t>canino</t>
        </is>
      </c>
      <c r="G102" s="9" t="inlineStr">
        <is>
          <t>Mestizo</t>
        </is>
      </c>
      <c r="H102" s="9" t="inlineStr">
        <is>
          <t>m</t>
        </is>
      </c>
      <c r="I102" s="9" t="inlineStr">
        <is>
          <t>Blanco</t>
        </is>
      </c>
      <c r="J102" s="9" t="inlineStr">
        <is>
          <t>2023-05-01</t>
        </is>
      </c>
      <c r="K102" s="9" t="inlineStr">
        <is>
          <t>km 11, autopista Duarte #30</t>
        </is>
      </c>
      <c r="L102" s="9" t="inlineStr">
        <is>
          <t>4020928420-3</t>
        </is>
      </c>
      <c r="M102" s="9" t="inlineStr">
        <is>
          <t>829-778-5008</t>
        </is>
      </c>
      <c r="N102" s="9" t="n"/>
    </row>
    <row r="103" ht="18" customHeight="1" s="149">
      <c r="A103" s="19" t="n">
        <v>104</v>
      </c>
      <c r="B103" s="17" t="inlineStr">
        <is>
          <t>Aylein Santiago</t>
        </is>
      </c>
      <c r="C103" s="17" t="inlineStr">
        <is>
          <t>809-421-5278</t>
        </is>
      </c>
      <c r="D103" s="17" t="inlineStr">
        <is>
          <t>wonderbiz105233124@gmail.com</t>
        </is>
      </c>
      <c r="E103" s="17" t="inlineStr">
        <is>
          <t>Becca Santiago</t>
        </is>
      </c>
      <c r="F103" s="17" t="inlineStr">
        <is>
          <t>canino</t>
        </is>
      </c>
      <c r="G103" s="17" t="inlineStr">
        <is>
          <t>mestizo</t>
        </is>
      </c>
      <c r="H103" s="17" t="inlineStr">
        <is>
          <t>f</t>
        </is>
      </c>
      <c r="I103" s="17" t="inlineStr">
        <is>
          <t>amarillo/blanco</t>
        </is>
      </c>
      <c r="J103" s="17" t="inlineStr">
        <is>
          <t>2020-01-01</t>
        </is>
      </c>
      <c r="K103" s="17" t="inlineStr">
        <is>
          <t>-</t>
        </is>
      </c>
      <c r="L103" s="17" t="inlineStr">
        <is>
          <t>4022626702-5</t>
        </is>
      </c>
      <c r="M103" s="17" t="inlineStr">
        <is>
          <t>-</t>
        </is>
      </c>
      <c r="N103" s="17" t="n"/>
    </row>
    <row r="104" ht="18" customHeight="1" s="149">
      <c r="A104" s="15" t="n">
        <v>105</v>
      </c>
      <c r="B104" s="9" t="inlineStr">
        <is>
          <t>Lia Martinez De Leon</t>
        </is>
      </c>
      <c r="C104" s="9" t="inlineStr">
        <is>
          <t>849-480-1935</t>
        </is>
      </c>
      <c r="D104" s="9" t="inlineStr">
        <is>
          <t>liasccmsstuff@gmail.com</t>
        </is>
      </c>
      <c r="E104" s="9" t="inlineStr">
        <is>
          <t>Aria Luna Martinez</t>
        </is>
      </c>
      <c r="F104" s="9" t="inlineStr">
        <is>
          <t>canino</t>
        </is>
      </c>
      <c r="G104" s="9" t="inlineStr">
        <is>
          <t>Bichon Maltes</t>
        </is>
      </c>
      <c r="H104" s="9" t="inlineStr">
        <is>
          <t>f</t>
        </is>
      </c>
      <c r="I104" s="9" t="inlineStr">
        <is>
          <t>blanco</t>
        </is>
      </c>
      <c r="J104" s="9" t="inlineStr">
        <is>
          <t>2025-07-23</t>
        </is>
      </c>
      <c r="K104" s="9" t="inlineStr">
        <is>
          <t>colinas del oeste, calle isabelina de torres #13</t>
        </is>
      </c>
      <c r="L104" s="9" t="inlineStr">
        <is>
          <t>-</t>
        </is>
      </c>
      <c r="M104" s="9" t="inlineStr">
        <is>
          <t>809-436-7662</t>
        </is>
      </c>
      <c r="N104" s="9" t="n"/>
    </row>
    <row r="105" ht="18" customHeight="1" s="149">
      <c r="A105" s="19" t="n">
        <v>106</v>
      </c>
      <c r="B105" s="17" t="inlineStr">
        <is>
          <t>Katherine Ramirez</t>
        </is>
      </c>
      <c r="C105" s="17" t="inlineStr">
        <is>
          <t>809-608-5192</t>
        </is>
      </c>
      <c r="D105" s="17" t="inlineStr">
        <is>
          <t>katherinermo9@gmail.com</t>
        </is>
      </c>
      <c r="E105" s="17" t="inlineStr">
        <is>
          <t>Ares Ramirez</t>
        </is>
      </c>
      <c r="F105" s="17" t="inlineStr">
        <is>
          <t>canino</t>
        </is>
      </c>
      <c r="G105" s="17" t="inlineStr">
        <is>
          <t>Pomerania</t>
        </is>
      </c>
      <c r="H105" s="17" t="inlineStr">
        <is>
          <t>m</t>
        </is>
      </c>
      <c r="I105" s="17" t="inlineStr">
        <is>
          <t>blanco</t>
        </is>
      </c>
      <c r="J105" s="17" t="inlineStr">
        <is>
          <t>2025-07-30</t>
        </is>
      </c>
      <c r="K105" s="17" t="inlineStr">
        <is>
          <t>calle principal la pared de haina, monte largo</t>
        </is>
      </c>
      <c r="L105" s="17" t="inlineStr">
        <is>
          <t>4022381228-6</t>
        </is>
      </c>
      <c r="M105" s="17" t="inlineStr">
        <is>
          <t>809-428-0819</t>
        </is>
      </c>
      <c r="N105" s="17" t="n"/>
    </row>
    <row r="106" ht="18" customHeight="1" s="149">
      <c r="A106" s="15" t="n">
        <v>107</v>
      </c>
      <c r="B106" s="9" t="inlineStr">
        <is>
          <t>Marianllely Castro</t>
        </is>
      </c>
      <c r="C106" s="9" t="inlineStr">
        <is>
          <t>829-821-5382</t>
        </is>
      </c>
      <c r="D106" s="9" t="inlineStr">
        <is>
          <t>marianllely_cv_@hotmail.com</t>
        </is>
      </c>
      <c r="E106" s="9" t="inlineStr">
        <is>
          <t>Ali Marizan castro</t>
        </is>
      </c>
      <c r="F106" s="9" t="inlineStr">
        <is>
          <t>canino</t>
        </is>
      </c>
      <c r="G106" s="9" t="inlineStr">
        <is>
          <t>chihuahua</t>
        </is>
      </c>
      <c r="H106" s="9" t="inlineStr">
        <is>
          <t>f</t>
        </is>
      </c>
      <c r="I106" s="9" t="inlineStr">
        <is>
          <t>amarillo</t>
        </is>
      </c>
      <c r="J106" s="9" t="inlineStr">
        <is>
          <t>2025-12-18</t>
        </is>
      </c>
      <c r="K106" s="9" t="inlineStr">
        <is>
          <t>calle primera la costa #57</t>
        </is>
      </c>
      <c r="L106" s="9" t="inlineStr">
        <is>
          <t>0280114419-3</t>
        </is>
      </c>
      <c r="M106" s="9" t="inlineStr">
        <is>
          <t>-</t>
        </is>
      </c>
      <c r="N106" s="9" t="n"/>
    </row>
    <row r="107" ht="18" customHeight="1" s="149">
      <c r="A107" s="19" t="n">
        <v>110</v>
      </c>
      <c r="B107" s="17" t="inlineStr">
        <is>
          <t>Yedry Diaz Perez</t>
        </is>
      </c>
      <c r="C107" s="17" t="inlineStr">
        <is>
          <t>809-424-9498</t>
        </is>
      </c>
      <c r="D107" s="17" t="inlineStr">
        <is>
          <t>-</t>
        </is>
      </c>
      <c r="E107" s="17" t="inlineStr">
        <is>
          <t>Doky Diaz</t>
        </is>
      </c>
      <c r="F107" s="17" t="inlineStr">
        <is>
          <t>canino</t>
        </is>
      </c>
      <c r="G107" s="17" t="inlineStr">
        <is>
          <t>Poddler</t>
        </is>
      </c>
      <c r="H107" s="17" t="inlineStr">
        <is>
          <t>m</t>
        </is>
      </c>
      <c r="I107" s="17" t="inlineStr">
        <is>
          <t>gris</t>
        </is>
      </c>
      <c r="J107" s="17" t="n"/>
      <c r="K107" s="17" t="inlineStr">
        <is>
          <t>km 12 de la Independencia</t>
        </is>
      </c>
      <c r="L107" s="17" t="inlineStr">
        <is>
          <t>0020162627-2</t>
        </is>
      </c>
      <c r="M107" s="17" t="inlineStr">
        <is>
          <t>-</t>
        </is>
      </c>
      <c r="N107" s="17" t="n"/>
    </row>
    <row r="108" ht="18" customHeight="1" s="149">
      <c r="A108" s="15" t="n">
        <v>111</v>
      </c>
      <c r="B108" s="9" t="inlineStr">
        <is>
          <t>Veinella Cosme</t>
        </is>
      </c>
      <c r="C108" s="9" t="inlineStr">
        <is>
          <t>829-649-3973</t>
        </is>
      </c>
      <c r="D108" s="9" t="inlineStr">
        <is>
          <t>vcosmefe@gmail.com</t>
        </is>
      </c>
      <c r="E108" s="9" t="inlineStr">
        <is>
          <t>Bella Cosme</t>
        </is>
      </c>
      <c r="F108" s="9" t="inlineStr">
        <is>
          <t>canino</t>
        </is>
      </c>
      <c r="G108" s="9" t="inlineStr">
        <is>
          <t>pug</t>
        </is>
      </c>
      <c r="H108" s="9" t="inlineStr">
        <is>
          <t>f</t>
        </is>
      </c>
      <c r="I108" s="9" t="inlineStr">
        <is>
          <t>crema</t>
        </is>
      </c>
      <c r="J108" s="9" t="inlineStr">
        <is>
          <t>2020-04-15</t>
        </is>
      </c>
      <c r="K108" s="9" t="inlineStr">
        <is>
          <t>colinas 3, 19 #2</t>
        </is>
      </c>
      <c r="L108" s="9" t="inlineStr">
        <is>
          <t>0011848432-8</t>
        </is>
      </c>
      <c r="M108" s="9" t="inlineStr">
        <is>
          <t>809-544-2781</t>
        </is>
      </c>
      <c r="N108" s="9" t="n"/>
    </row>
    <row r="109" ht="18" customHeight="1" s="149">
      <c r="A109" s="19" t="n">
        <v>112</v>
      </c>
      <c r="B109" s="17" t="inlineStr">
        <is>
          <t>Sugeiris Ramirez</t>
        </is>
      </c>
      <c r="C109" s="17" t="inlineStr">
        <is>
          <t>829-913-5995</t>
        </is>
      </c>
      <c r="D109" s="17" t="inlineStr">
        <is>
          <t>sugeirisramirez15@gmail.com</t>
        </is>
      </c>
      <c r="E109" s="17" t="inlineStr">
        <is>
          <t>Blum Ramirez</t>
        </is>
      </c>
      <c r="F109" s="17" t="inlineStr">
        <is>
          <t>felina</t>
        </is>
      </c>
      <c r="G109" s="17" t="inlineStr">
        <is>
          <t>-</t>
        </is>
      </c>
      <c r="H109" s="17" t="inlineStr">
        <is>
          <t>f</t>
        </is>
      </c>
      <c r="I109" s="17" t="inlineStr">
        <is>
          <t>amarillo</t>
        </is>
      </c>
      <c r="J109" s="17" t="inlineStr">
        <is>
          <t>2025-10-17</t>
        </is>
      </c>
      <c r="K109" s="17" t="inlineStr">
        <is>
          <t>colinas 3</t>
        </is>
      </c>
      <c r="L109" s="17" t="inlineStr">
        <is>
          <t>2240026013-3</t>
        </is>
      </c>
      <c r="M109" s="17" t="inlineStr">
        <is>
          <t>829-882-6305</t>
        </is>
      </c>
      <c r="N109" s="17" t="n"/>
    </row>
    <row r="110" ht="18" customHeight="1" s="149">
      <c r="A110" s="15" t="n">
        <v>113</v>
      </c>
      <c r="B110" s="9" t="inlineStr">
        <is>
          <t>Chamila Hernriquez</t>
        </is>
      </c>
      <c r="C110" s="9" t="inlineStr">
        <is>
          <t>849-964-2412</t>
        </is>
      </c>
      <c r="D110" s="9" t="inlineStr">
        <is>
          <t>chamilahenriquez@gmail.com</t>
        </is>
      </c>
      <c r="E110" s="9" t="inlineStr">
        <is>
          <t>Tobias Henriquez</t>
        </is>
      </c>
      <c r="F110" s="9" t="inlineStr">
        <is>
          <t>canino</t>
        </is>
      </c>
      <c r="G110" s="9" t="inlineStr">
        <is>
          <t>Poddler</t>
        </is>
      </c>
      <c r="H110" s="9" t="inlineStr">
        <is>
          <t>m</t>
        </is>
      </c>
      <c r="I110" s="9" t="inlineStr">
        <is>
          <t>-</t>
        </is>
      </c>
      <c r="J110" s="9" t="inlineStr">
        <is>
          <t>2013-08-28</t>
        </is>
      </c>
      <c r="K110" s="9" t="inlineStr">
        <is>
          <t>calle los llanos #48, los rios</t>
        </is>
      </c>
      <c r="L110" s="9" t="inlineStr">
        <is>
          <t>4020956542-9</t>
        </is>
      </c>
      <c r="M110" s="9" t="inlineStr">
        <is>
          <t>809-372-1001</t>
        </is>
      </c>
      <c r="N110" s="9" t="n"/>
    </row>
    <row r="111" ht="18" customHeight="1" s="149">
      <c r="A111" s="19" t="n">
        <v>114</v>
      </c>
      <c r="B111" s="17" t="inlineStr">
        <is>
          <t>Enmanuel Hernandez</t>
        </is>
      </c>
      <c r="C111" s="17" t="inlineStr">
        <is>
          <t>849-220-7347</t>
        </is>
      </c>
      <c r="D111" s="17" t="inlineStr">
        <is>
          <t>enmanuelhernandez@hotmail.es</t>
        </is>
      </c>
      <c r="E111" s="17" t="inlineStr">
        <is>
          <t>Brownie Hernandez</t>
        </is>
      </c>
      <c r="F111" s="17" t="inlineStr">
        <is>
          <t>canino</t>
        </is>
      </c>
      <c r="G111" s="17" t="inlineStr">
        <is>
          <t>-</t>
        </is>
      </c>
      <c r="H111" s="17" t="inlineStr">
        <is>
          <t>f</t>
        </is>
      </c>
      <c r="I111" s="17" t="inlineStr">
        <is>
          <t>marron</t>
        </is>
      </c>
      <c r="J111" s="17" t="inlineStr">
        <is>
          <t>2025-08-21</t>
        </is>
      </c>
      <c r="K111" s="17" t="inlineStr">
        <is>
          <t>-</t>
        </is>
      </c>
      <c r="L111" s="17" t="inlineStr">
        <is>
          <t>-</t>
        </is>
      </c>
      <c r="M111" s="17" t="inlineStr">
        <is>
          <t>849-258-8504</t>
        </is>
      </c>
      <c r="N111" s="17" t="n"/>
    </row>
    <row r="112" ht="18" customHeight="1" s="149">
      <c r="A112" s="15" t="n">
        <v>115</v>
      </c>
      <c r="B112" s="9" t="inlineStr">
        <is>
          <t>Yohany Ariz</t>
        </is>
      </c>
      <c r="C112" s="9" t="inlineStr">
        <is>
          <t>809-820-9660</t>
        </is>
      </c>
      <c r="D112" s="9" t="inlineStr">
        <is>
          <t>yariz@hotmail.com</t>
        </is>
      </c>
      <c r="E112" s="9" t="inlineStr">
        <is>
          <t>(sin nombre) Ariz</t>
        </is>
      </c>
      <c r="F112" s="9" t="inlineStr">
        <is>
          <t>canino</t>
        </is>
      </c>
      <c r="G112" s="9" t="inlineStr">
        <is>
          <t>-</t>
        </is>
      </c>
      <c r="H112" s="9" t="inlineStr">
        <is>
          <t>m</t>
        </is>
      </c>
      <c r="I112" s="9" t="inlineStr">
        <is>
          <t>blanco/negro</t>
        </is>
      </c>
      <c r="J112" s="9" t="n"/>
      <c r="K112" s="9" t="inlineStr">
        <is>
          <t>lote 6, apto. c-3, colinas del oeste</t>
        </is>
      </c>
      <c r="L112" s="9" t="inlineStr">
        <is>
          <t>00101499620-6</t>
        </is>
      </c>
      <c r="M112" s="9" t="inlineStr">
        <is>
          <t>-</t>
        </is>
      </c>
      <c r="N112" s="9" t="n"/>
    </row>
    <row r="113" ht="18" customHeight="1" s="149">
      <c r="A113" s="19" t="n">
        <v>116</v>
      </c>
      <c r="B113" s="17" t="inlineStr">
        <is>
          <t>Carlos Hernandez Madrano</t>
        </is>
      </c>
      <c r="C113" s="17" t="inlineStr">
        <is>
          <t>849-457-6423</t>
        </is>
      </c>
      <c r="D113" s="17" t="inlineStr">
        <is>
          <t>carlos.hdezmedrano@gmail.com</t>
        </is>
      </c>
      <c r="E113" s="17" t="inlineStr">
        <is>
          <t>Oreo Hernandez</t>
        </is>
      </c>
      <c r="F113" s="17" t="inlineStr">
        <is>
          <t>canino</t>
        </is>
      </c>
      <c r="G113" s="17" t="inlineStr">
        <is>
          <t>chihuahua</t>
        </is>
      </c>
      <c r="H113" s="17" t="inlineStr">
        <is>
          <t>f</t>
        </is>
      </c>
      <c r="I113" s="17" t="inlineStr">
        <is>
          <t>negro</t>
        </is>
      </c>
      <c r="J113" s="17" t="inlineStr">
        <is>
          <t>2019-05-01</t>
        </is>
      </c>
      <c r="K113" s="17" t="inlineStr">
        <is>
          <t>calle #6, Res. Santo Domingo, SDO</t>
        </is>
      </c>
      <c r="L113" s="17" t="inlineStr">
        <is>
          <t>4022083451-5</t>
        </is>
      </c>
      <c r="M113" s="17" t="inlineStr">
        <is>
          <t>829-838-1048</t>
        </is>
      </c>
      <c r="N113" s="17" t="n"/>
    </row>
    <row r="114" ht="18" customHeight="1" s="149">
      <c r="A114" s="15" t="n">
        <v>117</v>
      </c>
      <c r="B114" s="9" t="inlineStr">
        <is>
          <t>Geldy Melendez</t>
        </is>
      </c>
      <c r="C114" s="9" t="inlineStr">
        <is>
          <t>829-972-2684</t>
        </is>
      </c>
      <c r="D114" s="9" t="inlineStr">
        <is>
          <t>melendezjimenez123@gmail.com</t>
        </is>
      </c>
      <c r="E114" s="9" t="inlineStr">
        <is>
          <t>Doky Melendez</t>
        </is>
      </c>
      <c r="F114" s="9" t="inlineStr">
        <is>
          <t>canino</t>
        </is>
      </c>
      <c r="G114" s="9" t="inlineStr">
        <is>
          <t>poodler</t>
        </is>
      </c>
      <c r="H114" s="9" t="inlineStr">
        <is>
          <t>m</t>
        </is>
      </c>
      <c r="I114" s="9" t="inlineStr">
        <is>
          <t>blanco</t>
        </is>
      </c>
      <c r="J114" s="9" t="inlineStr">
        <is>
          <t>2012-02-02</t>
        </is>
      </c>
      <c r="K114" s="9" t="inlineStr">
        <is>
          <t>colinas del oeste, lote 7ab, apto 7a3</t>
        </is>
      </c>
      <c r="L114" s="9" t="inlineStr">
        <is>
          <t>0011294426-9</t>
        </is>
      </c>
      <c r="M114" s="9" t="inlineStr">
        <is>
          <t>829-282-5018</t>
        </is>
      </c>
      <c r="N114" s="9" t="n"/>
    </row>
    <row r="115" ht="18" customHeight="1" s="149">
      <c r="A115" s="19" t="n">
        <v>118</v>
      </c>
      <c r="B115" s="17" t="inlineStr">
        <is>
          <t>Valey Acosta Paulino</t>
        </is>
      </c>
      <c r="C115" s="17" t="inlineStr">
        <is>
          <t>829-534-0641</t>
        </is>
      </c>
      <c r="D115" s="17" t="inlineStr">
        <is>
          <t>acostavalerie.08@gmail.com</t>
        </is>
      </c>
      <c r="E115" s="17" t="inlineStr">
        <is>
          <t>Peso Pluma</t>
        </is>
      </c>
      <c r="F115" s="17" t="inlineStr">
        <is>
          <t>felina</t>
        </is>
      </c>
      <c r="G115" s="17" t="inlineStr">
        <is>
          <t>angora</t>
        </is>
      </c>
      <c r="H115" s="17" t="inlineStr">
        <is>
          <t>m</t>
        </is>
      </c>
      <c r="I115" s="17" t="inlineStr">
        <is>
          <t>-</t>
        </is>
      </c>
      <c r="J115" s="17" t="inlineStr">
        <is>
          <t>2024-04-08</t>
        </is>
      </c>
      <c r="K115" s="17" t="inlineStr">
        <is>
          <t>sancarlos ravelo #139</t>
        </is>
      </c>
      <c r="L115" s="17" t="inlineStr">
        <is>
          <t>4021262454-4</t>
        </is>
      </c>
      <c r="M115" s="17" t="inlineStr">
        <is>
          <t>-</t>
        </is>
      </c>
      <c r="N115" s="17" t="n"/>
    </row>
    <row r="116" ht="18" customHeight="1" s="149">
      <c r="A116" s="15" t="n">
        <v>119</v>
      </c>
      <c r="B116" s="9" t="inlineStr">
        <is>
          <t>Jeandry Herrera</t>
        </is>
      </c>
      <c r="C116" s="9" t="inlineStr">
        <is>
          <t>829-970-5786</t>
        </is>
      </c>
      <c r="D116" s="9" t="inlineStr">
        <is>
          <t>-</t>
        </is>
      </c>
      <c r="E116" s="9" t="inlineStr">
        <is>
          <t>Rey Peludo</t>
        </is>
      </c>
      <c r="F116" s="9" t="inlineStr">
        <is>
          <t>canina</t>
        </is>
      </c>
      <c r="G116" s="9" t="inlineStr">
        <is>
          <t>Poddler</t>
        </is>
      </c>
      <c r="H116" s="9" t="inlineStr">
        <is>
          <t>m</t>
        </is>
      </c>
      <c r="I116" s="9" t="inlineStr">
        <is>
          <t>negro</t>
        </is>
      </c>
      <c r="J116" s="9" t="n"/>
      <c r="K116" s="9" t="inlineStr">
        <is>
          <t>manzana 43, #14 d, las caobas</t>
        </is>
      </c>
      <c r="L116" s="9" t="inlineStr">
        <is>
          <t>4022578878-1</t>
        </is>
      </c>
      <c r="M116" s="9" t="inlineStr">
        <is>
          <t>829-970-6603</t>
        </is>
      </c>
      <c r="N116" s="9" t="n"/>
    </row>
    <row r="117" ht="18" customHeight="1" s="149">
      <c r="A117" s="19" t="n">
        <v>121</v>
      </c>
      <c r="B117" s="17" t="inlineStr">
        <is>
          <t>Jose Moronta</t>
        </is>
      </c>
      <c r="C117" s="17" t="inlineStr">
        <is>
          <t>829-328-3779</t>
        </is>
      </c>
      <c r="D117" s="17" t="inlineStr">
        <is>
          <t>jmoronta83@gmail.com</t>
        </is>
      </c>
      <c r="E117" s="17" t="inlineStr">
        <is>
          <t>Otto Moronta Romero</t>
        </is>
      </c>
      <c r="F117" s="17" t="inlineStr">
        <is>
          <t>canina</t>
        </is>
      </c>
      <c r="G117" s="17" t="inlineStr">
        <is>
          <t>Shih tzu</t>
        </is>
      </c>
      <c r="H117" s="17" t="inlineStr">
        <is>
          <t>m</t>
        </is>
      </c>
      <c r="I117" s="17" t="inlineStr">
        <is>
          <t>blanco/marron</t>
        </is>
      </c>
      <c r="J117" s="17" t="inlineStr">
        <is>
          <t>2025-01-20</t>
        </is>
      </c>
      <c r="K117" s="17" t="inlineStr">
        <is>
          <t>prolongacion 27, esquina Maria trinidad sanchez</t>
        </is>
      </c>
      <c r="L117" s="17" t="inlineStr">
        <is>
          <t>0530035272-0</t>
        </is>
      </c>
      <c r="M117" s="17" t="inlineStr">
        <is>
          <t>829-380-5904</t>
        </is>
      </c>
      <c r="N117" s="17" t="n"/>
    </row>
    <row r="118" ht="18" customHeight="1" s="149">
      <c r="A118" s="15" t="n">
        <v>122</v>
      </c>
      <c r="B118" s="9" t="inlineStr">
        <is>
          <t>Belkis Pimentel</t>
        </is>
      </c>
      <c r="C118" s="9" t="inlineStr">
        <is>
          <t>829-778-5008</t>
        </is>
      </c>
      <c r="D118" s="9" t="inlineStr">
        <is>
          <t>aralyjimenez17@gmail.com</t>
        </is>
      </c>
      <c r="E118" s="9" t="inlineStr">
        <is>
          <t>Niko Pimentel</t>
        </is>
      </c>
      <c r="F118" s="9" t="inlineStr">
        <is>
          <t>canino</t>
        </is>
      </c>
      <c r="G118" s="9" t="inlineStr">
        <is>
          <t>Mestizo</t>
        </is>
      </c>
      <c r="H118" s="9" t="inlineStr">
        <is>
          <t>m</t>
        </is>
      </c>
      <c r="I118" s="9" t="inlineStr">
        <is>
          <t>amarillo</t>
        </is>
      </c>
      <c r="J118" s="9" t="n"/>
      <c r="K118" s="9" t="inlineStr">
        <is>
          <t>calle los pinos #30, km11 , Auto Duarte</t>
        </is>
      </c>
      <c r="L118" s="9" t="inlineStr">
        <is>
          <t>-</t>
        </is>
      </c>
      <c r="M118" s="9" t="inlineStr">
        <is>
          <t>849-226-2408</t>
        </is>
      </c>
      <c r="N118" s="9" t="n"/>
    </row>
    <row r="119" ht="18" customHeight="1" s="149">
      <c r="A119" s="19" t="n">
        <v>123</v>
      </c>
      <c r="B119" s="17" t="inlineStr">
        <is>
          <t>Daniela Roa</t>
        </is>
      </c>
      <c r="C119" s="17" t="inlineStr">
        <is>
          <t>809-452-1155</t>
        </is>
      </c>
      <c r="D119" s="17" t="inlineStr">
        <is>
          <t>roa652580@gmail.com</t>
        </is>
      </c>
      <c r="E119" s="17" t="inlineStr">
        <is>
          <t>Mia Roa</t>
        </is>
      </c>
      <c r="F119" s="17" t="inlineStr">
        <is>
          <t>canino</t>
        </is>
      </c>
      <c r="G119" s="17" t="inlineStr">
        <is>
          <t>chihuahua mestízo</t>
        </is>
      </c>
      <c r="H119" s="17" t="inlineStr">
        <is>
          <t>f</t>
        </is>
      </c>
      <c r="I119" s="17" t="inlineStr">
        <is>
          <t>-</t>
        </is>
      </c>
      <c r="J119" s="17" t="inlineStr">
        <is>
          <t>2023-09-01</t>
        </is>
      </c>
      <c r="K119" s="17" t="inlineStr">
        <is>
          <t>calle las mercedes, #10, Engombe</t>
        </is>
      </c>
      <c r="L119" s="17" t="inlineStr">
        <is>
          <t>4023436480-6</t>
        </is>
      </c>
      <c r="M119" s="17" t="inlineStr">
        <is>
          <t>-</t>
        </is>
      </c>
      <c r="N119" s="17" t="n"/>
    </row>
    <row r="120" ht="18" customHeight="1" s="149">
      <c r="A120" s="15" t="n">
        <v>124</v>
      </c>
      <c r="B120" s="9" t="inlineStr">
        <is>
          <t>Elizabeth Jimenez</t>
        </is>
      </c>
      <c r="C120" s="9" t="inlineStr">
        <is>
          <t>809-433-9303</t>
        </is>
      </c>
      <c r="D120" s="9" t="inlineStr">
        <is>
          <t>-</t>
        </is>
      </c>
      <c r="E120" s="9" t="inlineStr">
        <is>
          <t>Minnie Jimenez</t>
        </is>
      </c>
      <c r="F120" s="9" t="inlineStr">
        <is>
          <t>canino</t>
        </is>
      </c>
      <c r="G120" s="9" t="inlineStr">
        <is>
          <t>Shih Tzu</t>
        </is>
      </c>
      <c r="H120" s="9" t="inlineStr">
        <is>
          <t>f</t>
        </is>
      </c>
      <c r="I120" s="9" t="inlineStr">
        <is>
          <t>balnco/marron</t>
        </is>
      </c>
      <c r="J120" s="9" t="inlineStr">
        <is>
          <t>2025-07-22</t>
        </is>
      </c>
      <c r="K120" s="9" t="inlineStr">
        <is>
          <t>calle tercera #11, Ivan Guzman</t>
        </is>
      </c>
      <c r="L120" s="9" t="inlineStr">
        <is>
          <t>2240027372-2</t>
        </is>
      </c>
      <c r="M120" s="9" t="inlineStr">
        <is>
          <t>829-454-6315</t>
        </is>
      </c>
      <c r="N120" s="9" t="n"/>
    </row>
    <row r="121" ht="18" customHeight="1" s="149">
      <c r="A121" s="19" t="n">
        <v>125</v>
      </c>
      <c r="B121" s="17" t="inlineStr">
        <is>
          <t>Mary Geraldo</t>
        </is>
      </c>
      <c r="C121" s="17" t="inlineStr">
        <is>
          <t>809-841-1605</t>
        </is>
      </c>
      <c r="D121" s="17" t="inlineStr">
        <is>
          <t>-</t>
        </is>
      </c>
      <c r="E121" s="17" t="inlineStr">
        <is>
          <t>Mia Geraldo</t>
        </is>
      </c>
      <c r="F121" s="17" t="inlineStr">
        <is>
          <t>canino</t>
        </is>
      </c>
      <c r="G121" s="17" t="inlineStr">
        <is>
          <t>Pomerania</t>
        </is>
      </c>
      <c r="H121" s="17" t="inlineStr">
        <is>
          <t>f</t>
        </is>
      </c>
      <c r="I121" s="17" t="inlineStr">
        <is>
          <t>blanco</t>
        </is>
      </c>
      <c r="J121" s="17" t="n"/>
      <c r="K121" s="17" t="inlineStr">
        <is>
          <t>colinas del oeste</t>
        </is>
      </c>
      <c r="L121" s="17" t="inlineStr">
        <is>
          <t>082-0000854-1</t>
        </is>
      </c>
      <c r="M121" s="17" t="inlineStr">
        <is>
          <t>-</t>
        </is>
      </c>
      <c r="N121" s="17" t="n"/>
    </row>
    <row r="122" ht="18" customHeight="1" s="149">
      <c r="A122" s="15" t="n">
        <v>127</v>
      </c>
      <c r="B122" s="9" t="inlineStr">
        <is>
          <t>Liz Cuevas</t>
        </is>
      </c>
      <c r="C122" s="9" t="inlineStr">
        <is>
          <t>809-497-7580</t>
        </is>
      </c>
      <c r="D122" s="9" t="inlineStr">
        <is>
          <t>lizamelia19@gmail.com</t>
        </is>
      </c>
      <c r="E122" s="9" t="inlineStr">
        <is>
          <t>Milo Cuevas</t>
        </is>
      </c>
      <c r="F122" s="9" t="inlineStr">
        <is>
          <t>canino</t>
        </is>
      </c>
      <c r="G122" s="9" t="inlineStr">
        <is>
          <t>shih tzu</t>
        </is>
      </c>
      <c r="H122" s="9" t="inlineStr">
        <is>
          <t>m</t>
        </is>
      </c>
      <c r="I122" s="9" t="inlineStr">
        <is>
          <t>-</t>
        </is>
      </c>
      <c r="J122" s="9" t="inlineStr">
        <is>
          <t>2025-03-14</t>
        </is>
      </c>
      <c r="K122" s="9" t="inlineStr">
        <is>
          <t>manzana 6, 9b</t>
        </is>
      </c>
      <c r="L122" s="9" t="inlineStr">
        <is>
          <t>4021051184-2</t>
        </is>
      </c>
      <c r="M122" s="9" t="inlineStr">
        <is>
          <t>-</t>
        </is>
      </c>
      <c r="N122" s="9" t="n"/>
    </row>
    <row r="123" ht="18" customHeight="1" s="149">
      <c r="A123" s="19" t="n">
        <v>128</v>
      </c>
      <c r="B123" s="17" t="inlineStr">
        <is>
          <t>Edith Gomez</t>
        </is>
      </c>
      <c r="C123" s="17" t="inlineStr">
        <is>
          <t>829-883-4645</t>
        </is>
      </c>
      <c r="D123" s="17" t="inlineStr">
        <is>
          <t>edith.gomez95@gmail.com</t>
        </is>
      </c>
      <c r="E123" s="17" t="inlineStr">
        <is>
          <t>Luna Gomez</t>
        </is>
      </c>
      <c r="F123" s="17" t="inlineStr">
        <is>
          <t>canino</t>
        </is>
      </c>
      <c r="G123" s="17" t="inlineStr">
        <is>
          <t>Yorshire</t>
        </is>
      </c>
      <c r="H123" s="17" t="inlineStr">
        <is>
          <t>f</t>
        </is>
      </c>
      <c r="I123" s="17" t="inlineStr">
        <is>
          <t>gris</t>
        </is>
      </c>
      <c r="J123" s="17" t="inlineStr">
        <is>
          <t>2025-06-03</t>
        </is>
      </c>
      <c r="K123" s="17" t="inlineStr">
        <is>
          <t>calle plaza 13, Mirador norte, Res. Melissa Alexandra</t>
        </is>
      </c>
      <c r="L123" s="17" t="inlineStr">
        <is>
          <t>4020076163-9</t>
        </is>
      </c>
      <c r="M123" s="17" t="inlineStr">
        <is>
          <t>809-530-6914</t>
        </is>
      </c>
      <c r="N123" s="17" t="n"/>
    </row>
    <row r="124" ht="18" customHeight="1" s="149">
      <c r="A124" s="15" t="n">
        <v>129</v>
      </c>
      <c r="B124" s="9" t="inlineStr">
        <is>
          <t>Crystal De la Rosa</t>
        </is>
      </c>
      <c r="C124" s="9" t="inlineStr">
        <is>
          <t>849-859-6152</t>
        </is>
      </c>
      <c r="D124" s="9" t="inlineStr">
        <is>
          <t>lamariela77292@gmail.com</t>
        </is>
      </c>
      <c r="E124" s="9" t="inlineStr">
        <is>
          <t>Luna De la Rosa</t>
        </is>
      </c>
      <c r="F124" s="9" t="inlineStr">
        <is>
          <t>canino</t>
        </is>
      </c>
      <c r="G124" s="9" t="inlineStr">
        <is>
          <t>Retriever de nueva escocia</t>
        </is>
      </c>
      <c r="H124" s="9" t="inlineStr">
        <is>
          <t>f</t>
        </is>
      </c>
      <c r="I124" s="9" t="n"/>
      <c r="J124" s="9" t="inlineStr">
        <is>
          <t>2023-10-22</t>
        </is>
      </c>
      <c r="K124" s="9" t="inlineStr">
        <is>
          <t>prolongacion 27 de febrero, colinas 3</t>
        </is>
      </c>
      <c r="L124" s="9" t="inlineStr">
        <is>
          <t>4023053616--7</t>
        </is>
      </c>
      <c r="M124" s="9" t="inlineStr">
        <is>
          <t>829-903-4744</t>
        </is>
      </c>
      <c r="N124" s="9" t="n"/>
    </row>
    <row r="125" ht="18" customHeight="1" s="149">
      <c r="A125" s="19" t="n">
        <v>130</v>
      </c>
      <c r="B125" s="17" t="inlineStr">
        <is>
          <t>Shantal Ramirez</t>
        </is>
      </c>
      <c r="C125" s="17" t="inlineStr">
        <is>
          <t>849-527-0022</t>
        </is>
      </c>
      <c r="D125" s="17" t="inlineStr">
        <is>
          <t>-</t>
        </is>
      </c>
      <c r="E125" s="17" t="inlineStr">
        <is>
          <t>Luna Maria Ramirez</t>
        </is>
      </c>
      <c r="F125" s="17" t="inlineStr">
        <is>
          <t>canino</t>
        </is>
      </c>
      <c r="G125" s="17" t="inlineStr">
        <is>
          <t>Buldog frances</t>
        </is>
      </c>
      <c r="H125" s="17" t="inlineStr">
        <is>
          <t>f</t>
        </is>
      </c>
      <c r="I125" s="17" t="inlineStr">
        <is>
          <t>-</t>
        </is>
      </c>
      <c r="J125" s="17" t="n"/>
      <c r="K125" s="17" t="inlineStr">
        <is>
          <t>prolongacion 27, brisas de las colinas</t>
        </is>
      </c>
      <c r="L125" s="17" t="inlineStr">
        <is>
          <t>223-0087493-4</t>
        </is>
      </c>
      <c r="M125" s="17" t="inlineStr">
        <is>
          <t>-</t>
        </is>
      </c>
      <c r="N125" s="17" t="n"/>
    </row>
    <row r="126" ht="18" customHeight="1" s="149">
      <c r="A126" s="15" t="n">
        <v>131</v>
      </c>
      <c r="B126" s="9" t="inlineStr">
        <is>
          <t>Luis Eduardo Thomas</t>
        </is>
      </c>
      <c r="C126" s="9" t="inlineStr">
        <is>
          <t>-</t>
        </is>
      </c>
      <c r="D126" s="9" t="inlineStr">
        <is>
          <t>-</t>
        </is>
      </c>
      <c r="E126" s="9" t="inlineStr">
        <is>
          <t>Rodolfo</t>
        </is>
      </c>
      <c r="F126" s="9" t="inlineStr">
        <is>
          <t>canino</t>
        </is>
      </c>
      <c r="G126" s="9" t="inlineStr">
        <is>
          <t>-</t>
        </is>
      </c>
      <c r="H126" s="9" t="inlineStr">
        <is>
          <t>m</t>
        </is>
      </c>
      <c r="I126" s="9" t="inlineStr">
        <is>
          <t>-</t>
        </is>
      </c>
      <c r="J126" s="9" t="n"/>
      <c r="K126" s="9" t="inlineStr">
        <is>
          <t>-</t>
        </is>
      </c>
      <c r="L126" s="9" t="inlineStr">
        <is>
          <t>-</t>
        </is>
      </c>
      <c r="M126" s="9" t="inlineStr">
        <is>
          <t>-</t>
        </is>
      </c>
      <c r="N126" s="9" t="n"/>
    </row>
    <row r="127" ht="18" customHeight="1" s="149">
      <c r="A127" s="19" t="n">
        <v>132</v>
      </c>
      <c r="B127" s="17" t="inlineStr">
        <is>
          <t>Jose Manuel Fulgencio</t>
        </is>
      </c>
      <c r="C127" s="17" t="inlineStr">
        <is>
          <t>809-237-4628</t>
        </is>
      </c>
      <c r="D127" s="17" t="inlineStr">
        <is>
          <t>manuelfalcantara@gmail.com</t>
        </is>
      </c>
      <c r="E127" s="17" t="inlineStr">
        <is>
          <t>Klaus Fulgencio</t>
        </is>
      </c>
      <c r="F127" s="17" t="inlineStr">
        <is>
          <t>canino</t>
        </is>
      </c>
      <c r="G127" s="17" t="inlineStr">
        <is>
          <t>shih tzu</t>
        </is>
      </c>
      <c r="H127" s="17" t="inlineStr">
        <is>
          <t>m</t>
        </is>
      </c>
      <c r="I127" s="17" t="inlineStr">
        <is>
          <t>blanco</t>
        </is>
      </c>
      <c r="J127" s="17" t="inlineStr">
        <is>
          <t>2023-06-11</t>
        </is>
      </c>
      <c r="K127" s="17" t="inlineStr">
        <is>
          <t>casimiro de moya 328,</t>
        </is>
      </c>
      <c r="L127" s="17" t="inlineStr">
        <is>
          <t>4023808872-4</t>
        </is>
      </c>
      <c r="M127" s="17" t="inlineStr">
        <is>
          <t>-</t>
        </is>
      </c>
      <c r="N127" s="17" t="n"/>
    </row>
    <row r="128" ht="18" customHeight="1" s="149">
      <c r="A128" s="15" t="n">
        <v>133</v>
      </c>
      <c r="B128" s="9" t="inlineStr">
        <is>
          <t>Carolin Rojas</t>
        </is>
      </c>
      <c r="C128" s="9" t="inlineStr">
        <is>
          <t>809-988-4746</t>
        </is>
      </c>
      <c r="D128" s="9" t="inlineStr">
        <is>
          <t>-</t>
        </is>
      </c>
      <c r="E128" s="9" t="inlineStr">
        <is>
          <t>Iroh Rojas</t>
        </is>
      </c>
      <c r="F128" s="9" t="inlineStr">
        <is>
          <t>canino</t>
        </is>
      </c>
      <c r="G128" s="9" t="inlineStr">
        <is>
          <t>Yorkie</t>
        </is>
      </c>
      <c r="H128" s="9" t="inlineStr">
        <is>
          <t>m</t>
        </is>
      </c>
      <c r="I128" s="9" t="inlineStr">
        <is>
          <t>negro/marron</t>
        </is>
      </c>
      <c r="J128" s="9" t="inlineStr">
        <is>
          <t>2025-09-01</t>
        </is>
      </c>
      <c r="K128" s="9" t="inlineStr">
        <is>
          <t>av. vega real #172, nuevo arroyo hondo</t>
        </is>
      </c>
      <c r="L128" s="9" t="inlineStr">
        <is>
          <t>0011112259-4</t>
        </is>
      </c>
      <c r="M128" s="9" t="inlineStr">
        <is>
          <t>829-850-1236</t>
        </is>
      </c>
      <c r="N128" s="9" t="n"/>
    </row>
    <row r="129" ht="18" customHeight="1" s="149">
      <c r="A129" s="19" t="n">
        <v>134</v>
      </c>
      <c r="B129" s="17" t="inlineStr">
        <is>
          <t>Enmanuel Rodriguez</t>
        </is>
      </c>
      <c r="C129" s="17" t="inlineStr">
        <is>
          <t>829-629-9792</t>
        </is>
      </c>
      <c r="D129" s="17" t="inlineStr">
        <is>
          <t>-</t>
        </is>
      </c>
      <c r="E129" s="17" t="inlineStr">
        <is>
          <t>Gucci</t>
        </is>
      </c>
      <c r="F129" s="17" t="inlineStr">
        <is>
          <t>canino</t>
        </is>
      </c>
      <c r="G129" s="17" t="inlineStr">
        <is>
          <t>Maltes- Poodler</t>
        </is>
      </c>
      <c r="H129" s="17" t="inlineStr">
        <is>
          <t>m</t>
        </is>
      </c>
      <c r="I129" s="17" t="inlineStr">
        <is>
          <t>-</t>
        </is>
      </c>
      <c r="J129" s="17" t="inlineStr">
        <is>
          <t>2022-09-16</t>
        </is>
      </c>
      <c r="K129" s="17" t="inlineStr">
        <is>
          <t>-</t>
        </is>
      </c>
      <c r="L129" s="17" t="inlineStr">
        <is>
          <t>-</t>
        </is>
      </c>
      <c r="M129" s="17" t="inlineStr">
        <is>
          <t>-</t>
        </is>
      </c>
      <c r="N129" s="17" t="n"/>
    </row>
    <row r="130" ht="18" customHeight="1" s="149">
      <c r="A130" s="15" t="n">
        <v>135</v>
      </c>
      <c r="B130" s="9" t="inlineStr">
        <is>
          <t>Angelica Liriano</t>
        </is>
      </c>
      <c r="C130" s="9" t="inlineStr">
        <is>
          <t>809-607-6519</t>
        </is>
      </c>
      <c r="D130" s="9" t="inlineStr">
        <is>
          <t>-</t>
        </is>
      </c>
      <c r="E130" s="9" t="inlineStr">
        <is>
          <t>Fenix Liriano</t>
        </is>
      </c>
      <c r="F130" s="9" t="inlineStr">
        <is>
          <t>canino</t>
        </is>
      </c>
      <c r="G130" s="9" t="inlineStr">
        <is>
          <t>Poddler</t>
        </is>
      </c>
      <c r="H130" s="9" t="inlineStr">
        <is>
          <t>m</t>
        </is>
      </c>
      <c r="I130" s="9" t="inlineStr">
        <is>
          <t>blanco</t>
        </is>
      </c>
      <c r="J130" s="9" t="n"/>
      <c r="K130" s="9" t="inlineStr">
        <is>
          <t>residencial lp8</t>
        </is>
      </c>
      <c r="L130" s="9" t="inlineStr">
        <is>
          <t>-</t>
        </is>
      </c>
      <c r="M130" s="9" t="inlineStr">
        <is>
          <t>-</t>
        </is>
      </c>
      <c r="N130" s="9" t="n"/>
    </row>
    <row r="131" ht="18" customHeight="1" s="149">
      <c r="A131" s="19" t="n">
        <v>136</v>
      </c>
      <c r="B131" s="17" t="inlineStr">
        <is>
          <t>Jackson Cuevas</t>
        </is>
      </c>
      <c r="C131" s="17" t="inlineStr">
        <is>
          <t>809-881-4942</t>
        </is>
      </c>
      <c r="D131" s="17" t="inlineStr">
        <is>
          <t>jacksoncuevas@hotmail.com</t>
        </is>
      </c>
      <c r="E131" s="17" t="inlineStr">
        <is>
          <t>Everest Cuevas</t>
        </is>
      </c>
      <c r="F131" s="17" t="inlineStr">
        <is>
          <t>canino</t>
        </is>
      </c>
      <c r="G131" s="17" t="inlineStr">
        <is>
          <t>Huskey</t>
        </is>
      </c>
      <c r="H131" s="17" t="inlineStr">
        <is>
          <t>f</t>
        </is>
      </c>
      <c r="I131" s="17" t="inlineStr">
        <is>
          <t>negro</t>
        </is>
      </c>
      <c r="J131" s="17" t="inlineStr">
        <is>
          <t>2024-02-03</t>
        </is>
      </c>
      <c r="K131" s="17" t="inlineStr">
        <is>
          <t>prolongacion 27 de febrero, c/ maria trinidad sanchez, lp8 48, 102</t>
        </is>
      </c>
      <c r="L131" s="17" t="inlineStr">
        <is>
          <t>2250052703-6</t>
        </is>
      </c>
      <c r="M131" s="17" t="inlineStr">
        <is>
          <t>809-817-7044</t>
        </is>
      </c>
      <c r="N131" s="17" t="n"/>
    </row>
    <row r="132" ht="18" customHeight="1" s="149">
      <c r="A132" s="15" t="n">
        <v>137</v>
      </c>
      <c r="B132" s="9" t="inlineStr">
        <is>
          <t>Crystal Arnud</t>
        </is>
      </c>
      <c r="C132" s="9" t="inlineStr">
        <is>
          <t>849-635-1869</t>
        </is>
      </c>
      <c r="D132" s="9" t="inlineStr">
        <is>
          <t>crystalvillar.cv@gmail.com</t>
        </is>
      </c>
      <c r="E132" s="9" t="inlineStr">
        <is>
          <t>Estrella Arnud</t>
        </is>
      </c>
      <c r="F132" s="9" t="inlineStr">
        <is>
          <t>canino</t>
        </is>
      </c>
      <c r="G132" s="9" t="inlineStr">
        <is>
          <t>Poddler</t>
        </is>
      </c>
      <c r="H132" s="9" t="inlineStr">
        <is>
          <t>f</t>
        </is>
      </c>
      <c r="I132" s="9" t="inlineStr">
        <is>
          <t>-</t>
        </is>
      </c>
      <c r="J132" s="9" t="inlineStr">
        <is>
          <t>2024-04-29</t>
        </is>
      </c>
      <c r="K132" s="9" t="inlineStr">
        <is>
          <t>c/ palma criolla #22, sector engombe, SDO</t>
        </is>
      </c>
      <c r="L132" s="9" t="inlineStr">
        <is>
          <t>4022211480-9</t>
        </is>
      </c>
      <c r="M132" s="9" t="inlineStr">
        <is>
          <t>829-252-9630</t>
        </is>
      </c>
      <c r="N132" s="9" t="n"/>
    </row>
    <row r="133" ht="18" customHeight="1" s="149">
      <c r="A133" s="19" t="n">
        <v>138</v>
      </c>
      <c r="B133" s="17" t="inlineStr">
        <is>
          <t>Sandra Almonte</t>
        </is>
      </c>
      <c r="C133" s="17" t="inlineStr">
        <is>
          <t>829-986-0721</t>
        </is>
      </c>
      <c r="D133" s="17" t="inlineStr">
        <is>
          <t>sandraap721@gmail.com</t>
        </is>
      </c>
      <c r="E133" s="17" t="inlineStr">
        <is>
          <t>Dohko Almonte</t>
        </is>
      </c>
      <c r="F133" s="17" t="inlineStr">
        <is>
          <t>canino</t>
        </is>
      </c>
      <c r="G133" s="17" t="inlineStr">
        <is>
          <t>Shih Poo</t>
        </is>
      </c>
      <c r="H133" s="17" t="inlineStr">
        <is>
          <t>M</t>
        </is>
      </c>
      <c r="I133" s="17" t="inlineStr">
        <is>
          <t>crema/marron</t>
        </is>
      </c>
      <c r="J133" s="17" t="inlineStr">
        <is>
          <t>2023-05-06</t>
        </is>
      </c>
      <c r="K133" s="17" t="inlineStr">
        <is>
          <t>manzana 6 edificio 5b</t>
        </is>
      </c>
      <c r="L133" s="17" t="inlineStr">
        <is>
          <t>2240055412-1</t>
        </is>
      </c>
      <c r="M133" s="17" t="inlineStr">
        <is>
          <t>829-723-0721</t>
        </is>
      </c>
      <c r="N133" s="17" t="n"/>
    </row>
    <row r="134" ht="18" customHeight="1" s="149">
      <c r="A134" s="15" t="n">
        <v>139</v>
      </c>
      <c r="B134" s="9" t="inlineStr">
        <is>
          <t>Fraleiny Sanchez</t>
        </is>
      </c>
      <c r="C134" s="9" t="inlineStr">
        <is>
          <t>809-914-9182</t>
        </is>
      </c>
      <c r="D134" s="9" t="inlineStr">
        <is>
          <t>-</t>
        </is>
      </c>
      <c r="E134" s="9" t="inlineStr">
        <is>
          <t>Doris Sanchez</t>
        </is>
      </c>
      <c r="F134" s="9" t="inlineStr">
        <is>
          <t>canino</t>
        </is>
      </c>
      <c r="G134" s="9" t="inlineStr">
        <is>
          <t>-</t>
        </is>
      </c>
      <c r="H134" s="9" t="inlineStr">
        <is>
          <t>f</t>
        </is>
      </c>
      <c r="I134" s="9" t="inlineStr">
        <is>
          <t>blanco/marron</t>
        </is>
      </c>
      <c r="J134" s="9" t="inlineStr">
        <is>
          <t>2023-04-07</t>
        </is>
      </c>
      <c r="K134" s="9" t="inlineStr">
        <is>
          <t>calle juan pablo duarte no. 92, quita sueño haina</t>
        </is>
      </c>
      <c r="L134" s="9" t="inlineStr">
        <is>
          <t>4023769493-6</t>
        </is>
      </c>
      <c r="M134" s="9" t="inlineStr">
        <is>
          <t>-</t>
        </is>
      </c>
      <c r="N134" s="9" t="n"/>
    </row>
    <row r="135" ht="18" customHeight="1" s="149">
      <c r="A135" s="19" t="n">
        <v>141</v>
      </c>
      <c r="B135" s="17" t="inlineStr">
        <is>
          <t>Laura Ruiz</t>
        </is>
      </c>
      <c r="C135" s="17" t="inlineStr">
        <is>
          <t>829-230-1030</t>
        </is>
      </c>
      <c r="D135" s="17" t="inlineStr">
        <is>
          <t>lauramariaruiz313@gmail.com</t>
        </is>
      </c>
      <c r="E135" s="17" t="inlineStr">
        <is>
          <t>Cookie Ruiz</t>
        </is>
      </c>
      <c r="F135" s="17" t="inlineStr">
        <is>
          <t>canino</t>
        </is>
      </c>
      <c r="G135" s="17" t="inlineStr">
        <is>
          <t>Mestizo</t>
        </is>
      </c>
      <c r="H135" s="17" t="inlineStr">
        <is>
          <t>f</t>
        </is>
      </c>
      <c r="I135" s="17" t="inlineStr">
        <is>
          <t>marron</t>
        </is>
      </c>
      <c r="J135" s="17" t="inlineStr">
        <is>
          <t>2021-12-16</t>
        </is>
      </c>
      <c r="K135" s="17" t="inlineStr">
        <is>
          <t>lp8</t>
        </is>
      </c>
      <c r="L135" s="17" t="inlineStr">
        <is>
          <t>4021343594-0</t>
        </is>
      </c>
      <c r="M135" s="17" t="inlineStr">
        <is>
          <t>-</t>
        </is>
      </c>
      <c r="N135" s="17" t="n"/>
    </row>
    <row r="136" ht="18" customHeight="1" s="149">
      <c r="A136" s="15" t="n">
        <v>142</v>
      </c>
      <c r="B136" s="9" t="inlineStr">
        <is>
          <t>Madileydi Marte</t>
        </is>
      </c>
      <c r="C136" s="9" t="inlineStr">
        <is>
          <t>829-916-9180</t>
        </is>
      </c>
      <c r="D136" s="9" t="inlineStr">
        <is>
          <t>maddyledy@gmail.com</t>
        </is>
      </c>
      <c r="E136" s="9" t="inlineStr">
        <is>
          <t>Colyn Marte</t>
        </is>
      </c>
      <c r="F136" s="9" t="inlineStr">
        <is>
          <t>canino</t>
        </is>
      </c>
      <c r="G136" s="9" t="inlineStr">
        <is>
          <t>chihuachua</t>
        </is>
      </c>
      <c r="H136" s="9" t="inlineStr">
        <is>
          <t>m</t>
        </is>
      </c>
      <c r="I136" s="9" t="inlineStr">
        <is>
          <t>marron/rubio</t>
        </is>
      </c>
      <c r="J136" s="9" t="inlineStr">
        <is>
          <t>2018-10-10</t>
        </is>
      </c>
      <c r="K136" s="9" t="inlineStr">
        <is>
          <t>prolongacion 27, lp8</t>
        </is>
      </c>
      <c r="L136" s="9" t="inlineStr">
        <is>
          <t>2230087828-1</t>
        </is>
      </c>
      <c r="M136" s="9" t="inlineStr">
        <is>
          <t>-</t>
        </is>
      </c>
      <c r="N136" s="9" t="n"/>
    </row>
    <row r="137" ht="18" customHeight="1" s="149">
      <c r="A137" s="19" t="n">
        <v>143</v>
      </c>
      <c r="B137" s="17" t="inlineStr">
        <is>
          <t>Yakery Acevedo</t>
        </is>
      </c>
      <c r="C137" s="17" t="inlineStr">
        <is>
          <t>849-353-3620</t>
        </is>
      </c>
      <c r="D137" s="17" t="inlineStr">
        <is>
          <t>yakeryacevedo@gmail.com</t>
        </is>
      </c>
      <c r="E137" s="17" t="inlineStr">
        <is>
          <t>Chiqui Rosario Acevedo</t>
        </is>
      </c>
      <c r="F137" s="17" t="inlineStr">
        <is>
          <t>canino</t>
        </is>
      </c>
      <c r="G137" s="17" t="inlineStr">
        <is>
          <t>Shih Poo</t>
        </is>
      </c>
      <c r="H137" s="17" t="inlineStr">
        <is>
          <t>f</t>
        </is>
      </c>
      <c r="I137" s="17" t="inlineStr">
        <is>
          <t>negro/gris</t>
        </is>
      </c>
      <c r="J137" s="17" t="inlineStr">
        <is>
          <t>2021-10-06</t>
        </is>
      </c>
      <c r="K137" s="17" t="inlineStr">
        <is>
          <t>colinas 3, apto. 8b1</t>
        </is>
      </c>
      <c r="L137" s="17" t="inlineStr">
        <is>
          <t>402-2468568-1</t>
        </is>
      </c>
      <c r="M137" s="17" t="inlineStr">
        <is>
          <t>829-704-1945</t>
        </is>
      </c>
      <c r="N137" s="17" t="n"/>
    </row>
    <row r="138" ht="18" customHeight="1" s="149">
      <c r="A138" s="15" t="n">
        <v>144</v>
      </c>
      <c r="B138" s="9" t="inlineStr">
        <is>
          <t>Luisa Martinez</t>
        </is>
      </c>
      <c r="C138" s="9" t="inlineStr">
        <is>
          <t>809-902-6548</t>
        </is>
      </c>
      <c r="D138" s="9" t="inlineStr">
        <is>
          <t>-</t>
        </is>
      </c>
      <c r="E138" s="9" t="inlineStr">
        <is>
          <t>Cofy Polanco Martinez</t>
        </is>
      </c>
      <c r="F138" s="9" t="inlineStr">
        <is>
          <t>canino</t>
        </is>
      </c>
      <c r="G138" s="9" t="inlineStr">
        <is>
          <t>Shih poo</t>
        </is>
      </c>
      <c r="H138" s="9" t="inlineStr">
        <is>
          <t>m</t>
        </is>
      </c>
      <c r="I138" s="9" t="n"/>
      <c r="J138" s="9" t="inlineStr">
        <is>
          <t>2025-04-12</t>
        </is>
      </c>
      <c r="K138" s="9" t="inlineStr">
        <is>
          <t>calle 2da altos de loyola</t>
        </is>
      </c>
      <c r="L138" s="9" t="inlineStr">
        <is>
          <t>2280001624-2</t>
        </is>
      </c>
      <c r="M138" s="9" t="inlineStr">
        <is>
          <t>-</t>
        </is>
      </c>
      <c r="N138" s="9" t="n"/>
    </row>
    <row r="139" ht="18" customHeight="1" s="149">
      <c r="A139" s="19" t="n">
        <v>145</v>
      </c>
      <c r="B139" s="17" t="inlineStr">
        <is>
          <t>Carlos Gabriel</t>
        </is>
      </c>
      <c r="C139" s="17" t="inlineStr">
        <is>
          <t>809-307-6058</t>
        </is>
      </c>
      <c r="D139" s="17" t="inlineStr">
        <is>
          <t>carlosgabriel84@gmail.com</t>
        </is>
      </c>
      <c r="E139" s="17" t="n"/>
      <c r="F139" s="17" t="inlineStr">
        <is>
          <t>canino</t>
        </is>
      </c>
      <c r="G139" s="17" t="inlineStr">
        <is>
          <t>Shih tzu</t>
        </is>
      </c>
      <c r="H139" s="17" t="inlineStr">
        <is>
          <t>m</t>
        </is>
      </c>
      <c r="I139" s="17" t="inlineStr">
        <is>
          <t>negro</t>
        </is>
      </c>
      <c r="J139" s="17" t="inlineStr">
        <is>
          <t>2022-08-08</t>
        </is>
      </c>
      <c r="K139" s="17" t="inlineStr">
        <is>
          <t>av. anacaona Esquina Pedro Bobea</t>
        </is>
      </c>
      <c r="L139" s="17" t="inlineStr">
        <is>
          <t>-</t>
        </is>
      </c>
      <c r="M139" s="17" t="inlineStr">
        <is>
          <t>829-566-9106</t>
        </is>
      </c>
      <c r="N139" s="17" t="n"/>
    </row>
    <row r="140" ht="18" customHeight="1" s="149">
      <c r="A140" s="15" t="n">
        <v>146</v>
      </c>
      <c r="B140" s="9" t="inlineStr">
        <is>
          <t>Nayeli Luna Rosario</t>
        </is>
      </c>
      <c r="C140" s="9" t="inlineStr">
        <is>
          <t>829-273-1137</t>
        </is>
      </c>
      <c r="D140" s="9" t="inlineStr">
        <is>
          <t>nayelilunarosario18@gmail.com</t>
        </is>
      </c>
      <c r="E140" s="9" t="inlineStr">
        <is>
          <t>Cocha Luna</t>
        </is>
      </c>
      <c r="F140" s="9" t="inlineStr">
        <is>
          <t>canino</t>
        </is>
      </c>
      <c r="G140" s="9" t="inlineStr">
        <is>
          <t>Pomerania</t>
        </is>
      </c>
      <c r="H140" s="9" t="inlineStr">
        <is>
          <t>f</t>
        </is>
      </c>
      <c r="I140" s="9" t="inlineStr">
        <is>
          <t>rubia</t>
        </is>
      </c>
      <c r="J140" s="9" t="inlineStr">
        <is>
          <t>1970-01-01</t>
        </is>
      </c>
      <c r="K140" s="9" t="inlineStr">
        <is>
          <t>plaza paseo 27</t>
        </is>
      </c>
      <c r="L140" s="9" t="inlineStr">
        <is>
          <t>4021911429-1</t>
        </is>
      </c>
      <c r="M140" s="9" t="inlineStr">
        <is>
          <t>-</t>
        </is>
      </c>
      <c r="N140" s="9" t="n"/>
    </row>
    <row r="141" ht="18" customHeight="1" s="149">
      <c r="A141" s="19" t="n">
        <v>147</v>
      </c>
      <c r="B141" s="17" t="inlineStr">
        <is>
          <t>Paulotte Cartagena</t>
        </is>
      </c>
      <c r="C141" s="17" t="inlineStr">
        <is>
          <t>829-301-0120</t>
        </is>
      </c>
      <c r="D141" s="17" t="inlineStr">
        <is>
          <t>paulottecartagena@gmail.com</t>
        </is>
      </c>
      <c r="E141" s="17" t="inlineStr">
        <is>
          <t>Chorito Cartagena</t>
        </is>
      </c>
      <c r="F141" s="17" t="inlineStr">
        <is>
          <t>canino</t>
        </is>
      </c>
      <c r="G141" s="17" t="inlineStr">
        <is>
          <t>mestízo</t>
        </is>
      </c>
      <c r="H141" s="17" t="inlineStr">
        <is>
          <t>m</t>
        </is>
      </c>
      <c r="I141" s="17" t="inlineStr">
        <is>
          <t>negro/blanco</t>
        </is>
      </c>
      <c r="J141" s="17" t="inlineStr">
        <is>
          <t>2022-07-30</t>
        </is>
      </c>
      <c r="K141" s="17" t="inlineStr">
        <is>
          <t>Residencial alameda/ calle amapola #6</t>
        </is>
      </c>
      <c r="L141" s="17" t="inlineStr">
        <is>
          <t>4020049840-6</t>
        </is>
      </c>
      <c r="M141" s="17" t="inlineStr">
        <is>
          <t>-</t>
        </is>
      </c>
      <c r="N141" s="17" t="n"/>
    </row>
    <row r="142" ht="18" customHeight="1" s="149">
      <c r="A142" s="15" t="n">
        <v>148</v>
      </c>
      <c r="B142" s="9" t="inlineStr">
        <is>
          <t>Julie Scott</t>
        </is>
      </c>
      <c r="C142" s="9" t="inlineStr">
        <is>
          <t>809-897-5806</t>
        </is>
      </c>
      <c r="D142" s="9" t="inlineStr">
        <is>
          <t>jewelscott24@gmail.com</t>
        </is>
      </c>
      <c r="E142" s="9" t="inlineStr">
        <is>
          <t>Brayan Scott</t>
        </is>
      </c>
      <c r="F142" s="9" t="inlineStr">
        <is>
          <t>canino</t>
        </is>
      </c>
      <c r="G142" s="9" t="inlineStr">
        <is>
          <t>Yorkie</t>
        </is>
      </c>
      <c r="H142" s="9" t="inlineStr">
        <is>
          <t>m</t>
        </is>
      </c>
      <c r="I142" s="9" t="inlineStr">
        <is>
          <t>gris</t>
        </is>
      </c>
      <c r="J142" s="9" t="inlineStr">
        <is>
          <t>2022-06-08</t>
        </is>
      </c>
      <c r="K142" s="9" t="inlineStr">
        <is>
          <t>arpel 07</t>
        </is>
      </c>
      <c r="L142" s="9" t="inlineStr">
        <is>
          <t>16934220</t>
        </is>
      </c>
      <c r="M142" s="9" t="inlineStr">
        <is>
          <t>-</t>
        </is>
      </c>
      <c r="N142" s="9" t="n"/>
    </row>
    <row r="143" ht="18" customHeight="1" s="149">
      <c r="A143" s="19" t="n">
        <v>149</v>
      </c>
      <c r="B143" s="17" t="inlineStr">
        <is>
          <t>Perla Camilo Silverio</t>
        </is>
      </c>
      <c r="C143" s="17" t="inlineStr">
        <is>
          <t>829-276-1012</t>
        </is>
      </c>
      <c r="D143" s="17" t="inlineStr">
        <is>
          <t>marcoelgrande021185@gmail.com</t>
        </is>
      </c>
      <c r="E143" s="17" t="inlineStr">
        <is>
          <t>Boddy Camilo</t>
        </is>
      </c>
      <c r="F143" s="17" t="inlineStr">
        <is>
          <t>canino</t>
        </is>
      </c>
      <c r="G143" s="17" t="inlineStr">
        <is>
          <t>Maltes- Poodler</t>
        </is>
      </c>
      <c r="H143" s="17" t="inlineStr">
        <is>
          <t>m</t>
        </is>
      </c>
      <c r="I143" s="17" t="inlineStr">
        <is>
          <t>blanco</t>
        </is>
      </c>
      <c r="J143" s="17" t="inlineStr">
        <is>
          <t>2025-04-20</t>
        </is>
      </c>
      <c r="K143" s="17" t="inlineStr">
        <is>
          <t>c/ agueida suarez, alameda, SDO</t>
        </is>
      </c>
      <c r="L143" s="17" t="inlineStr">
        <is>
          <t>1360016320-1</t>
        </is>
      </c>
      <c r="M143" s="17" t="inlineStr">
        <is>
          <t>-</t>
        </is>
      </c>
      <c r="N143" s="17" t="n"/>
    </row>
    <row r="144" ht="18" customHeight="1" s="149">
      <c r="A144" s="15" t="n">
        <v>150</v>
      </c>
      <c r="B144" s="9" t="inlineStr">
        <is>
          <t>Juana Victorino</t>
        </is>
      </c>
      <c r="C144" s="9" t="inlineStr">
        <is>
          <t>809-855-6480</t>
        </is>
      </c>
      <c r="D144" s="9" t="inlineStr">
        <is>
          <t>juanamuz03@gmail.com</t>
        </is>
      </c>
      <c r="E144" s="9" t="inlineStr">
        <is>
          <t>Bruno Victorino</t>
        </is>
      </c>
      <c r="F144" s="9" t="inlineStr">
        <is>
          <t>canino</t>
        </is>
      </c>
      <c r="G144" s="9" t="inlineStr">
        <is>
          <t>-</t>
        </is>
      </c>
      <c r="H144" s="9" t="inlineStr">
        <is>
          <t>m</t>
        </is>
      </c>
      <c r="I144" s="9" t="inlineStr">
        <is>
          <t>crema</t>
        </is>
      </c>
      <c r="J144" s="9" t="inlineStr">
        <is>
          <t>2025-12-24</t>
        </is>
      </c>
      <c r="K144" s="9" t="inlineStr">
        <is>
          <t>calle el portal #2, casa 28, bayona, SDO</t>
        </is>
      </c>
      <c r="L144" s="9" t="inlineStr">
        <is>
          <t>4021349640-5</t>
        </is>
      </c>
      <c r="M144" s="9" t="inlineStr">
        <is>
          <t>-</t>
        </is>
      </c>
      <c r="N144" s="9" t="n"/>
    </row>
    <row r="145" ht="18" customHeight="1" s="149">
      <c r="A145" s="19" t="n">
        <v>151</v>
      </c>
      <c r="B145" s="17" t="inlineStr">
        <is>
          <t>Yassiel Diaz Lizardo</t>
        </is>
      </c>
      <c r="C145" s="17" t="inlineStr">
        <is>
          <t>849-886-2266</t>
        </is>
      </c>
      <c r="D145" s="17" t="inlineStr">
        <is>
          <t>jassiel-11@hotmail.com</t>
        </is>
      </c>
      <c r="E145" s="17" t="inlineStr">
        <is>
          <t>Maya Diaz</t>
        </is>
      </c>
      <c r="F145" s="17" t="inlineStr">
        <is>
          <t>canino</t>
        </is>
      </c>
      <c r="G145" s="17" t="inlineStr">
        <is>
          <t>cocker Spanier</t>
        </is>
      </c>
      <c r="H145" s="17" t="inlineStr">
        <is>
          <t>m</t>
        </is>
      </c>
      <c r="I145" s="17" t="inlineStr">
        <is>
          <t>negra</t>
        </is>
      </c>
      <c r="J145" s="17" t="inlineStr">
        <is>
          <t>2025-10-15</t>
        </is>
      </c>
      <c r="K145" s="17" t="inlineStr">
        <is>
          <t>calle orfice #12, urbanizacion Olimpo</t>
        </is>
      </c>
      <c r="L145" s="17" t="inlineStr">
        <is>
          <t>4022755043-7</t>
        </is>
      </c>
      <c r="M145" s="17" t="inlineStr">
        <is>
          <t>-</t>
        </is>
      </c>
      <c r="N145" s="17" t="n"/>
    </row>
    <row r="146" ht="18" customHeight="1" s="149">
      <c r="A146" s="15" t="n">
        <v>152</v>
      </c>
      <c r="B146" s="9" t="inlineStr">
        <is>
          <t>Angelica Liriano</t>
        </is>
      </c>
      <c r="C146" s="9" t="inlineStr">
        <is>
          <t>809-607-6519</t>
        </is>
      </c>
      <c r="D146" s="9" t="inlineStr">
        <is>
          <t>-</t>
        </is>
      </c>
      <c r="E146" s="9" t="inlineStr">
        <is>
          <t>Liry Liriano</t>
        </is>
      </c>
      <c r="F146" s="9" t="inlineStr">
        <is>
          <t>canino</t>
        </is>
      </c>
      <c r="G146" s="9" t="inlineStr">
        <is>
          <t>Poddler</t>
        </is>
      </c>
      <c r="H146" s="9" t="inlineStr">
        <is>
          <t>f</t>
        </is>
      </c>
      <c r="I146" s="9" t="inlineStr">
        <is>
          <t>blanco</t>
        </is>
      </c>
      <c r="J146" s="9" t="n"/>
      <c r="K146" s="9" t="inlineStr">
        <is>
          <t>residencial lp8, edificio 51, apartamento 101</t>
        </is>
      </c>
      <c r="L146" s="9" t="inlineStr">
        <is>
          <t>-</t>
        </is>
      </c>
      <c r="M146" s="9" t="inlineStr">
        <is>
          <t>-</t>
        </is>
      </c>
      <c r="N146" s="9" t="n"/>
    </row>
    <row r="147" ht="18" customHeight="1" s="149">
      <c r="A147" s="19" t="n">
        <v>153</v>
      </c>
      <c r="B147" s="17" t="inlineStr">
        <is>
          <t>Mirtha Josefina Tineo</t>
        </is>
      </c>
      <c r="C147" s="17" t="inlineStr">
        <is>
          <t>809-219-1267</t>
        </is>
      </c>
      <c r="D147" s="17" t="inlineStr">
        <is>
          <t>-</t>
        </is>
      </c>
      <c r="E147" s="17" t="inlineStr">
        <is>
          <t>Loly Josefina</t>
        </is>
      </c>
      <c r="F147" s="17" t="inlineStr">
        <is>
          <t>canino</t>
        </is>
      </c>
      <c r="G147" s="17" t="inlineStr">
        <is>
          <t>mestíza</t>
        </is>
      </c>
      <c r="H147" s="17" t="inlineStr">
        <is>
          <t>f</t>
        </is>
      </c>
      <c r="I147" s="17" t="inlineStr">
        <is>
          <t>crema</t>
        </is>
      </c>
      <c r="J147" s="17" t="inlineStr">
        <is>
          <t>2007-01-19</t>
        </is>
      </c>
      <c r="K147" s="17" t="inlineStr">
        <is>
          <t>las rosas calle primera, edificio 12 apto 1a</t>
        </is>
      </c>
      <c r="L147" s="17" t="inlineStr">
        <is>
          <t>0011091551-9</t>
        </is>
      </c>
      <c r="M147" s="17" t="inlineStr">
        <is>
          <t>-</t>
        </is>
      </c>
      <c r="N147" s="17" t="n"/>
    </row>
    <row r="148" ht="18" customHeight="1" s="149">
      <c r="A148" s="15" t="n">
        <v>154</v>
      </c>
      <c r="B148" s="9" t="inlineStr">
        <is>
          <t>Luis Bisonó</t>
        </is>
      </c>
      <c r="C148" s="9" t="inlineStr">
        <is>
          <t>809-786-1078</t>
        </is>
      </c>
      <c r="D148" s="9" t="inlineStr">
        <is>
          <t>luisebisono@hotmail.com</t>
        </is>
      </c>
      <c r="E148" s="9" t="inlineStr">
        <is>
          <t>Mila Bisonò</t>
        </is>
      </c>
      <c r="F148" s="9" t="inlineStr">
        <is>
          <t>canino</t>
        </is>
      </c>
      <c r="G148" s="9" t="inlineStr">
        <is>
          <t>cocker Spanier</t>
        </is>
      </c>
      <c r="H148" s="9" t="inlineStr">
        <is>
          <t>f</t>
        </is>
      </c>
      <c r="I148" s="9" t="inlineStr">
        <is>
          <t>negra</t>
        </is>
      </c>
      <c r="J148" s="9" t="inlineStr">
        <is>
          <t>2020-12-05</t>
        </is>
      </c>
      <c r="K148" s="9" t="inlineStr">
        <is>
          <t>colinas del oeste, apto l3 e4, herrera, SDO</t>
        </is>
      </c>
      <c r="L148" s="9" t="inlineStr">
        <is>
          <t>4021381369-0</t>
        </is>
      </c>
      <c r="M148" s="9" t="inlineStr">
        <is>
          <t>809-220-5767</t>
        </is>
      </c>
      <c r="N148" s="9" t="n"/>
    </row>
    <row r="149" ht="18" customHeight="1" s="149">
      <c r="A149" s="19" t="n">
        <v>155</v>
      </c>
      <c r="B149" s="17" t="inlineStr">
        <is>
          <t>Robert Sanchez Burgos</t>
        </is>
      </c>
      <c r="C149" s="17" t="inlineStr">
        <is>
          <t>809-603-0314</t>
        </is>
      </c>
      <c r="D149" s="17" t="inlineStr">
        <is>
          <t>robertsanchezburgosjr@gmail.com</t>
        </is>
      </c>
      <c r="E149" s="17" t="inlineStr">
        <is>
          <t>Lucky Sanchez Burgos</t>
        </is>
      </c>
      <c r="F149" s="17" t="inlineStr">
        <is>
          <t>canino</t>
        </is>
      </c>
      <c r="G149" s="17" t="inlineStr">
        <is>
          <t>poodler</t>
        </is>
      </c>
      <c r="H149" s="17" t="inlineStr">
        <is>
          <t>m</t>
        </is>
      </c>
      <c r="I149" s="17" t="inlineStr">
        <is>
          <t>gris</t>
        </is>
      </c>
      <c r="J149" s="17" t="inlineStr">
        <is>
          <t>2023-04-05</t>
        </is>
      </c>
      <c r="K149" s="17" t="inlineStr">
        <is>
          <t>colinas del oeste, apto lom4</t>
        </is>
      </c>
      <c r="L149" s="17" t="inlineStr">
        <is>
          <t>40212818765</t>
        </is>
      </c>
      <c r="M149" s="17" t="inlineStr">
        <is>
          <t>809-315-6310</t>
        </is>
      </c>
      <c r="N149" s="17" t="n"/>
    </row>
    <row r="150" ht="18" customHeight="1" s="149">
      <c r="A150" s="15" t="n">
        <v>156</v>
      </c>
      <c r="B150" s="9" t="inlineStr">
        <is>
          <t>Laura Coronado</t>
        </is>
      </c>
      <c r="C150" s="9" t="inlineStr">
        <is>
          <t>809-873-0021</t>
        </is>
      </c>
      <c r="D150" s="9" t="inlineStr">
        <is>
          <t>coronadolaura@gmail.com</t>
        </is>
      </c>
      <c r="E150" s="9" t="inlineStr">
        <is>
          <t>Bruno Coronado</t>
        </is>
      </c>
      <c r="F150" s="9" t="inlineStr">
        <is>
          <t>canino</t>
        </is>
      </c>
      <c r="G150" s="9" t="inlineStr">
        <is>
          <t>Pekines</t>
        </is>
      </c>
      <c r="H150" s="9" t="inlineStr">
        <is>
          <t>m</t>
        </is>
      </c>
      <c r="I150" s="9" t="inlineStr">
        <is>
          <t>marron</t>
        </is>
      </c>
      <c r="J150" s="9" t="inlineStr">
        <is>
          <t>2017-02-14</t>
        </is>
      </c>
      <c r="K150" s="9" t="inlineStr">
        <is>
          <t>leonardo da vinci #116, Rub. Real</t>
        </is>
      </c>
      <c r="L150" s="9" t="inlineStr">
        <is>
          <t>117811356</t>
        </is>
      </c>
      <c r="M150" s="9" t="inlineStr">
        <is>
          <t>-</t>
        </is>
      </c>
      <c r="N150" s="9" t="n"/>
    </row>
    <row r="151" ht="18" customHeight="1" s="149">
      <c r="A151" s="19" t="n">
        <v>157</v>
      </c>
      <c r="B151" s="17" t="inlineStr">
        <is>
          <t>Grelly Infante</t>
        </is>
      </c>
      <c r="C151" s="17" t="inlineStr">
        <is>
          <t>809-431-5052</t>
        </is>
      </c>
      <c r="D151" s="17" t="inlineStr">
        <is>
          <t>grellyyuma@gmail.com</t>
        </is>
      </c>
      <c r="E151" s="17" t="inlineStr">
        <is>
          <t>Canela Infante</t>
        </is>
      </c>
      <c r="F151" s="17" t="inlineStr">
        <is>
          <t>canino</t>
        </is>
      </c>
      <c r="G151" s="17" t="inlineStr">
        <is>
          <t>mestizo</t>
        </is>
      </c>
      <c r="H151" s="17" t="inlineStr">
        <is>
          <t>f</t>
        </is>
      </c>
      <c r="I151" s="17" t="inlineStr">
        <is>
          <t>marron</t>
        </is>
      </c>
      <c r="J151" s="17" t="n"/>
      <c r="K151" s="17" t="inlineStr">
        <is>
          <t>colinas del oeste, lote 11, m4</t>
        </is>
      </c>
      <c r="L151" s="17" t="inlineStr">
        <is>
          <t>168715819</t>
        </is>
      </c>
      <c r="M151" s="17" t="inlineStr">
        <is>
          <t>-</t>
        </is>
      </c>
      <c r="N151" s="17" t="n"/>
    </row>
    <row r="152" ht="18" customHeight="1" s="149">
      <c r="A152" s="15" t="n">
        <v>158</v>
      </c>
      <c r="B152" s="9" t="inlineStr">
        <is>
          <t>Chamila Henriquez</t>
        </is>
      </c>
      <c r="C152" s="9" t="inlineStr">
        <is>
          <t>849-864-2412</t>
        </is>
      </c>
      <c r="D152" s="9" t="inlineStr">
        <is>
          <t>chamilahenriquez@gmail.com</t>
        </is>
      </c>
      <c r="E152" s="9" t="inlineStr">
        <is>
          <t>Silver Henriquez</t>
        </is>
      </c>
      <c r="F152" s="9" t="inlineStr">
        <is>
          <t>felina</t>
        </is>
      </c>
      <c r="G152" s="9" t="inlineStr">
        <is>
          <t>mestizo</t>
        </is>
      </c>
      <c r="H152" s="9" t="inlineStr">
        <is>
          <t>m</t>
        </is>
      </c>
      <c r="I152" s="9" t="inlineStr">
        <is>
          <t>gris</t>
        </is>
      </c>
      <c r="J152" s="9" t="inlineStr">
        <is>
          <t>2025-12-18</t>
        </is>
      </c>
      <c r="K152" s="9" t="inlineStr">
        <is>
          <t>c. los llanos #48, los rios</t>
        </is>
      </c>
      <c r="L152" s="9" t="inlineStr">
        <is>
          <t>4020956542-9</t>
        </is>
      </c>
      <c r="M152" s="9" t="inlineStr">
        <is>
          <t>829-763-1016</t>
        </is>
      </c>
      <c r="N152" s="9" t="n"/>
    </row>
    <row r="153" ht="18" customHeight="1" s="149">
      <c r="A153" s="19" t="n">
        <v>159</v>
      </c>
      <c r="B153" s="17" t="inlineStr">
        <is>
          <t>Laura Perez</t>
        </is>
      </c>
      <c r="C153" s="17" t="inlineStr">
        <is>
          <t>849-287-4134</t>
        </is>
      </c>
      <c r="D153" s="17" t="n"/>
      <c r="E153" s="17" t="inlineStr">
        <is>
          <t>Lali Galvez</t>
        </is>
      </c>
      <c r="F153" s="17" t="inlineStr">
        <is>
          <t>canino</t>
        </is>
      </c>
      <c r="G153" s="17" t="inlineStr">
        <is>
          <t>chihuahua</t>
        </is>
      </c>
      <c r="H153" s="17" t="inlineStr">
        <is>
          <t>f</t>
        </is>
      </c>
      <c r="I153" s="17" t="inlineStr">
        <is>
          <t>rubia</t>
        </is>
      </c>
      <c r="J153" s="17" t="inlineStr">
        <is>
          <t>2024-02-20</t>
        </is>
      </c>
      <c r="K153" s="17" t="inlineStr">
        <is>
          <t>calle Maria Trinidad Sanchez/ LP-8</t>
        </is>
      </c>
      <c r="L153" s="17" t="inlineStr">
        <is>
          <t>40218170393</t>
        </is>
      </c>
      <c r="M153" s="17" t="inlineStr">
        <is>
          <t>829-403-1016</t>
        </is>
      </c>
      <c r="N153" s="17" t="n"/>
    </row>
    <row r="154" ht="18" customHeight="1" s="149">
      <c r="A154" s="15" t="n">
        <v>161</v>
      </c>
      <c r="B154" s="9" t="inlineStr">
        <is>
          <t>Omar Gomez Acosta</t>
        </is>
      </c>
      <c r="C154" s="9" t="inlineStr">
        <is>
          <t>809-861-6181</t>
        </is>
      </c>
      <c r="D154" s="9" t="inlineStr">
        <is>
          <t>jinetteacostasanchez02@gmail.com</t>
        </is>
      </c>
      <c r="E154" s="9" t="inlineStr">
        <is>
          <t>Esmeralda Gomez</t>
        </is>
      </c>
      <c r="F154" s="9" t="inlineStr">
        <is>
          <t>canino</t>
        </is>
      </c>
      <c r="G154" s="9" t="inlineStr">
        <is>
          <t>shih tzu</t>
        </is>
      </c>
      <c r="H154" s="9" t="inlineStr">
        <is>
          <t>f</t>
        </is>
      </c>
      <c r="I154" s="9" t="inlineStr">
        <is>
          <t>blanca</t>
        </is>
      </c>
      <c r="J154" s="9" t="inlineStr">
        <is>
          <t>2024-09-23</t>
        </is>
      </c>
      <c r="K154" s="9" t="inlineStr">
        <is>
          <t>Buenos Aires del Mirador</t>
        </is>
      </c>
      <c r="L154" s="9" t="inlineStr">
        <is>
          <t>0011476070-5</t>
        </is>
      </c>
      <c r="M154" s="9" t="inlineStr">
        <is>
          <t>809-861-6181</t>
        </is>
      </c>
      <c r="N154" s="9" t="n"/>
    </row>
    <row r="155" ht="18" customHeight="1" s="149">
      <c r="A155" s="19" t="n">
        <v>162</v>
      </c>
      <c r="B155" s="17" t="inlineStr">
        <is>
          <t>Victor Aponte</t>
        </is>
      </c>
      <c r="C155" s="17" t="inlineStr">
        <is>
          <t>809-258-2443</t>
        </is>
      </c>
      <c r="D155" s="17" t="inlineStr">
        <is>
          <t>-</t>
        </is>
      </c>
      <c r="E155" s="17" t="inlineStr">
        <is>
          <t>Melody Aponte</t>
        </is>
      </c>
      <c r="F155" s="17" t="inlineStr">
        <is>
          <t>canino</t>
        </is>
      </c>
      <c r="G155" s="17" t="inlineStr">
        <is>
          <t>chihuahua</t>
        </is>
      </c>
      <c r="H155" s="17" t="inlineStr">
        <is>
          <t>f</t>
        </is>
      </c>
      <c r="I155" s="17" t="inlineStr">
        <is>
          <t>marron</t>
        </is>
      </c>
      <c r="J155" s="17" t="n"/>
      <c r="K155" s="17" t="inlineStr">
        <is>
          <t>c/ Anastasio Tronil #5, Bayona</t>
        </is>
      </c>
      <c r="L155" s="17" t="inlineStr">
        <is>
          <t>001-0797252-4</t>
        </is>
      </c>
      <c r="M155" s="17" t="inlineStr">
        <is>
          <t>-</t>
        </is>
      </c>
      <c r="N155" s="17" t="n"/>
    </row>
    <row r="156" ht="18" customHeight="1" s="149">
      <c r="A156" s="15" t="n">
        <v>163</v>
      </c>
      <c r="B156" s="9" t="inlineStr">
        <is>
          <t>Yafreisy Ramirez</t>
        </is>
      </c>
      <c r="C156" s="9" t="inlineStr">
        <is>
          <t>809-719-5571</t>
        </is>
      </c>
      <c r="D156" s="9" t="inlineStr">
        <is>
          <t>ramirezyafreisy@gmail.com</t>
        </is>
      </c>
      <c r="E156" s="9" t="inlineStr">
        <is>
          <t>Luna Chervinsky</t>
        </is>
      </c>
      <c r="F156" s="9" t="inlineStr">
        <is>
          <t>canino</t>
        </is>
      </c>
      <c r="G156" s="9" t="inlineStr">
        <is>
          <t>-</t>
        </is>
      </c>
      <c r="H156" s="9" t="inlineStr">
        <is>
          <t>f</t>
        </is>
      </c>
      <c r="I156" s="9" t="inlineStr">
        <is>
          <t>-</t>
        </is>
      </c>
      <c r="J156" s="9" t="n"/>
      <c r="K156" s="9" t="inlineStr">
        <is>
          <t>Colinas del oeste III/ Apto. 282 B</t>
        </is>
      </c>
      <c r="L156" s="9" t="inlineStr">
        <is>
          <t>402-254029-9</t>
        </is>
      </c>
      <c r="M156" s="9" t="inlineStr">
        <is>
          <t>809-803-4200</t>
        </is>
      </c>
      <c r="N156" s="9" t="n"/>
    </row>
    <row r="157" ht="18" customHeight="1" s="149">
      <c r="A157" s="19" t="n">
        <v>164</v>
      </c>
      <c r="B157" s="17" t="inlineStr">
        <is>
          <t>Avril Parra Galvan</t>
        </is>
      </c>
      <c r="C157" s="17" t="inlineStr">
        <is>
          <t>829-851-3475</t>
        </is>
      </c>
      <c r="D157" s="17" t="inlineStr">
        <is>
          <t>avrilmpg@gmail.com</t>
        </is>
      </c>
      <c r="E157" s="17" t="inlineStr">
        <is>
          <t>Max Dali Parra</t>
        </is>
      </c>
      <c r="F157" s="17" t="inlineStr">
        <is>
          <t>canino</t>
        </is>
      </c>
      <c r="G157" s="17" t="inlineStr">
        <is>
          <t>Shih poo</t>
        </is>
      </c>
      <c r="H157" s="17" t="inlineStr">
        <is>
          <t>m</t>
        </is>
      </c>
      <c r="I157" s="17" t="inlineStr">
        <is>
          <t>negro</t>
        </is>
      </c>
      <c r="J157" s="17" t="inlineStr">
        <is>
          <t>2024-12-25</t>
        </is>
      </c>
      <c r="K157" s="17" t="inlineStr">
        <is>
          <t>LP-8, C/ Maria Trinidad Sanchez</t>
        </is>
      </c>
      <c r="L157" s="17" t="inlineStr">
        <is>
          <t>402-2949020-2</t>
        </is>
      </c>
      <c r="M157" s="17" t="inlineStr">
        <is>
          <t>-</t>
        </is>
      </c>
      <c r="N157" s="17" t="n"/>
    </row>
    <row r="158" ht="18" customHeight="1" s="149">
      <c r="A158" s="15" t="n">
        <v>165</v>
      </c>
      <c r="B158" s="9" t="inlineStr">
        <is>
          <t>Erwin Sabater</t>
        </is>
      </c>
      <c r="C158" s="9" t="inlineStr">
        <is>
          <t>809-353-7073</t>
        </is>
      </c>
      <c r="D158" s="9" t="inlineStr">
        <is>
          <t>erwinsabater@gmaill.com</t>
        </is>
      </c>
      <c r="E158" s="9" t="inlineStr">
        <is>
          <t>Rocky Sabater</t>
        </is>
      </c>
      <c r="F158" s="9" t="inlineStr">
        <is>
          <t>canino</t>
        </is>
      </c>
      <c r="G158" s="9" t="inlineStr">
        <is>
          <t>pug</t>
        </is>
      </c>
      <c r="H158" s="9" t="inlineStr">
        <is>
          <t>m</t>
        </is>
      </c>
      <c r="I158" s="9" t="inlineStr">
        <is>
          <t>crema</t>
        </is>
      </c>
      <c r="J158" s="9" t="inlineStr">
        <is>
          <t>2019-08-05</t>
        </is>
      </c>
      <c r="K158" s="9" t="inlineStr">
        <is>
          <t>LP-8, 27- 301</t>
        </is>
      </c>
      <c r="L158" s="9" t="inlineStr">
        <is>
          <t>402-2289598-5</t>
        </is>
      </c>
      <c r="M158" s="9" t="inlineStr">
        <is>
          <t>829-923-3409</t>
        </is>
      </c>
      <c r="N158" s="9" t="n"/>
    </row>
    <row r="159" ht="18" customHeight="1" s="149">
      <c r="A159" s="19" t="n">
        <v>166</v>
      </c>
      <c r="B159" s="17" t="inlineStr">
        <is>
          <t>Ramona Yvelisse Sigaran</t>
        </is>
      </c>
      <c r="C159" s="17" t="inlineStr">
        <is>
          <t>829-810-8994</t>
        </is>
      </c>
      <c r="D159" s="17" t="inlineStr">
        <is>
          <t>ramona.sigaran@gmail.com</t>
        </is>
      </c>
      <c r="E159" s="17" t="inlineStr">
        <is>
          <t>Candy Sigaran</t>
        </is>
      </c>
      <c r="F159" s="17" t="inlineStr">
        <is>
          <t>canino</t>
        </is>
      </c>
      <c r="G159" s="17" t="inlineStr">
        <is>
          <t>mestízo</t>
        </is>
      </c>
      <c r="H159" s="17" t="inlineStr">
        <is>
          <t>f</t>
        </is>
      </c>
      <c r="I159" s="17" t="inlineStr">
        <is>
          <t>ruubio</t>
        </is>
      </c>
      <c r="J159" s="17" t="inlineStr">
        <is>
          <t>2024-04-03</t>
        </is>
      </c>
      <c r="K159" s="17" t="inlineStr">
        <is>
          <t>manzana 6, edificio 24-d, Las Caobas, Santo Domingo Oeste</t>
        </is>
      </c>
      <c r="L159" s="17" t="inlineStr">
        <is>
          <t>001-0943783-0</t>
        </is>
      </c>
      <c r="M159" s="17" t="inlineStr">
        <is>
          <t>849-802-5346</t>
        </is>
      </c>
      <c r="N159" s="17" t="n"/>
    </row>
    <row r="160" ht="18" customHeight="1" s="149">
      <c r="A160" s="15" t="n">
        <v>167</v>
      </c>
      <c r="B160" s="9" t="inlineStr">
        <is>
          <t>Endy  B. Bravo</t>
        </is>
      </c>
      <c r="C160" s="9" t="inlineStr">
        <is>
          <t>849-362-9835</t>
        </is>
      </c>
      <c r="D160" s="9" t="n"/>
      <c r="E160" s="9" t="inlineStr">
        <is>
          <t>Blacky Marcos</t>
        </is>
      </c>
      <c r="F160" s="9" t="inlineStr">
        <is>
          <t>canino</t>
        </is>
      </c>
      <c r="G160" s="9" t="inlineStr">
        <is>
          <t>chaw chow</t>
        </is>
      </c>
      <c r="H160" s="9" t="inlineStr">
        <is>
          <t>m</t>
        </is>
      </c>
      <c r="I160" s="9" t="inlineStr">
        <is>
          <t>negro</t>
        </is>
      </c>
      <c r="J160" s="9" t="n"/>
      <c r="K160" s="9" t="inlineStr">
        <is>
          <t>manzana 42 #12 Las Caoba</t>
        </is>
      </c>
      <c r="L160" s="9" t="inlineStr">
        <is>
          <t>001-1190800-0</t>
        </is>
      </c>
      <c r="M160" s="9" t="inlineStr">
        <is>
          <t>849-483-0317</t>
        </is>
      </c>
      <c r="N160" s="9" t="n"/>
    </row>
    <row r="161" ht="18" customHeight="1" s="149">
      <c r="A161" s="19" t="n">
        <v>168</v>
      </c>
      <c r="B161" s="17" t="inlineStr">
        <is>
          <t>Olga Yadira Nin</t>
        </is>
      </c>
      <c r="C161" s="17" t="inlineStr">
        <is>
          <t>829-493-9221</t>
        </is>
      </c>
      <c r="D161" s="17" t="inlineStr">
        <is>
          <t>yadira05@hotmail.com</t>
        </is>
      </c>
      <c r="E161" s="17" t="inlineStr">
        <is>
          <t>Mini Nin</t>
        </is>
      </c>
      <c r="F161" s="17" t="inlineStr">
        <is>
          <t>canino</t>
        </is>
      </c>
      <c r="G161" s="17" t="inlineStr">
        <is>
          <t>Bicon Maltes</t>
        </is>
      </c>
      <c r="H161" s="17" t="inlineStr">
        <is>
          <t>f</t>
        </is>
      </c>
      <c r="I161" s="17" t="inlineStr">
        <is>
          <t>blanca</t>
        </is>
      </c>
      <c r="J161" s="17" t="inlineStr">
        <is>
          <t>2025-05-30</t>
        </is>
      </c>
      <c r="K161" s="17" t="n"/>
      <c r="L161" s="17" t="inlineStr">
        <is>
          <t>224-00551405-1</t>
        </is>
      </c>
      <c r="M161" s="17" t="n"/>
      <c r="N161" s="17" t="n"/>
    </row>
    <row r="162" ht="18" customHeight="1" s="149">
      <c r="A162" s="15" t="n">
        <v>169</v>
      </c>
      <c r="B162" s="9" t="inlineStr">
        <is>
          <t>Marcella Asensio</t>
        </is>
      </c>
      <c r="C162" s="9" t="inlineStr">
        <is>
          <t>829-332-9758</t>
        </is>
      </c>
      <c r="D162" s="9" t="n"/>
      <c r="E162" s="9" t="inlineStr">
        <is>
          <t>Chestnit Asensio</t>
        </is>
      </c>
      <c r="F162" s="9" t="inlineStr">
        <is>
          <t>canino</t>
        </is>
      </c>
      <c r="G162" s="9" t="inlineStr">
        <is>
          <t>shehpoo</t>
        </is>
      </c>
      <c r="H162" s="9" t="inlineStr">
        <is>
          <t>f</t>
        </is>
      </c>
      <c r="I162" s="9" t="inlineStr">
        <is>
          <t>negro</t>
        </is>
      </c>
      <c r="J162" s="9" t="inlineStr">
        <is>
          <t>2023-01-28</t>
        </is>
      </c>
      <c r="K162" s="9" t="inlineStr">
        <is>
          <t>L11- apt B4-Colinas del Oeste</t>
        </is>
      </c>
      <c r="L162" s="9" t="inlineStr">
        <is>
          <t>402-13445115-4</t>
        </is>
      </c>
      <c r="M162" s="9" t="n"/>
      <c r="N162" s="9" t="n"/>
    </row>
    <row r="163" ht="18" customHeight="1" s="149">
      <c r="A163" s="19" t="n">
        <v>170</v>
      </c>
      <c r="B163" s="17" t="inlineStr">
        <is>
          <t>Ramon Alis</t>
        </is>
      </c>
      <c r="C163" s="17" t="inlineStr">
        <is>
          <t>829-936-2894</t>
        </is>
      </c>
      <c r="D163" s="17" t="inlineStr">
        <is>
          <t>alispaezramon@gmail.com</t>
        </is>
      </c>
      <c r="E163" s="17" t="inlineStr">
        <is>
          <t>Riki Alis</t>
        </is>
      </c>
      <c r="F163" s="17" t="inlineStr">
        <is>
          <t>canino</t>
        </is>
      </c>
      <c r="G163" s="17" t="inlineStr">
        <is>
          <t>Mestiso</t>
        </is>
      </c>
      <c r="H163" s="17" t="inlineStr">
        <is>
          <t>m</t>
        </is>
      </c>
      <c r="I163" s="17" t="inlineStr">
        <is>
          <t>blanca</t>
        </is>
      </c>
      <c r="J163" s="17" t="inlineStr">
        <is>
          <t>2025-05-10</t>
        </is>
      </c>
      <c r="K163" s="17" t="inlineStr">
        <is>
          <t>San Miguel de Manoguayabo</t>
        </is>
      </c>
      <c r="L163" s="17" t="inlineStr">
        <is>
          <t>402-4264403-3</t>
        </is>
      </c>
      <c r="M163" s="17" t="n"/>
      <c r="N163" s="17" t="n"/>
    </row>
    <row r="164" ht="18" customHeight="1" s="149">
      <c r="A164" s="15" t="n">
        <v>171</v>
      </c>
      <c r="B164" s="9" t="inlineStr">
        <is>
          <t>Deyni Maria</t>
        </is>
      </c>
      <c r="C164" s="9" t="inlineStr">
        <is>
          <t>809-880-2481</t>
        </is>
      </c>
      <c r="D164" s="9" t="inlineStr">
        <is>
          <t>dderissegura@gmail.com</t>
        </is>
      </c>
      <c r="E164" s="9" t="inlineStr">
        <is>
          <t>Cloe Romero</t>
        </is>
      </c>
      <c r="F164" s="9" t="inlineStr">
        <is>
          <t>canino</t>
        </is>
      </c>
      <c r="G164" s="9" t="inlineStr">
        <is>
          <t>Shih tzu</t>
        </is>
      </c>
      <c r="H164" s="9" t="inlineStr">
        <is>
          <t>f</t>
        </is>
      </c>
      <c r="I164" s="9" t="inlineStr">
        <is>
          <t>negra</t>
        </is>
      </c>
      <c r="J164" s="9" t="inlineStr">
        <is>
          <t>1970-01-01</t>
        </is>
      </c>
      <c r="K164" s="9" t="inlineStr">
        <is>
          <t>Av. 27 de febrero</t>
        </is>
      </c>
      <c r="L164" s="9" t="inlineStr">
        <is>
          <t>001-1798571-3</t>
        </is>
      </c>
      <c r="M164" s="9" t="n"/>
      <c r="N164" s="9" t="n"/>
    </row>
    <row r="165" ht="18" customHeight="1" s="149">
      <c r="A165" s="19" t="n">
        <v>172</v>
      </c>
      <c r="B165" s="17" t="inlineStr">
        <is>
          <t>Yamilex Bautista</t>
        </is>
      </c>
      <c r="C165" s="17" t="inlineStr">
        <is>
          <t>829-564-2784</t>
        </is>
      </c>
      <c r="D165" s="17" t="n"/>
      <c r="E165" s="17" t="inlineStr">
        <is>
          <t>Luky</t>
        </is>
      </c>
      <c r="F165" s="17" t="inlineStr">
        <is>
          <t>canino</t>
        </is>
      </c>
      <c r="G165" s="17" t="inlineStr">
        <is>
          <t>Shipoo</t>
        </is>
      </c>
      <c r="H165" s="17" t="inlineStr">
        <is>
          <t>m</t>
        </is>
      </c>
      <c r="I165" s="17" t="inlineStr">
        <is>
          <t>blanca y negra</t>
        </is>
      </c>
      <c r="J165" s="17" t="inlineStr">
        <is>
          <t>2024-08-04</t>
        </is>
      </c>
      <c r="K165" s="17" t="inlineStr">
        <is>
          <t>Herrerra  Bautista</t>
        </is>
      </c>
      <c r="L165" s="17" t="inlineStr">
        <is>
          <t>071-0061220-4</t>
        </is>
      </c>
      <c r="M165" s="17" t="n"/>
      <c r="N165" s="17" t="n"/>
    </row>
    <row r="166" ht="18" customHeight="1" s="149">
      <c r="A166" s="15" t="n">
        <v>173</v>
      </c>
      <c r="B166" s="9" t="inlineStr">
        <is>
          <t>Cristina Cruz</t>
        </is>
      </c>
      <c r="C166" s="9" t="inlineStr">
        <is>
          <t>809-949-0544</t>
        </is>
      </c>
      <c r="D166" s="9" t="n"/>
      <c r="E166" s="9" t="inlineStr">
        <is>
          <t>Hila Peluca Cruz</t>
        </is>
      </c>
      <c r="F166" s="9" t="inlineStr">
        <is>
          <t>canino</t>
        </is>
      </c>
      <c r="G166" s="9" t="inlineStr">
        <is>
          <t>Poodle</t>
        </is>
      </c>
      <c r="H166" s="9" t="inlineStr">
        <is>
          <t>f</t>
        </is>
      </c>
      <c r="I166" s="9" t="inlineStr">
        <is>
          <t>blanca</t>
        </is>
      </c>
      <c r="J166" s="9" t="inlineStr">
        <is>
          <t>2025-05-17</t>
        </is>
      </c>
      <c r="K166" s="9" t="n"/>
      <c r="L166" s="9" t="inlineStr">
        <is>
          <t>001-1253966-3</t>
        </is>
      </c>
      <c r="M166" s="9" t="n"/>
      <c r="N166" s="9" t="n"/>
    </row>
    <row r="167" ht="18" customHeight="1" s="149">
      <c r="A167" s="19" t="n">
        <v>174</v>
      </c>
      <c r="B167" s="17" t="inlineStr">
        <is>
          <t>Marianni Jisela</t>
        </is>
      </c>
      <c r="C167" s="17" t="inlineStr">
        <is>
          <t>829-5526102</t>
        </is>
      </c>
      <c r="D167" s="17" t="inlineStr">
        <is>
          <t>marannicampos39@gmail.com</t>
        </is>
      </c>
      <c r="E167" s="17" t="inlineStr">
        <is>
          <t>Luna Campos</t>
        </is>
      </c>
      <c r="F167" s="17" t="inlineStr">
        <is>
          <t>canino</t>
        </is>
      </c>
      <c r="G167" s="17" t="inlineStr">
        <is>
          <t>Pomerania</t>
        </is>
      </c>
      <c r="H167" s="17" t="inlineStr">
        <is>
          <t>f</t>
        </is>
      </c>
      <c r="I167" s="17" t="inlineStr">
        <is>
          <t>blanca</t>
        </is>
      </c>
      <c r="J167" s="17" t="inlineStr">
        <is>
          <t>2025-11-21</t>
        </is>
      </c>
      <c r="K167" s="17" t="inlineStr">
        <is>
          <t>Flor de Liz #12 Palma de Herrera</t>
        </is>
      </c>
      <c r="L167" s="17" t="inlineStr">
        <is>
          <t>402-0921042-7</t>
        </is>
      </c>
      <c r="M167" s="17" t="n"/>
      <c r="N167" s="17" t="n"/>
    </row>
    <row r="168" ht="18" customHeight="1" s="149">
      <c r="A168" s="15" t="n">
        <v>175</v>
      </c>
      <c r="B168" s="9" t="inlineStr">
        <is>
          <t>Roselyn  Rodriguez</t>
        </is>
      </c>
      <c r="C168" s="9" t="inlineStr">
        <is>
          <t>829-645-3177</t>
        </is>
      </c>
      <c r="D168" s="9" t="inlineStr">
        <is>
          <t>roselyn.roperto@gmail.com</t>
        </is>
      </c>
      <c r="E168" s="9" t="inlineStr">
        <is>
          <t>Rey cedeño</t>
        </is>
      </c>
      <c r="F168" s="9" t="inlineStr">
        <is>
          <t>canino</t>
        </is>
      </c>
      <c r="G168" s="9" t="inlineStr">
        <is>
          <t>Shihtzu</t>
        </is>
      </c>
      <c r="H168" s="9" t="inlineStr">
        <is>
          <t>f</t>
        </is>
      </c>
      <c r="I168" s="9" t="inlineStr">
        <is>
          <t>blanca</t>
        </is>
      </c>
      <c r="J168" s="9" t="inlineStr">
        <is>
          <t>2019-01-30</t>
        </is>
      </c>
      <c r="K168" s="9" t="inlineStr">
        <is>
          <t>Calle Cordillera central no, 23 Res. Colinas del Oeste</t>
        </is>
      </c>
      <c r="L168" s="9" t="inlineStr">
        <is>
          <t>223-0035243-6</t>
        </is>
      </c>
      <c r="M168" s="9" t="inlineStr">
        <is>
          <t>829-639-8656</t>
        </is>
      </c>
      <c r="N168" s="9" t="n"/>
    </row>
    <row r="169" ht="18" customHeight="1" s="149">
      <c r="A169" s="19" t="n">
        <v>176</v>
      </c>
      <c r="B169" s="17" t="inlineStr">
        <is>
          <t>Roselyn  Rodriguez</t>
        </is>
      </c>
      <c r="C169" s="17" t="inlineStr">
        <is>
          <t>829-645-3177</t>
        </is>
      </c>
      <c r="D169" s="17" t="inlineStr">
        <is>
          <t>roselyn.roperto@gmail.com</t>
        </is>
      </c>
      <c r="E169" s="17" t="inlineStr">
        <is>
          <t>Peach</t>
        </is>
      </c>
      <c r="F169" s="17" t="inlineStr">
        <is>
          <t>canino</t>
        </is>
      </c>
      <c r="G169" s="17" t="inlineStr">
        <is>
          <t>Shihtzu</t>
        </is>
      </c>
      <c r="H169" s="17" t="inlineStr">
        <is>
          <t>f</t>
        </is>
      </c>
      <c r="I169" s="17" t="inlineStr">
        <is>
          <t>blanca</t>
        </is>
      </c>
      <c r="J169" s="17" t="inlineStr">
        <is>
          <t>2016-05-01</t>
        </is>
      </c>
      <c r="K169" s="17" t="inlineStr">
        <is>
          <t>Calle Cordillera central no, 23 Res. Colinas del Oeste</t>
        </is>
      </c>
      <c r="L169" s="17" t="inlineStr">
        <is>
          <t>223-0035243-6</t>
        </is>
      </c>
      <c r="M169" s="17" t="inlineStr">
        <is>
          <t>829-639-8656</t>
        </is>
      </c>
      <c r="N169" s="17" t="n"/>
    </row>
    <row r="170" ht="18" customHeight="1" s="149">
      <c r="A170" s="15" t="n">
        <v>177</v>
      </c>
      <c r="B170" s="9" t="inlineStr">
        <is>
          <t>Alanni Hernandez</t>
        </is>
      </c>
      <c r="C170" s="9" t="inlineStr">
        <is>
          <t>829-468-1972</t>
        </is>
      </c>
      <c r="D170" s="9" t="inlineStr">
        <is>
          <t>yanibelh23@gmail.com</t>
        </is>
      </c>
      <c r="E170" s="9" t="inlineStr">
        <is>
          <t>Coco Hernnandez</t>
        </is>
      </c>
      <c r="F170" s="9" t="inlineStr">
        <is>
          <t>canino</t>
        </is>
      </c>
      <c r="G170" s="9" t="inlineStr">
        <is>
          <t>Meztiso</t>
        </is>
      </c>
      <c r="H170" s="9" t="inlineStr">
        <is>
          <t>m</t>
        </is>
      </c>
      <c r="I170" s="9" t="inlineStr">
        <is>
          <t>marron</t>
        </is>
      </c>
      <c r="J170" s="9" t="inlineStr">
        <is>
          <t>2025-12-22</t>
        </is>
      </c>
      <c r="K170" s="9" t="inlineStr">
        <is>
          <t>calle # 15, Villa  Aura Res. Paula C 11</t>
        </is>
      </c>
      <c r="L170" s="9" t="inlineStr">
        <is>
          <t>402-1347261-2</t>
        </is>
      </c>
      <c r="M170" s="9" t="n"/>
      <c r="N170" s="9" t="n"/>
    </row>
    <row r="171" ht="18" customHeight="1" s="149">
      <c r="A171" s="19" t="n">
        <v>178</v>
      </c>
      <c r="B171" s="17" t="inlineStr">
        <is>
          <t>Jonathan Ortiz</t>
        </is>
      </c>
      <c r="C171" s="17" t="inlineStr">
        <is>
          <t>829-717-6287</t>
        </is>
      </c>
      <c r="D171" s="17" t="n"/>
      <c r="E171" s="17" t="inlineStr">
        <is>
          <t>Kobe Ortiz</t>
        </is>
      </c>
      <c r="F171" s="17" t="inlineStr">
        <is>
          <t>canino</t>
        </is>
      </c>
      <c r="G171" s="17" t="inlineStr">
        <is>
          <t>Yorkshise</t>
        </is>
      </c>
      <c r="H171" s="17" t="inlineStr">
        <is>
          <t>m</t>
        </is>
      </c>
      <c r="I171" s="17" t="inlineStr">
        <is>
          <t>negro y marron</t>
        </is>
      </c>
      <c r="J171" s="17" t="inlineStr">
        <is>
          <t>2024-06-15</t>
        </is>
      </c>
      <c r="K171" s="17" t="n"/>
      <c r="L171" s="17" t="inlineStr">
        <is>
          <t>402-0036251-1</t>
        </is>
      </c>
      <c r="M171" s="17" t="n"/>
      <c r="N171" s="17" t="n"/>
    </row>
    <row r="172" ht="18" customHeight="1" s="149">
      <c r="A172" s="15" t="n">
        <v>179</v>
      </c>
      <c r="B172" s="9" t="inlineStr">
        <is>
          <t>Urias Rodriguez</t>
        </is>
      </c>
      <c r="C172" s="9" t="inlineStr">
        <is>
          <t>809-878-3060</t>
        </is>
      </c>
      <c r="D172" s="9" t="inlineStr">
        <is>
          <t>dr.urvasrs@gmail.com</t>
        </is>
      </c>
      <c r="E172" s="9" t="inlineStr">
        <is>
          <t>Teddy Rodriguez</t>
        </is>
      </c>
      <c r="F172" s="9" t="inlineStr">
        <is>
          <t>canino</t>
        </is>
      </c>
      <c r="G172" s="9" t="inlineStr">
        <is>
          <t>Pomerania</t>
        </is>
      </c>
      <c r="H172" s="9" t="inlineStr">
        <is>
          <t>m</t>
        </is>
      </c>
      <c r="I172" s="9" t="inlineStr">
        <is>
          <t>blanco</t>
        </is>
      </c>
      <c r="J172" s="9" t="inlineStr">
        <is>
          <t>2025-02-18</t>
        </is>
      </c>
      <c r="K172" s="9" t="inlineStr">
        <is>
          <t>C/ Semptetrional apt 702 Edif.L7ED  residencial las Colinas  del Oeste</t>
        </is>
      </c>
      <c r="L172" s="9" t="inlineStr">
        <is>
          <t>001-1762602-8</t>
        </is>
      </c>
      <c r="M172" s="9" t="inlineStr">
        <is>
          <t>829-757-7385</t>
        </is>
      </c>
      <c r="N172" s="9" t="n"/>
    </row>
    <row r="173" ht="18" customHeight="1" s="149">
      <c r="A173" s="19" t="n">
        <v>180</v>
      </c>
      <c r="B173" s="17" t="inlineStr">
        <is>
          <t>Viterva  Garcia</t>
        </is>
      </c>
      <c r="C173" s="17" t="inlineStr">
        <is>
          <t>829-574-1426</t>
        </is>
      </c>
      <c r="D173" s="17" t="inlineStr">
        <is>
          <t>aridioalexander adames@gmail.com</t>
        </is>
      </c>
      <c r="E173" s="17" t="inlineStr">
        <is>
          <t>Noah Garcia</t>
        </is>
      </c>
      <c r="F173" s="17" t="inlineStr">
        <is>
          <t>canino</t>
        </is>
      </c>
      <c r="G173" s="17" t="inlineStr">
        <is>
          <t>Shihtzu</t>
        </is>
      </c>
      <c r="H173" s="17" t="inlineStr">
        <is>
          <t>f</t>
        </is>
      </c>
      <c r="I173" s="17" t="inlineStr">
        <is>
          <t>balnca y marron</t>
        </is>
      </c>
      <c r="J173" s="17" t="inlineStr">
        <is>
          <t>2021-06-12</t>
        </is>
      </c>
      <c r="K173" s="17" t="inlineStr">
        <is>
          <t>Manganagua calle 25#67</t>
        </is>
      </c>
      <c r="L173" s="17" t="inlineStr">
        <is>
          <t>402-4175996-4</t>
        </is>
      </c>
      <c r="M173" s="17" t="inlineStr">
        <is>
          <t>829-564-1426</t>
        </is>
      </c>
      <c r="N173" s="17" t="n"/>
    </row>
    <row r="174" ht="18" customHeight="1" s="149">
      <c r="A174" s="15" t="n">
        <v>181</v>
      </c>
      <c r="B174" s="9" t="inlineStr">
        <is>
          <t>Angelica Perez</t>
        </is>
      </c>
      <c r="C174" s="9" t="inlineStr">
        <is>
          <t>829-562-5353</t>
        </is>
      </c>
      <c r="D174" s="9" t="inlineStr">
        <is>
          <t>angelica mps28@gmail.com</t>
        </is>
      </c>
      <c r="E174" s="9" t="inlineStr">
        <is>
          <t>Max Perez</t>
        </is>
      </c>
      <c r="F174" s="9" t="inlineStr">
        <is>
          <t>canino</t>
        </is>
      </c>
      <c r="G174" s="9" t="inlineStr">
        <is>
          <t>Shihtzu</t>
        </is>
      </c>
      <c r="H174" s="9" t="inlineStr">
        <is>
          <t>m</t>
        </is>
      </c>
      <c r="I174" s="9" t="inlineStr">
        <is>
          <t>blanca y negra</t>
        </is>
      </c>
      <c r="J174" s="9" t="n"/>
      <c r="K174" s="9" t="n"/>
      <c r="L174" s="9" t="inlineStr">
        <is>
          <t>224-0028987-6</t>
        </is>
      </c>
      <c r="M174" s="9" t="n"/>
      <c r="N174" s="9" t="n"/>
    </row>
    <row r="175" ht="18" customHeight="1" s="149">
      <c r="A175" s="19" t="n">
        <v>182</v>
      </c>
      <c r="B175" s="17" t="inlineStr">
        <is>
          <t>Carlos Jose Cabral</t>
        </is>
      </c>
      <c r="C175" s="17" t="inlineStr">
        <is>
          <t>809-354-2778</t>
        </is>
      </c>
      <c r="D175" s="17" t="inlineStr">
        <is>
          <t>carlos3180@outlook.com</t>
        </is>
      </c>
      <c r="E175" s="17" t="inlineStr">
        <is>
          <t>Ryo Cabral</t>
        </is>
      </c>
      <c r="F175" s="17" t="inlineStr">
        <is>
          <t>canino</t>
        </is>
      </c>
      <c r="G175" s="17" t="inlineStr">
        <is>
          <t>Shihtzu</t>
        </is>
      </c>
      <c r="H175" s="17" t="inlineStr">
        <is>
          <t>m</t>
        </is>
      </c>
      <c r="I175" s="17" t="inlineStr">
        <is>
          <t>blanca</t>
        </is>
      </c>
      <c r="J175" s="17" t="inlineStr">
        <is>
          <t>2025-07-06</t>
        </is>
      </c>
      <c r="K175" s="17" t="inlineStr">
        <is>
          <t>Calle 9, Reparto Rosa,Santo Domingo Oeste</t>
        </is>
      </c>
      <c r="L175" s="17" t="inlineStr">
        <is>
          <t>402-0049774-0</t>
        </is>
      </c>
      <c r="M175" s="17" t="n"/>
      <c r="N175" s="17" t="n"/>
    </row>
    <row r="176" ht="18" customHeight="1" s="149">
      <c r="A176" s="15" t="n">
        <v>183</v>
      </c>
      <c r="B176" s="9" t="inlineStr">
        <is>
          <t>Caroline Barett</t>
        </is>
      </c>
      <c r="C176" s="9" t="inlineStr">
        <is>
          <t>809-923-9595</t>
        </is>
      </c>
      <c r="D176" s="9" t="inlineStr">
        <is>
          <t>carolinebarett@gmail.com</t>
        </is>
      </c>
      <c r="E176" s="9" t="inlineStr">
        <is>
          <t>Milo Suscar Barett</t>
        </is>
      </c>
      <c r="F176" s="9" t="inlineStr">
        <is>
          <t>canino</t>
        </is>
      </c>
      <c r="G176" s="9" t="inlineStr">
        <is>
          <t>Yorkie</t>
        </is>
      </c>
      <c r="H176" s="9" t="inlineStr">
        <is>
          <t>m</t>
        </is>
      </c>
      <c r="I176" s="9" t="inlineStr">
        <is>
          <t>negra y marron</t>
        </is>
      </c>
      <c r="J176" s="9" t="inlineStr">
        <is>
          <t>2025-07-17</t>
        </is>
      </c>
      <c r="K176" s="9" t="inlineStr">
        <is>
          <t>Colinas Oeste #12 /calle septetrional la E4</t>
        </is>
      </c>
      <c r="L176" s="9" t="inlineStr">
        <is>
          <t>001-1098308-7</t>
        </is>
      </c>
      <c r="M176" s="9" t="inlineStr">
        <is>
          <t>809-974-1735</t>
        </is>
      </c>
      <c r="N176" s="9" t="n"/>
    </row>
    <row r="177" ht="18" customHeight="1" s="149">
      <c r="A177" s="19" t="n">
        <v>184</v>
      </c>
      <c r="B177" s="17" t="inlineStr">
        <is>
          <t>Ana Rosario</t>
        </is>
      </c>
      <c r="C177" s="17" t="inlineStr">
        <is>
          <t>829-933-7200</t>
        </is>
      </c>
      <c r="D177" s="17" t="n"/>
      <c r="E177" s="17" t="inlineStr">
        <is>
          <t>Blue Rosario</t>
        </is>
      </c>
      <c r="F177" s="17" t="inlineStr">
        <is>
          <t>canino</t>
        </is>
      </c>
      <c r="G177" s="17" t="inlineStr">
        <is>
          <t>pomerania</t>
        </is>
      </c>
      <c r="H177" s="17" t="inlineStr">
        <is>
          <t>m</t>
        </is>
      </c>
      <c r="I177" s="17" t="inlineStr">
        <is>
          <t>blanco</t>
        </is>
      </c>
      <c r="J177" s="17" t="inlineStr">
        <is>
          <t>2024-03-08</t>
        </is>
      </c>
      <c r="K177" s="17" t="inlineStr">
        <is>
          <t>Reparto  Rosa  Calle la celus #16 SDO</t>
        </is>
      </c>
      <c r="L177" s="17" t="inlineStr">
        <is>
          <t>402-2622898-0</t>
        </is>
      </c>
      <c r="M177" s="17" t="n"/>
      <c r="N177" s="17" t="n"/>
    </row>
    <row r="178" ht="18" customHeight="1" s="149">
      <c r="A178" s="15" t="n">
        <v>185</v>
      </c>
      <c r="B178" s="9" t="inlineStr">
        <is>
          <t>Jaboco De Jara</t>
        </is>
      </c>
      <c r="C178" s="9" t="inlineStr">
        <is>
          <t>849-406-8681</t>
        </is>
      </c>
      <c r="D178" s="9" t="inlineStr">
        <is>
          <t>jacobodejara@gmail.com</t>
        </is>
      </c>
      <c r="E178" s="9" t="inlineStr">
        <is>
          <t>Thor o Flash</t>
        </is>
      </c>
      <c r="F178" s="9" t="inlineStr">
        <is>
          <t>canino</t>
        </is>
      </c>
      <c r="G178" s="9" t="inlineStr">
        <is>
          <t>Golden Retriever</t>
        </is>
      </c>
      <c r="H178" s="9" t="inlineStr">
        <is>
          <t>m</t>
        </is>
      </c>
      <c r="I178" s="9" t="inlineStr">
        <is>
          <t>dorado</t>
        </is>
      </c>
      <c r="J178" s="9" t="inlineStr">
        <is>
          <t>2026-01-14</t>
        </is>
      </c>
      <c r="K178" s="9" t="inlineStr">
        <is>
          <t>calle 2da interior ,Los restaudores</t>
        </is>
      </c>
      <c r="L178" s="9" t="inlineStr">
        <is>
          <t>001-1797838-7</t>
        </is>
      </c>
      <c r="M178" s="9" t="n"/>
      <c r="N178" s="9" t="n"/>
    </row>
    <row r="179" ht="18" customHeight="1" s="149">
      <c r="A179" s="19" t="n">
        <v>186</v>
      </c>
      <c r="B179" s="17" t="inlineStr">
        <is>
          <t>Luisaanna Abreu</t>
        </is>
      </c>
      <c r="C179" s="17" t="inlineStr">
        <is>
          <t>829-357-6874</t>
        </is>
      </c>
      <c r="D179" s="17" t="inlineStr">
        <is>
          <t>abreureynosoluisanna@gmail.com</t>
        </is>
      </c>
      <c r="E179" s="17" t="inlineStr">
        <is>
          <t>Luna Roman</t>
        </is>
      </c>
      <c r="F179" s="17" t="inlineStr">
        <is>
          <t>canino</t>
        </is>
      </c>
      <c r="G179" s="17" t="inlineStr">
        <is>
          <t>Shipoo</t>
        </is>
      </c>
      <c r="H179" s="17" t="inlineStr">
        <is>
          <t>f</t>
        </is>
      </c>
      <c r="I179" s="17" t="inlineStr">
        <is>
          <t>banca y marron</t>
        </is>
      </c>
      <c r="J179" s="17" t="inlineStr">
        <is>
          <t>2024-09-14</t>
        </is>
      </c>
      <c r="K179" s="17" t="inlineStr">
        <is>
          <t>manzana 26 duplex 17 B Las Caobas</t>
        </is>
      </c>
      <c r="L179" s="17" t="inlineStr">
        <is>
          <t>402-2636476-6</t>
        </is>
      </c>
      <c r="M179" s="17" t="inlineStr">
        <is>
          <t>809-5649194</t>
        </is>
      </c>
      <c r="N179" s="17" t="inlineStr">
        <is>
          <t>no</t>
        </is>
      </c>
    </row>
    <row r="180" ht="18" customHeight="1" s="149">
      <c r="A180" s="15" t="n">
        <v>187</v>
      </c>
      <c r="B180" s="9" t="inlineStr">
        <is>
          <t>Yesenia Lopez</t>
        </is>
      </c>
      <c r="C180" s="9" t="inlineStr">
        <is>
          <t>829-985-8584</t>
        </is>
      </c>
      <c r="D180" s="9" t="inlineStr">
        <is>
          <t>yesenialpz89@gmail.com</t>
        </is>
      </c>
      <c r="E180" s="9" t="inlineStr">
        <is>
          <t>Blondie Lopez</t>
        </is>
      </c>
      <c r="F180" s="9" t="inlineStr">
        <is>
          <t>canino</t>
        </is>
      </c>
      <c r="G180" s="9" t="inlineStr">
        <is>
          <t>mestiza</t>
        </is>
      </c>
      <c r="H180" s="9" t="inlineStr">
        <is>
          <t>f</t>
        </is>
      </c>
      <c r="I180" s="9" t="inlineStr">
        <is>
          <t>-</t>
        </is>
      </c>
      <c r="J180" s="9" t="n"/>
      <c r="K180" s="9" t="inlineStr">
        <is>
          <t>La galaxia, marte #9 Santo Domingo Oeste</t>
        </is>
      </c>
      <c r="L180" s="9" t="inlineStr">
        <is>
          <t>031-0503723-2</t>
        </is>
      </c>
      <c r="M180" s="9" t="n"/>
      <c r="N180" s="9" t="n"/>
    </row>
    <row r="181" ht="18" customHeight="1" s="149">
      <c r="A181" s="19" t="n">
        <v>188</v>
      </c>
      <c r="B181" s="17" t="inlineStr">
        <is>
          <t>Yesenia Lopez</t>
        </is>
      </c>
      <c r="C181" s="17" t="inlineStr">
        <is>
          <t>829-985-8584</t>
        </is>
      </c>
      <c r="D181" s="17" t="inlineStr">
        <is>
          <t>yesenialpz89@gmail.com</t>
        </is>
      </c>
      <c r="E181" s="17" t="inlineStr">
        <is>
          <t>Brownie</t>
        </is>
      </c>
      <c r="F181" s="17" t="inlineStr">
        <is>
          <t>canico</t>
        </is>
      </c>
      <c r="G181" s="17" t="inlineStr">
        <is>
          <t>Pudlee</t>
        </is>
      </c>
      <c r="H181" s="17" t="inlineStr">
        <is>
          <t>m</t>
        </is>
      </c>
      <c r="I181" s="17" t="inlineStr">
        <is>
          <t>negro</t>
        </is>
      </c>
      <c r="J181" s="17" t="n"/>
      <c r="K181" s="17" t="inlineStr">
        <is>
          <t>La galaxia, marte #9 Santo Domingo Oeste</t>
        </is>
      </c>
      <c r="L181" s="17" t="inlineStr">
        <is>
          <t>031-0503723-2</t>
        </is>
      </c>
      <c r="M181" s="17" t="n"/>
      <c r="N181" s="17" t="n"/>
    </row>
    <row r="182" ht="18" customHeight="1" s="149">
      <c r="A182" s="15" t="n">
        <v>189</v>
      </c>
      <c r="B182" s="9" t="inlineStr">
        <is>
          <t>Naphtalie Doll</t>
        </is>
      </c>
      <c r="C182" s="9" t="inlineStr">
        <is>
          <t>829-638-4849</t>
        </is>
      </c>
      <c r="D182" s="9" t="inlineStr">
        <is>
          <t>miniedoll03@gmail.com</t>
        </is>
      </c>
      <c r="E182" s="9" t="inlineStr">
        <is>
          <t>Kiki Doll</t>
        </is>
      </c>
      <c r="F182" s="9" t="inlineStr">
        <is>
          <t>canino</t>
        </is>
      </c>
      <c r="G182" s="9" t="inlineStr">
        <is>
          <t>Shih tzu</t>
        </is>
      </c>
      <c r="H182" s="9" t="inlineStr">
        <is>
          <t>m</t>
        </is>
      </c>
      <c r="I182" s="9" t="inlineStr">
        <is>
          <t>crema</t>
        </is>
      </c>
      <c r="J182" s="9" t="inlineStr">
        <is>
          <t>2024-10-30</t>
        </is>
      </c>
      <c r="K182" s="9" t="inlineStr">
        <is>
          <t>Pantoja c/ bonauza #60</t>
        </is>
      </c>
      <c r="L182" s="9" t="inlineStr">
        <is>
          <t>R11248381</t>
        </is>
      </c>
      <c r="M182" s="9" t="n"/>
      <c r="N182" s="9" t="n"/>
    </row>
    <row r="183" ht="18" customHeight="1" s="149">
      <c r="A183" s="19" t="n">
        <v>190</v>
      </c>
      <c r="B183" s="17" t="inlineStr">
        <is>
          <t>-</t>
        </is>
      </c>
      <c r="C183" s="17" t="inlineStr">
        <is>
          <t>-</t>
        </is>
      </c>
      <c r="D183" s="17" t="n"/>
      <c r="E183" s="17" t="inlineStr">
        <is>
          <t>Lucho</t>
        </is>
      </c>
      <c r="F183" s="17" t="inlineStr">
        <is>
          <t>felino</t>
        </is>
      </c>
      <c r="G183" s="17" t="inlineStr">
        <is>
          <t>Ragdoll</t>
        </is>
      </c>
      <c r="H183" s="17" t="inlineStr">
        <is>
          <t>m</t>
        </is>
      </c>
      <c r="I183" s="17" t="n"/>
      <c r="J183" s="17" t="n"/>
      <c r="K183" s="17" t="inlineStr">
        <is>
          <t>-</t>
        </is>
      </c>
      <c r="L183" s="17" t="inlineStr">
        <is>
          <t>-</t>
        </is>
      </c>
      <c r="M183" s="17" t="n"/>
      <c r="N183" s="17" t="n"/>
    </row>
    <row r="184" ht="18" customHeight="1" s="149">
      <c r="A184" s="15" t="n">
        <v>192</v>
      </c>
      <c r="B184" s="9" t="inlineStr">
        <is>
          <t>Viannelly De La cruz</t>
        </is>
      </c>
      <c r="C184" s="9" t="inlineStr">
        <is>
          <t>829-914-4071</t>
        </is>
      </c>
      <c r="D184" s="9" t="inlineStr">
        <is>
          <t>viannellydlc01@gmail.com</t>
        </is>
      </c>
      <c r="E184" s="9" t="inlineStr">
        <is>
          <t>Rocky Junior De La Cruz</t>
        </is>
      </c>
      <c r="F184" s="9" t="inlineStr">
        <is>
          <t>canino</t>
        </is>
      </c>
      <c r="G184" s="9" t="inlineStr">
        <is>
          <t>Shih tzu</t>
        </is>
      </c>
      <c r="H184" s="9" t="inlineStr">
        <is>
          <t>m</t>
        </is>
      </c>
      <c r="I184" s="9" t="inlineStr">
        <is>
          <t>negro y blanco</t>
        </is>
      </c>
      <c r="J184" s="9" t="inlineStr">
        <is>
          <t>2025-02-13</t>
        </is>
      </c>
      <c r="K184" s="9" t="inlineStr">
        <is>
          <t>Septentrional #26Colina  del Oeste</t>
        </is>
      </c>
      <c r="L184" s="9" t="inlineStr">
        <is>
          <t>223-00871902-2</t>
        </is>
      </c>
      <c r="M184" s="9" t="inlineStr">
        <is>
          <t>829-993-2635</t>
        </is>
      </c>
      <c r="N184" s="9" t="inlineStr">
        <is>
          <t>no</t>
        </is>
      </c>
    </row>
    <row r="185" ht="18" customHeight="1" s="149">
      <c r="A185" s="19" t="n">
        <v>193</v>
      </c>
      <c r="B185" s="17" t="inlineStr">
        <is>
          <t>Tiara Arnaud</t>
        </is>
      </c>
      <c r="C185" s="17" t="inlineStr">
        <is>
          <t>809-878-5751</t>
        </is>
      </c>
      <c r="D185" s="17" t="inlineStr">
        <is>
          <t>arnaudtiara@gmail.com</t>
        </is>
      </c>
      <c r="E185" s="17" t="inlineStr">
        <is>
          <t>Tiara Aquino</t>
        </is>
      </c>
      <c r="F185" s="17" t="inlineStr">
        <is>
          <t>canino</t>
        </is>
      </c>
      <c r="G185" s="17" t="inlineStr">
        <is>
          <t>Maltes</t>
        </is>
      </c>
      <c r="H185" s="17" t="inlineStr">
        <is>
          <t>f</t>
        </is>
      </c>
      <c r="I185" s="17" t="inlineStr">
        <is>
          <t>blanca</t>
        </is>
      </c>
      <c r="J185" s="17" t="inlineStr">
        <is>
          <t>2017-11-08</t>
        </is>
      </c>
      <c r="K185" s="17" t="inlineStr">
        <is>
          <t>Residencial Rivera de Haina- Bayona</t>
        </is>
      </c>
      <c r="L185" s="17" t="inlineStr">
        <is>
          <t>402-2422492-9</t>
        </is>
      </c>
      <c r="M185" s="17" t="inlineStr">
        <is>
          <t>829-523-5047</t>
        </is>
      </c>
      <c r="N185" s="17" t="n"/>
    </row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2">
    <mergeCell ref="A2:N2"/>
    <mergeCell ref="A1:N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tabColor rgb="FF7C3AED"/>
    <outlinePr summaryBelow="1" summaryRight="1"/>
    <pageSetUpPr/>
  </sheetPr>
  <dimension ref="A1:I27"/>
  <sheetViews>
    <sheetView showGridLines="0" workbookViewId="0">
      <selection activeCell="A1" sqref="A1"/>
    </sheetView>
  </sheetViews>
  <sheetFormatPr baseColWidth="8" defaultColWidth="14.43" defaultRowHeight="15" customHeight="1"/>
  <cols>
    <col width="16" customWidth="1" style="149" min="1" max="1"/>
    <col width="8" customWidth="1" style="149" min="2" max="2"/>
    <col width="26" customWidth="1" style="149" min="3" max="3"/>
    <col width="22" customWidth="1" style="149" min="4" max="4"/>
    <col width="18" customWidth="1" style="149" min="5" max="8"/>
    <col width="8.710000000000001" customWidth="1" style="149" min="9" max="26"/>
  </cols>
  <sheetData>
    <row r="1" ht="39.75" customHeight="1" s="149">
      <c r="A1" s="150" t="inlineStr">
        <is>
          <t>🐾 PetColinas — NÓMINA 2025–2026</t>
        </is>
      </c>
    </row>
    <row r="2" ht="19.5" customHeight="1" s="149">
      <c r="A2" s="151" t="inlineStr">
        <is>
          <t>Total pagado: calculado automáticamente</t>
        </is>
      </c>
    </row>
    <row r="3" ht="27.75" customHeight="1" s="149">
      <c r="A3" s="48" t="inlineStr">
        <is>
          <t>PERÍODO</t>
        </is>
      </c>
      <c r="B3" s="48" t="inlineStr">
        <is>
          <t>AÑO</t>
        </is>
      </c>
      <c r="C3" s="48" t="inlineStr">
        <is>
          <t>EMPLEADO</t>
        </is>
      </c>
      <c r="D3" s="48" t="inlineStr">
        <is>
          <t>CARGO</t>
        </is>
      </c>
      <c r="E3" s="48" t="inlineStr">
        <is>
          <t>SALARIO BASE RD$</t>
        </is>
      </c>
      <c r="F3" s="49" t="inlineStr">
        <is>
          <t>COMISIONES RD$</t>
        </is>
      </c>
      <c r="G3" s="48" t="inlineStr">
        <is>
          <t>DESCUENTOS RD$</t>
        </is>
      </c>
      <c r="H3" s="48" t="inlineStr">
        <is>
          <t>NETO PAGADO RD$</t>
        </is>
      </c>
    </row>
    <row r="4" ht="21.75" customHeight="1" s="149">
      <c r="A4" s="9" t="inlineStr">
        <is>
          <t>Agosto</t>
        </is>
      </c>
      <c r="B4" s="9" t="n">
        <v>2025</v>
      </c>
      <c r="C4" s="9" t="inlineStr">
        <is>
          <t>Alexander Ramírez</t>
        </is>
      </c>
      <c r="D4" s="9" t="inlineStr">
        <is>
          <t>Groomer (peluquero)</t>
        </is>
      </c>
      <c r="E4" s="50" t="n">
        <v>25000</v>
      </c>
      <c r="F4" s="51" t="n">
        <v>0</v>
      </c>
      <c r="G4" s="52" t="n">
        <v>0</v>
      </c>
      <c r="H4" s="57">
        <f>E4+F4-G4</f>
        <v/>
      </c>
    </row>
    <row r="5" ht="21.75" customHeight="1" s="149">
      <c r="A5" s="17" t="inlineStr">
        <is>
          <t>Agosto</t>
        </is>
      </c>
      <c r="B5" s="17" t="n">
        <v>2025</v>
      </c>
      <c r="C5" s="17" t="inlineStr">
        <is>
          <t>Laura de los Santos</t>
        </is>
      </c>
      <c r="D5" s="17" t="inlineStr">
        <is>
          <t>Administradora</t>
        </is>
      </c>
      <c r="E5" s="54" t="n">
        <v>30000</v>
      </c>
      <c r="F5" s="55" t="n">
        <v>0</v>
      </c>
      <c r="G5" s="54" t="n">
        <v>0</v>
      </c>
      <c r="H5" s="58">
        <f>E5+F5-G5</f>
        <v/>
      </c>
    </row>
    <row r="6" ht="21.75" customHeight="1" s="149">
      <c r="A6" s="9" t="inlineStr">
        <is>
          <t>Septiembre</t>
        </is>
      </c>
      <c r="B6" s="9" t="n">
        <v>2025</v>
      </c>
      <c r="C6" s="9" t="inlineStr">
        <is>
          <t>Alexander Ramírez</t>
        </is>
      </c>
      <c r="D6" s="9" t="inlineStr">
        <is>
          <t>Groomer (peluquero)</t>
        </is>
      </c>
      <c r="E6" s="14" t="n">
        <v>25000</v>
      </c>
      <c r="F6" s="14" t="n">
        <v>0</v>
      </c>
      <c r="G6" s="14" t="n">
        <v>0</v>
      </c>
      <c r="H6" s="57">
        <f>E6+F6-G6</f>
        <v/>
      </c>
    </row>
    <row r="7" ht="21.75" customHeight="1" s="149">
      <c r="A7" s="17" t="inlineStr">
        <is>
          <t>Septiembre</t>
        </is>
      </c>
      <c r="B7" s="17" t="n">
        <v>2025</v>
      </c>
      <c r="C7" s="17" t="inlineStr">
        <is>
          <t>Laura de los Santos</t>
        </is>
      </c>
      <c r="D7" s="17" t="inlineStr">
        <is>
          <t>Administradora</t>
        </is>
      </c>
      <c r="E7" s="54" t="n">
        <v>30000</v>
      </c>
      <c r="F7" s="54" t="n">
        <v>0</v>
      </c>
      <c r="G7" s="54" t="n">
        <v>0</v>
      </c>
      <c r="H7" s="58">
        <f>E7+F7-G7</f>
        <v/>
      </c>
      <c r="I7" s="59" t="n"/>
    </row>
    <row r="8" ht="21.75" customHeight="1" s="149">
      <c r="A8" s="9" t="inlineStr">
        <is>
          <t>Octubre</t>
        </is>
      </c>
      <c r="B8" s="9" t="n">
        <v>2025</v>
      </c>
      <c r="C8" s="9" t="inlineStr">
        <is>
          <t>Alexander Ramírez</t>
        </is>
      </c>
      <c r="D8" s="9" t="inlineStr">
        <is>
          <t>Groomer (peluquero)</t>
        </is>
      </c>
      <c r="E8" s="14" t="n">
        <v>25000</v>
      </c>
      <c r="F8" s="14" t="n">
        <v>0</v>
      </c>
      <c r="G8" s="14" t="n">
        <v>0</v>
      </c>
      <c r="H8" s="57">
        <f>E8+F8-G8</f>
        <v/>
      </c>
    </row>
    <row r="9" ht="21.75" customHeight="1" s="149">
      <c r="A9" s="17" t="inlineStr">
        <is>
          <t>Octubre</t>
        </is>
      </c>
      <c r="B9" s="17" t="n">
        <v>2025</v>
      </c>
      <c r="C9" s="17" t="inlineStr">
        <is>
          <t>Laura de los Santos</t>
        </is>
      </c>
      <c r="D9" s="17" t="inlineStr">
        <is>
          <t>Administradora</t>
        </is>
      </c>
      <c r="E9" s="54" t="n">
        <v>30000</v>
      </c>
      <c r="F9" s="54" t="n">
        <v>0</v>
      </c>
      <c r="G9" s="54" t="n">
        <v>0</v>
      </c>
      <c r="H9" s="58">
        <f>E9+F9-G9</f>
        <v/>
      </c>
    </row>
    <row r="10" ht="25.5" customHeight="1" s="149">
      <c r="A10" s="60" t="inlineStr">
        <is>
          <t>Noviembre</t>
        </is>
      </c>
      <c r="B10" s="60" t="n">
        <v>2025</v>
      </c>
      <c r="C10" s="60" t="inlineStr">
        <is>
          <t>Alexander Ramírez</t>
        </is>
      </c>
      <c r="D10" s="60" t="inlineStr">
        <is>
          <t>Groomer (peluquero)</t>
        </is>
      </c>
      <c r="E10" s="60" t="n">
        <v>25000</v>
      </c>
      <c r="F10" s="60" t="n">
        <v>0</v>
      </c>
      <c r="G10" s="60" t="n">
        <v>0</v>
      </c>
      <c r="H10" s="61">
        <f>E10+F10-G10</f>
        <v/>
      </c>
    </row>
    <row r="11">
      <c r="A11" s="0" t="inlineStr">
        <is>
          <t>Noviembre</t>
        </is>
      </c>
      <c r="B11" s="0" t="n">
        <v>2025</v>
      </c>
      <c r="C11" s="0" t="inlineStr">
        <is>
          <t>Laura de los Santos</t>
        </is>
      </c>
      <c r="D11" s="0" t="inlineStr">
        <is>
          <t>Administradora</t>
        </is>
      </c>
      <c r="E11" s="0" t="n">
        <v>30000</v>
      </c>
      <c r="F11" s="0" t="n">
        <v>0</v>
      </c>
      <c r="G11" s="0" t="n">
        <v>0</v>
      </c>
      <c r="H11" s="0">
        <f>E11+F11-G11</f>
        <v/>
      </c>
    </row>
    <row r="12">
      <c r="A12" s="0" t="inlineStr">
        <is>
          <t>Diciembre</t>
        </is>
      </c>
      <c r="B12" s="0" t="n">
        <v>2025</v>
      </c>
      <c r="C12" s="0" t="inlineStr">
        <is>
          <t>Alexander Ramírez</t>
        </is>
      </c>
      <c r="D12" s="0" t="inlineStr">
        <is>
          <t>Groomer (peluquero)</t>
        </is>
      </c>
      <c r="E12" s="0" t="n">
        <v>25000</v>
      </c>
      <c r="F12" s="0" t="n">
        <v>0</v>
      </c>
      <c r="G12" s="0" t="n">
        <v>0</v>
      </c>
      <c r="H12" s="0">
        <f>E12+F12-G12</f>
        <v/>
      </c>
    </row>
    <row r="13">
      <c r="A13" s="0" t="inlineStr">
        <is>
          <t>Diciembre</t>
        </is>
      </c>
      <c r="B13" s="0" t="n">
        <v>2025</v>
      </c>
      <c r="C13" s="0" t="inlineStr">
        <is>
          <t>Laura de los Santos</t>
        </is>
      </c>
      <c r="D13" s="0" t="inlineStr">
        <is>
          <t>Administradora</t>
        </is>
      </c>
      <c r="E13" s="0" t="n">
        <v>30000</v>
      </c>
      <c r="F13" s="0" t="n">
        <v>0</v>
      </c>
      <c r="G13" s="0" t="n">
        <v>0</v>
      </c>
      <c r="H13" s="0">
        <f>E13+F13-G13</f>
        <v/>
      </c>
    </row>
    <row r="14">
      <c r="A14" s="0" t="inlineStr">
        <is>
          <t>Enero</t>
        </is>
      </c>
      <c r="B14" s="0" t="n">
        <v>2026</v>
      </c>
      <c r="C14" s="0" t="inlineStr">
        <is>
          <t>Aylein Santiago</t>
        </is>
      </c>
      <c r="D14" s="0" t="inlineStr">
        <is>
          <t>Médico veterinario</t>
        </is>
      </c>
      <c r="E14" s="0" t="n">
        <v>25000</v>
      </c>
      <c r="F14" s="0" t="n">
        <v>6417</v>
      </c>
      <c r="G14" s="0" t="n">
        <v>0</v>
      </c>
      <c r="H14" s="0">
        <f>E14+F14-G14</f>
        <v/>
      </c>
    </row>
    <row r="15">
      <c r="A15" s="0" t="inlineStr">
        <is>
          <t>Enero</t>
        </is>
      </c>
      <c r="B15" s="0" t="n">
        <v>2026</v>
      </c>
      <c r="C15" s="0" t="inlineStr">
        <is>
          <t>Alexander Ramírez</t>
        </is>
      </c>
      <c r="D15" s="0" t="inlineStr">
        <is>
          <t>Groomer (peluquero)</t>
        </is>
      </c>
      <c r="E15" s="0" t="n">
        <v>25000</v>
      </c>
      <c r="F15" s="0" t="n">
        <v>8437</v>
      </c>
      <c r="G15" s="0" t="n">
        <v>4500</v>
      </c>
      <c r="H15" s="0">
        <f>E15+F15-G15</f>
        <v/>
      </c>
    </row>
    <row r="16">
      <c r="A16" s="0" t="inlineStr">
        <is>
          <t>Enero</t>
        </is>
      </c>
      <c r="B16" s="0" t="n">
        <v>2026</v>
      </c>
      <c r="C16" s="0" t="inlineStr">
        <is>
          <t>Laura de los Santos</t>
        </is>
      </c>
      <c r="D16" s="0" t="inlineStr">
        <is>
          <t>Administradora</t>
        </is>
      </c>
      <c r="E16" s="0" t="n">
        <v>30000</v>
      </c>
      <c r="F16" s="0" t="n">
        <v>0</v>
      </c>
      <c r="G16" s="0" t="n">
        <v>0</v>
      </c>
      <c r="H16" s="0">
        <f>E16+F16-G16</f>
        <v/>
      </c>
    </row>
    <row r="17">
      <c r="A17" s="0" t="inlineStr">
        <is>
          <t>Febrero</t>
        </is>
      </c>
      <c r="B17" s="0" t="n">
        <v>2026</v>
      </c>
      <c r="C17" s="0" t="inlineStr">
        <is>
          <t>Aylein Santiago</t>
        </is>
      </c>
      <c r="D17" s="0" t="inlineStr">
        <is>
          <t>Médico veterinario</t>
        </is>
      </c>
      <c r="E17" s="0" t="n">
        <v>6000</v>
      </c>
      <c r="F17" s="0" t="n">
        <v>6268</v>
      </c>
      <c r="G17" s="0" t="n">
        <v>0</v>
      </c>
      <c r="H17" s="0">
        <f>E17+F17-G17</f>
        <v/>
      </c>
    </row>
    <row r="18">
      <c r="A18" s="0" t="inlineStr">
        <is>
          <t>Febrero</t>
        </is>
      </c>
      <c r="B18" s="0" t="n">
        <v>2026</v>
      </c>
      <c r="C18" s="0" t="inlineStr">
        <is>
          <t>Alexander Ramírez</t>
        </is>
      </c>
      <c r="D18" s="0" t="inlineStr">
        <is>
          <t>Groomer (peluquero)</t>
        </is>
      </c>
      <c r="E18" s="0" t="n">
        <v>25000</v>
      </c>
      <c r="F18" s="0" t="n">
        <v>7310</v>
      </c>
      <c r="G18" s="0" t="n">
        <v>8500</v>
      </c>
      <c r="H18" s="0">
        <f>E18+F18-G18</f>
        <v/>
      </c>
    </row>
    <row r="19">
      <c r="A19" s="0" t="inlineStr">
        <is>
          <t>Febrero</t>
        </is>
      </c>
      <c r="B19" s="0" t="n">
        <v>2026</v>
      </c>
      <c r="C19" s="0" t="inlineStr">
        <is>
          <t>Laura de los Santos</t>
        </is>
      </c>
      <c r="D19" s="0" t="inlineStr">
        <is>
          <t>Administradora</t>
        </is>
      </c>
      <c r="E19" s="0" t="n">
        <v>30000</v>
      </c>
      <c r="F19" s="0" t="n">
        <v>0</v>
      </c>
      <c r="G19" s="0" t="n">
        <v>0</v>
      </c>
      <c r="H19" s="0">
        <f>E19+F19-G19</f>
        <v/>
      </c>
    </row>
    <row r="20">
      <c r="A20" s="0" t="inlineStr">
        <is>
          <t>Marzo</t>
        </is>
      </c>
      <c r="B20" s="0" t="n">
        <v>2026</v>
      </c>
      <c r="C20" s="0" t="inlineStr">
        <is>
          <t>Aylein Santiago</t>
        </is>
      </c>
      <c r="D20" s="0" t="inlineStr">
        <is>
          <t>Médico veterinario</t>
        </is>
      </c>
      <c r="E20" s="0" t="n">
        <v>0</v>
      </c>
      <c r="F20" s="0" t="n">
        <v>0</v>
      </c>
      <c r="G20" s="0" t="n">
        <v>0</v>
      </c>
      <c r="H20" s="0">
        <f>E20+F20-G20</f>
        <v/>
      </c>
    </row>
    <row r="21" ht="15.75" customHeight="1" s="149">
      <c r="A21" s="0" t="inlineStr">
        <is>
          <t>Marzo</t>
        </is>
      </c>
      <c r="B21" s="0" t="n">
        <v>2026</v>
      </c>
      <c r="C21" s="0" t="inlineStr">
        <is>
          <t>Alexander Ramírez</t>
        </is>
      </c>
      <c r="D21" s="0" t="inlineStr">
        <is>
          <t>Groomer (peluquero)</t>
        </is>
      </c>
      <c r="E21" s="0" t="n">
        <v>0</v>
      </c>
      <c r="F21" s="0" t="n">
        <v>0</v>
      </c>
      <c r="G21" s="0" t="n">
        <v>0</v>
      </c>
      <c r="H21" s="0">
        <f>E21+F21-G21</f>
        <v/>
      </c>
    </row>
    <row r="22" ht="15.75" customHeight="1" s="149">
      <c r="A22" s="0" t="inlineStr">
        <is>
          <t>Marzo</t>
        </is>
      </c>
      <c r="B22" s="0" t="n">
        <v>2026</v>
      </c>
      <c r="C22" s="0" t="inlineStr">
        <is>
          <t>Laura de los Santos</t>
        </is>
      </c>
      <c r="D22" s="0" t="inlineStr">
        <is>
          <t>Administradora</t>
        </is>
      </c>
      <c r="E22" s="0" t="n">
        <v>30000</v>
      </c>
      <c r="F22" s="0" t="n">
        <v>0</v>
      </c>
      <c r="G22" s="0" t="n">
        <v>0</v>
      </c>
      <c r="H22" s="0">
        <f>E22+F22-G22</f>
        <v/>
      </c>
    </row>
    <row r="23" ht="15.75" customHeight="1" s="149">
      <c r="A23" s="0" t="inlineStr">
        <is>
          <t>Marzo</t>
        </is>
      </c>
      <c r="B23" s="0" t="n">
        <v>2026</v>
      </c>
      <c r="C23" s="0" t="inlineStr">
        <is>
          <t>Valentina (Dra.)</t>
        </is>
      </c>
      <c r="D23" s="0" t="inlineStr">
        <is>
          <t>Médico veterinario (comisiones)</t>
        </is>
      </c>
      <c r="E23" s="0" t="n">
        <v>0</v>
      </c>
      <c r="F23" s="0" t="n">
        <v>0</v>
      </c>
      <c r="G23" s="0" t="n">
        <v>0</v>
      </c>
      <c r="H23" s="0">
        <f>E23+F23-G23</f>
        <v/>
      </c>
    </row>
    <row r="24" ht="15.75" customHeight="1" s="149">
      <c r="A24" s="171" t="inlineStr">
        <is>
          <t>TOTAL NÓMINA</t>
        </is>
      </c>
      <c r="H24" s="171">
        <f>SUM(H4:H23)</f>
        <v/>
      </c>
    </row>
    <row r="25" ht="15.75" customHeight="1" s="149"/>
    <row r="26" ht="15.75" customHeight="1" s="149">
      <c r="A26" s="172" t="inlineStr">
        <is>
          <t>⚠️ NOTA: Dra. Valentina = solo comisiones (40% por procedimiento). Llenar columna COMISIONES mes a mes.</t>
        </is>
      </c>
    </row>
    <row r="27" ht="15.75" customHeight="1" s="149">
      <c r="A27" s="173" t="inlineStr">
        <is>
          <t>⚠️ NOTA: Laura de los Santos en equipo desde Agosto 2025. RD$30,000/mes fijo.</t>
        </is>
      </c>
    </row>
    <row r="28" ht="15.75" customHeight="1" s="149"/>
    <row r="29" ht="15.75" customHeight="1" s="149"/>
    <row r="30" ht="15.75" customHeight="1" s="149"/>
    <row r="31" ht="15.75" customHeight="1" s="149"/>
    <row r="32" ht="15.75" customHeight="1" s="149"/>
    <row r="33" ht="15.75" customHeight="1" s="149"/>
    <row r="34" ht="15.75" customHeight="1" s="149"/>
    <row r="35" ht="15.75" customHeight="1" s="149"/>
    <row r="36" ht="15.75" customHeight="1" s="149"/>
    <row r="37" ht="15.75" customHeight="1" s="149"/>
    <row r="38" ht="15.75" customHeight="1" s="149"/>
    <row r="39" ht="15.75" customHeight="1" s="149"/>
    <row r="40" ht="15.75" customHeight="1" s="149"/>
    <row r="41" ht="15.75" customHeight="1" s="149"/>
    <row r="42" ht="15.75" customHeight="1" s="149"/>
    <row r="43" ht="15.75" customHeight="1" s="149"/>
    <row r="44" ht="15.75" customHeight="1" s="149"/>
    <row r="45" ht="15.75" customHeight="1" s="149"/>
    <row r="46" ht="15.75" customHeight="1" s="149"/>
    <row r="47" ht="15.75" customHeight="1" s="149"/>
    <row r="48" ht="15.75" customHeight="1" s="149"/>
    <row r="49" ht="15.75" customHeight="1" s="149"/>
    <row r="50" ht="15.75" customHeight="1" s="149"/>
    <row r="51" ht="15.75" customHeight="1" s="149"/>
    <row r="52" ht="15.75" customHeight="1" s="149"/>
    <row r="53" ht="15.75" customHeight="1" s="149"/>
    <row r="54" ht="15.75" customHeight="1" s="149"/>
    <row r="55" ht="15.75" customHeight="1" s="149"/>
    <row r="56" ht="15.75" customHeight="1" s="149"/>
    <row r="57" ht="15.75" customHeight="1" s="149"/>
    <row r="58" ht="15.75" customHeight="1" s="149"/>
    <row r="59" ht="15.75" customHeight="1" s="149"/>
    <row r="60" ht="15.75" customHeight="1" s="149"/>
    <row r="61" ht="15.75" customHeight="1" s="149"/>
    <row r="62" ht="15.75" customHeight="1" s="149"/>
    <row r="63" ht="15.75" customHeight="1" s="149"/>
    <row r="64" ht="15.75" customHeight="1" s="149"/>
    <row r="65" ht="15.75" customHeight="1" s="149"/>
    <row r="66" ht="15.75" customHeight="1" s="149"/>
    <row r="67" ht="15.75" customHeight="1" s="149"/>
    <row r="68" ht="15.75" customHeight="1" s="149"/>
    <row r="69" ht="15.75" customHeight="1" s="149"/>
    <row r="70" ht="15.75" customHeight="1" s="149"/>
    <row r="71" ht="15.75" customHeight="1" s="149"/>
    <row r="72" ht="15.75" customHeight="1" s="149"/>
    <row r="73" ht="15.75" customHeight="1" s="149"/>
    <row r="74" ht="15.75" customHeight="1" s="149"/>
    <row r="75" ht="15.75" customHeight="1" s="149"/>
    <row r="76" ht="15.75" customHeight="1" s="149"/>
    <row r="77" ht="15.75" customHeight="1" s="149"/>
    <row r="78" ht="15.75" customHeight="1" s="149"/>
    <row r="79" ht="15.75" customHeight="1" s="149"/>
    <row r="80" ht="15.75" customHeight="1" s="149"/>
    <row r="81" ht="15.75" customHeight="1" s="149"/>
    <row r="82" ht="15.75" customHeight="1" s="149"/>
    <row r="83" ht="15.75" customHeight="1" s="149"/>
    <row r="84" ht="15.75" customHeight="1" s="149"/>
    <row r="85" ht="15.75" customHeight="1" s="149"/>
    <row r="86" ht="15.75" customHeight="1" s="149"/>
    <row r="87" ht="15.75" customHeight="1" s="149"/>
    <row r="88" ht="15.75" customHeight="1" s="149"/>
    <row r="89" ht="15.75" customHeight="1" s="149"/>
    <row r="90" ht="15.75" customHeight="1" s="149"/>
    <row r="91" ht="15.75" customHeight="1" s="149"/>
    <row r="92" ht="15.75" customHeight="1" s="149"/>
    <row r="93" ht="15.75" customHeight="1" s="149"/>
    <row r="94" ht="15.75" customHeight="1" s="149"/>
    <row r="95" ht="15.75" customHeight="1" s="149"/>
    <row r="96" ht="15.75" customHeight="1" s="149"/>
    <row r="97" ht="15.75" customHeight="1" s="149"/>
    <row r="98" ht="15.75" customHeight="1" s="149"/>
    <row r="99" ht="15.75" customHeight="1" s="149"/>
    <row r="100" ht="15.75" customHeight="1" s="149"/>
    <row r="101" ht="15.75" customHeight="1" s="149"/>
    <row r="102" ht="15.75" customHeight="1" s="149"/>
    <row r="103" ht="15.75" customHeight="1" s="149"/>
    <row r="104" ht="15.75" customHeight="1" s="149"/>
    <row r="105" ht="15.75" customHeight="1" s="149"/>
    <row r="106" ht="15.75" customHeight="1" s="149"/>
    <row r="107" ht="15.75" customHeight="1" s="149"/>
    <row r="108" ht="15.75" customHeight="1" s="149"/>
    <row r="109" ht="15.75" customHeight="1" s="149"/>
    <row r="110" ht="15.75" customHeight="1" s="149"/>
    <row r="111" ht="15.75" customHeight="1" s="149"/>
    <row r="112" ht="15.75" customHeight="1" s="149"/>
    <row r="113" ht="15.75" customHeight="1" s="149"/>
    <row r="114" ht="15.75" customHeight="1" s="149"/>
    <row r="115" ht="15.75" customHeight="1" s="149"/>
    <row r="116" ht="15.75" customHeight="1" s="149"/>
    <row r="117" ht="15.75" customHeight="1" s="149"/>
    <row r="118" ht="15.75" customHeight="1" s="149"/>
    <row r="119" ht="15.75" customHeight="1" s="149"/>
    <row r="120" ht="15.75" customHeight="1" s="149"/>
    <row r="121" ht="15.75" customHeight="1" s="149"/>
    <row r="122" ht="15.75" customHeight="1" s="149"/>
    <row r="123" ht="15.75" customHeight="1" s="149"/>
    <row r="124" ht="15.75" customHeight="1" s="149"/>
    <row r="125" ht="15.75" customHeight="1" s="149"/>
    <row r="126" ht="15.75" customHeight="1" s="149"/>
    <row r="127" ht="15.75" customHeight="1" s="149"/>
    <row r="128" ht="15.75" customHeight="1" s="149"/>
    <row r="129" ht="15.75" customHeight="1" s="149"/>
    <row r="130" ht="15.75" customHeight="1" s="149"/>
    <row r="131" ht="15.75" customHeight="1" s="149"/>
    <row r="132" ht="15.75" customHeight="1" s="149"/>
    <row r="133" ht="15.75" customHeight="1" s="149"/>
    <row r="134" ht="15.75" customHeight="1" s="149"/>
    <row r="135" ht="15.75" customHeight="1" s="149"/>
    <row r="136" ht="15.75" customHeight="1" s="149"/>
    <row r="137" ht="15.75" customHeight="1" s="149"/>
    <row r="138" ht="15.75" customHeight="1" s="149"/>
    <row r="139" ht="15.75" customHeight="1" s="149"/>
    <row r="140" ht="15.75" customHeight="1" s="149"/>
    <row r="141" ht="15.75" customHeight="1" s="149"/>
    <row r="142" ht="15.75" customHeight="1" s="149"/>
    <row r="143" ht="15.75" customHeight="1" s="149"/>
    <row r="144" ht="15.75" customHeight="1" s="149"/>
    <row r="145" ht="15.75" customHeight="1" s="149"/>
    <row r="146" ht="15.75" customHeight="1" s="149"/>
    <row r="147" ht="15.75" customHeight="1" s="149"/>
    <row r="148" ht="15.75" customHeight="1" s="149"/>
    <row r="149" ht="15.75" customHeight="1" s="149"/>
    <row r="150" ht="15.75" customHeight="1" s="149"/>
    <row r="151" ht="15.75" customHeight="1" s="149"/>
    <row r="152" ht="15.75" customHeight="1" s="149"/>
    <row r="153" ht="15.75" customHeight="1" s="149"/>
    <row r="154" ht="15.75" customHeight="1" s="149"/>
    <row r="155" ht="15.75" customHeight="1" s="149"/>
    <row r="156" ht="15.75" customHeight="1" s="149"/>
    <row r="157" ht="15.75" customHeight="1" s="149"/>
    <row r="158" ht="15.75" customHeight="1" s="149"/>
    <row r="159" ht="15.75" customHeight="1" s="149"/>
    <row r="160" ht="15.75" customHeight="1" s="149"/>
    <row r="161" ht="15.75" customHeight="1" s="149"/>
    <row r="162" ht="15.75" customHeight="1" s="149"/>
    <row r="163" ht="15.75" customHeight="1" s="149"/>
    <row r="164" ht="15.75" customHeight="1" s="149"/>
    <row r="165" ht="15.75" customHeight="1" s="149"/>
    <row r="166" ht="15.75" customHeight="1" s="149"/>
    <row r="167" ht="15.75" customHeight="1" s="149"/>
    <row r="168" ht="15.75" customHeight="1" s="149"/>
    <row r="169" ht="15.75" customHeight="1" s="149"/>
    <row r="170" ht="15.75" customHeight="1" s="149"/>
    <row r="171" ht="15.75" customHeight="1" s="149"/>
    <row r="172" ht="15.75" customHeight="1" s="149"/>
    <row r="173" ht="15.75" customHeight="1" s="149"/>
    <row r="174" ht="15.75" customHeight="1" s="149"/>
    <row r="175" ht="15.75" customHeight="1" s="149"/>
    <row r="176" ht="15.75" customHeight="1" s="149"/>
    <row r="177" ht="15.75" customHeight="1" s="149"/>
    <row r="178" ht="15.75" customHeight="1" s="149"/>
    <row r="179" ht="15.75" customHeight="1" s="149"/>
    <row r="180" ht="15.75" customHeight="1" s="149"/>
    <row r="181" ht="15.75" customHeight="1" s="149"/>
    <row r="182" ht="15.75" customHeight="1" s="149"/>
    <row r="183" ht="15.75" customHeight="1" s="149"/>
    <row r="184" ht="15.75" customHeight="1" s="149"/>
    <row r="185" ht="15.75" customHeight="1" s="149"/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2">
    <mergeCell ref="A2:H2"/>
    <mergeCell ref="A1:H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tabColor rgb="FFF59E0B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ColWidth="14.43" defaultRowHeight="15" customHeight="1"/>
  <cols>
    <col width="14" customWidth="1" style="149" min="1" max="2"/>
    <col width="18" customWidth="1" style="149" min="3" max="4"/>
    <col width="20" customWidth="1" style="149" min="5" max="5"/>
    <col width="14" customWidth="1" style="149" min="6" max="6"/>
    <col width="18" customWidth="1" style="149" min="7" max="7"/>
    <col width="16" customWidth="1" style="149" min="8" max="8"/>
    <col width="8.710000000000001" customWidth="1" style="149" min="9" max="26"/>
  </cols>
  <sheetData>
    <row r="1" ht="39.75" customHeight="1" s="149">
      <c r="A1" s="150" t="inlineStr">
        <is>
          <t>🐾 PetColinas — CUADRE DE CAJA</t>
        </is>
      </c>
    </row>
    <row r="2" ht="19.5" customHeight="1" s="149">
      <c r="A2" s="151" t="inlineStr">
        <is>
          <t>Control de efectivo y depósitos bancarios 2025–2026</t>
        </is>
      </c>
    </row>
    <row r="3" ht="27.75" customHeight="1" s="149">
      <c r="A3" s="62" t="inlineStr">
        <is>
          <t>MES</t>
        </is>
      </c>
      <c r="B3" s="62" t="inlineStr">
        <is>
          <t>FECHA CIERRE</t>
        </is>
      </c>
      <c r="C3" s="62" t="inlineStr">
        <is>
          <t>CAJA CHICA RD$</t>
        </is>
      </c>
      <c r="D3" s="62" t="inlineStr">
        <is>
          <t>RETIRADO RD$</t>
        </is>
      </c>
      <c r="E3" s="62" t="inlineStr">
        <is>
          <t>DEJADO EN CAJA RD$</t>
        </is>
      </c>
      <c r="F3" s="62" t="inlineStr">
        <is>
          <t>FECHA DEPÓSITO</t>
        </is>
      </c>
      <c r="G3" s="62" t="inlineStr">
        <is>
          <t>DEPOSITADO RD$</t>
        </is>
      </c>
      <c r="H3" s="62" t="inlineStr">
        <is>
          <t>BANCO</t>
        </is>
      </c>
    </row>
    <row r="4" ht="21.75" customHeight="1" s="149">
      <c r="A4" s="9" t="inlineStr">
        <is>
          <t>2025-12</t>
        </is>
      </c>
      <c r="B4" s="9" t="inlineStr">
        <is>
          <t>2025-12-30</t>
        </is>
      </c>
      <c r="C4" s="14" t="n">
        <v>24050</v>
      </c>
      <c r="D4" s="14" t="n">
        <v>23000</v>
      </c>
      <c r="E4" s="14" t="n">
        <v>1050</v>
      </c>
      <c r="F4" s="9" t="inlineStr">
        <is>
          <t>2026-01-19</t>
        </is>
      </c>
      <c r="G4" s="14" t="n">
        <v>23000</v>
      </c>
      <c r="H4" s="9" t="inlineStr">
        <is>
          <t>RESERVAS</t>
        </is>
      </c>
    </row>
    <row r="5" ht="21.75" customHeight="1" s="149">
      <c r="A5" s="17" t="inlineStr">
        <is>
          <t xml:space="preserve">ENERO </t>
        </is>
      </c>
      <c r="B5" s="17" t="inlineStr">
        <is>
          <t>2026-01-08</t>
        </is>
      </c>
      <c r="C5" s="54" t="n">
        <v>4500</v>
      </c>
      <c r="D5" s="54" t="n">
        <v>3000</v>
      </c>
      <c r="E5" s="54" t="n">
        <v>1500</v>
      </c>
      <c r="F5" s="17" t="inlineStr">
        <is>
          <t>2026-01-16</t>
        </is>
      </c>
      <c r="G5" s="54" t="n">
        <v>17000</v>
      </c>
      <c r="H5" s="17" t="inlineStr">
        <is>
          <t>RESERVAS</t>
        </is>
      </c>
    </row>
    <row r="6" ht="21.75" customHeight="1" s="149">
      <c r="A6" s="9" t="n"/>
      <c r="B6" s="9" t="inlineStr">
        <is>
          <t>2026-01-11</t>
        </is>
      </c>
      <c r="C6" s="14" t="n">
        <v>5950</v>
      </c>
      <c r="D6" s="14" t="n">
        <v>4000</v>
      </c>
      <c r="E6" s="14" t="n">
        <v>1950</v>
      </c>
      <c r="F6" s="9" t="n"/>
      <c r="G6" s="14" t="n">
        <v>0</v>
      </c>
      <c r="H6" s="9" t="n"/>
    </row>
    <row r="7" ht="21.75" customHeight="1" s="149">
      <c r="A7" s="17" t="n"/>
      <c r="B7" s="17" t="inlineStr">
        <is>
          <t>2026-01-15</t>
        </is>
      </c>
      <c r="C7" s="54" t="n">
        <v>11800</v>
      </c>
      <c r="D7" s="54" t="n">
        <v>10000</v>
      </c>
      <c r="E7" s="54" t="n">
        <v>1800</v>
      </c>
      <c r="F7" s="17" t="n"/>
      <c r="G7" s="54" t="n">
        <v>0</v>
      </c>
      <c r="H7" s="17" t="n"/>
    </row>
    <row r="8" ht="21.75" customHeight="1" s="149">
      <c r="A8" s="9" t="n"/>
      <c r="B8" s="9" t="inlineStr">
        <is>
          <t>2026-01-22</t>
        </is>
      </c>
      <c r="C8" s="14" t="n">
        <v>1800</v>
      </c>
      <c r="D8" s="14" t="n">
        <v>0</v>
      </c>
      <c r="E8" s="14" t="n">
        <v>1800</v>
      </c>
      <c r="F8" s="9" t="n"/>
      <c r="G8" s="14" t="n">
        <v>0</v>
      </c>
      <c r="H8" s="9" t="n"/>
    </row>
    <row r="9" ht="21.75" customHeight="1" s="149">
      <c r="A9" s="17" t="n"/>
      <c r="B9" s="17" t="inlineStr">
        <is>
          <t>2026-01-24</t>
        </is>
      </c>
      <c r="C9" s="54" t="n">
        <v>10350</v>
      </c>
      <c r="D9" s="54" t="n">
        <v>0</v>
      </c>
      <c r="E9" s="54" t="n">
        <v>10350</v>
      </c>
      <c r="F9" s="17" t="n"/>
      <c r="G9" s="54" t="n">
        <v>0</v>
      </c>
      <c r="H9" s="17" t="n"/>
    </row>
    <row r="10" ht="21.75" customHeight="1" s="149">
      <c r="A10" s="9" t="inlineStr">
        <is>
          <t>FEBRERO</t>
        </is>
      </c>
      <c r="B10" s="9" t="inlineStr">
        <is>
          <t>2026-02-02</t>
        </is>
      </c>
      <c r="C10" s="14" t="n">
        <v>17600</v>
      </c>
      <c r="D10" s="14" t="n">
        <v>15300</v>
      </c>
      <c r="E10" s="14" t="n">
        <v>2300</v>
      </c>
      <c r="F10" s="9" t="inlineStr">
        <is>
          <t>2026-02-02</t>
        </is>
      </c>
      <c r="G10" s="14" t="n">
        <v>15300</v>
      </c>
      <c r="H10" s="9" t="inlineStr">
        <is>
          <t>RESERVAS</t>
        </is>
      </c>
    </row>
    <row r="11" ht="21.75" customHeight="1" s="149">
      <c r="A11" s="17" t="n"/>
      <c r="B11" s="17" t="inlineStr">
        <is>
          <t>2026-02-07</t>
        </is>
      </c>
      <c r="C11" s="54" t="n">
        <v>6300</v>
      </c>
      <c r="D11" s="54" t="n">
        <v>0</v>
      </c>
      <c r="E11" s="54" t="n">
        <v>6300</v>
      </c>
      <c r="F11" s="17" t="n"/>
      <c r="G11" s="54" t="n">
        <v>0</v>
      </c>
      <c r="H11" s="17" t="n"/>
    </row>
    <row r="12" ht="21.75" customHeight="1" s="149">
      <c r="A12" s="9" t="n"/>
      <c r="B12" s="9" t="inlineStr">
        <is>
          <t>2026-02-09</t>
        </is>
      </c>
      <c r="C12" s="14" t="n">
        <v>7050</v>
      </c>
      <c r="D12" s="14" t="n">
        <v>5800</v>
      </c>
      <c r="E12" s="14" t="n">
        <v>1550</v>
      </c>
      <c r="F12" s="9" t="n"/>
      <c r="G12" s="14" t="n">
        <v>0</v>
      </c>
      <c r="H12" s="9" t="n"/>
    </row>
    <row r="13" ht="21.75" customHeight="1" s="149">
      <c r="A13" s="17" t="n"/>
      <c r="B13" s="17" t="inlineStr">
        <is>
          <t>2026-02-21</t>
        </is>
      </c>
      <c r="C13" s="54" t="n">
        <v>6400</v>
      </c>
      <c r="D13" s="54" t="n">
        <v>0</v>
      </c>
      <c r="E13" s="54" t="n">
        <v>6400</v>
      </c>
      <c r="F13" s="17" t="n"/>
      <c r="G13" s="54" t="n">
        <v>0</v>
      </c>
      <c r="H13" s="17" t="n"/>
    </row>
    <row r="14" ht="21.75" customHeight="1" s="149">
      <c r="A14" s="9" t="n"/>
      <c r="B14" s="9" t="inlineStr">
        <is>
          <t>2026-02-22</t>
        </is>
      </c>
      <c r="C14" s="14" t="n">
        <v>7100</v>
      </c>
      <c r="D14" s="14" t="n">
        <v>5000</v>
      </c>
      <c r="E14" s="14" t="n">
        <v>2100</v>
      </c>
      <c r="F14" s="9" t="n"/>
      <c r="G14" s="14" t="n">
        <v>0</v>
      </c>
      <c r="H14" s="9" t="n"/>
    </row>
    <row r="15" ht="25.5" customHeight="1" s="149">
      <c r="A15" s="63" t="inlineStr">
        <is>
          <t>TOTAL</t>
        </is>
      </c>
      <c r="B15" s="63" t="n"/>
      <c r="C15" s="63" t="n"/>
      <c r="D15" s="63" t="n"/>
      <c r="E15" s="63" t="n"/>
      <c r="F15" s="63" t="n"/>
      <c r="G15" s="64">
        <f>SUM(G4:G14)</f>
        <v/>
      </c>
      <c r="H15" s="63" t="n"/>
    </row>
    <row r="21" ht="15.75" customHeight="1" s="149"/>
    <row r="22" ht="15.75" customHeight="1" s="149"/>
    <row r="23" ht="15.75" customHeight="1" s="149"/>
    <row r="24" ht="15.75" customHeight="1" s="149"/>
    <row r="25" ht="15.75" customHeight="1" s="149"/>
    <row r="26" ht="15.75" customHeight="1" s="149"/>
    <row r="27" ht="15.75" customHeight="1" s="149"/>
    <row r="28" ht="15.75" customHeight="1" s="149"/>
    <row r="29" ht="15.75" customHeight="1" s="149"/>
    <row r="30" ht="15.75" customHeight="1" s="149"/>
    <row r="31" ht="15.75" customHeight="1" s="149"/>
    <row r="32" ht="15.75" customHeight="1" s="149"/>
    <row r="33" ht="15.75" customHeight="1" s="149"/>
    <row r="34" ht="15.75" customHeight="1" s="149"/>
    <row r="35" ht="15.75" customHeight="1" s="149"/>
    <row r="36" ht="15.75" customHeight="1" s="149"/>
    <row r="37" ht="15.75" customHeight="1" s="149"/>
    <row r="38" ht="15.75" customHeight="1" s="149"/>
    <row r="39" ht="15.75" customHeight="1" s="149"/>
    <row r="40" ht="15.75" customHeight="1" s="149"/>
    <row r="41" ht="15.75" customHeight="1" s="149"/>
    <row r="42" ht="15.75" customHeight="1" s="149"/>
    <row r="43" ht="15.75" customHeight="1" s="149"/>
    <row r="44" ht="15.75" customHeight="1" s="149"/>
    <row r="45" ht="15.75" customHeight="1" s="149"/>
    <row r="46" ht="15.75" customHeight="1" s="149"/>
    <row r="47" ht="15.75" customHeight="1" s="149"/>
    <row r="48" ht="15.75" customHeight="1" s="149"/>
    <row r="49" ht="15.75" customHeight="1" s="149"/>
    <row r="50" ht="15.75" customHeight="1" s="149"/>
    <row r="51" ht="15.75" customHeight="1" s="149"/>
    <row r="52" ht="15.75" customHeight="1" s="149"/>
    <row r="53" ht="15.75" customHeight="1" s="149"/>
    <row r="54" ht="15.75" customHeight="1" s="149"/>
    <row r="55" ht="15.75" customHeight="1" s="149"/>
    <row r="56" ht="15.75" customHeight="1" s="149"/>
    <row r="57" ht="15.75" customHeight="1" s="149"/>
    <row r="58" ht="15.75" customHeight="1" s="149"/>
    <row r="59" ht="15.75" customHeight="1" s="149"/>
    <row r="60" ht="15.75" customHeight="1" s="149"/>
    <row r="61" ht="15.75" customHeight="1" s="149"/>
    <row r="62" ht="15.75" customHeight="1" s="149"/>
    <row r="63" ht="15.75" customHeight="1" s="149"/>
    <row r="64" ht="15.75" customHeight="1" s="149"/>
    <row r="65" ht="15.75" customHeight="1" s="149"/>
    <row r="66" ht="15.75" customHeight="1" s="149"/>
    <row r="67" ht="15.75" customHeight="1" s="149"/>
    <row r="68" ht="15.75" customHeight="1" s="149"/>
    <row r="69" ht="15.75" customHeight="1" s="149"/>
    <row r="70" ht="15.75" customHeight="1" s="149"/>
    <row r="71" ht="15.75" customHeight="1" s="149"/>
    <row r="72" ht="15.75" customHeight="1" s="149"/>
    <row r="73" ht="15.75" customHeight="1" s="149"/>
    <row r="74" ht="15.75" customHeight="1" s="149"/>
    <row r="75" ht="15.75" customHeight="1" s="149"/>
    <row r="76" ht="15.75" customHeight="1" s="149"/>
    <row r="77" ht="15.75" customHeight="1" s="149"/>
    <row r="78" ht="15.75" customHeight="1" s="149"/>
    <row r="79" ht="15.75" customHeight="1" s="149"/>
    <row r="80" ht="15.75" customHeight="1" s="149"/>
    <row r="81" ht="15.75" customHeight="1" s="149"/>
    <row r="82" ht="15.75" customHeight="1" s="149"/>
    <row r="83" ht="15.75" customHeight="1" s="149"/>
    <row r="84" ht="15.75" customHeight="1" s="149"/>
    <row r="85" ht="15.75" customHeight="1" s="149"/>
    <row r="86" ht="15.75" customHeight="1" s="149"/>
    <row r="87" ht="15.75" customHeight="1" s="149"/>
    <row r="88" ht="15.75" customHeight="1" s="149"/>
    <row r="89" ht="15.75" customHeight="1" s="149"/>
    <row r="90" ht="15.75" customHeight="1" s="149"/>
    <row r="91" ht="15.75" customHeight="1" s="149"/>
    <row r="92" ht="15.75" customHeight="1" s="149"/>
    <row r="93" ht="15.75" customHeight="1" s="149"/>
    <row r="94" ht="15.75" customHeight="1" s="149"/>
    <row r="95" ht="15.75" customHeight="1" s="149"/>
    <row r="96" ht="15.75" customHeight="1" s="149"/>
    <row r="97" ht="15.75" customHeight="1" s="149"/>
    <row r="98" ht="15.75" customHeight="1" s="149"/>
    <row r="99" ht="15.75" customHeight="1" s="149"/>
    <row r="100" ht="15.75" customHeight="1" s="149"/>
    <row r="101" ht="15.75" customHeight="1" s="149"/>
    <row r="102" ht="15.75" customHeight="1" s="149"/>
    <row r="103" ht="15.75" customHeight="1" s="149"/>
    <row r="104" ht="15.75" customHeight="1" s="149"/>
    <row r="105" ht="15.75" customHeight="1" s="149"/>
    <row r="106" ht="15.75" customHeight="1" s="149"/>
    <row r="107" ht="15.75" customHeight="1" s="149"/>
    <row r="108" ht="15.75" customHeight="1" s="149"/>
    <row r="109" ht="15.75" customHeight="1" s="149"/>
    <row r="110" ht="15.75" customHeight="1" s="149"/>
    <row r="111" ht="15.75" customHeight="1" s="149"/>
    <row r="112" ht="15.75" customHeight="1" s="149"/>
    <row r="113" ht="15.75" customHeight="1" s="149"/>
    <row r="114" ht="15.75" customHeight="1" s="149"/>
    <row r="115" ht="15.75" customHeight="1" s="149"/>
    <row r="116" ht="15.75" customHeight="1" s="149"/>
    <row r="117" ht="15.75" customHeight="1" s="149"/>
    <row r="118" ht="15.75" customHeight="1" s="149"/>
    <row r="119" ht="15.75" customHeight="1" s="149"/>
    <row r="120" ht="15.75" customHeight="1" s="149"/>
    <row r="121" ht="15.75" customHeight="1" s="149"/>
    <row r="122" ht="15.75" customHeight="1" s="149"/>
    <row r="123" ht="15.75" customHeight="1" s="149"/>
    <row r="124" ht="15.75" customHeight="1" s="149"/>
    <row r="125" ht="15.75" customHeight="1" s="149"/>
    <row r="126" ht="15.75" customHeight="1" s="149"/>
    <row r="127" ht="15.75" customHeight="1" s="149"/>
    <row r="128" ht="15.75" customHeight="1" s="149"/>
    <row r="129" ht="15.75" customHeight="1" s="149"/>
    <row r="130" ht="15.75" customHeight="1" s="149"/>
    <row r="131" ht="15.75" customHeight="1" s="149"/>
    <row r="132" ht="15.75" customHeight="1" s="149"/>
    <row r="133" ht="15.75" customHeight="1" s="149"/>
    <row r="134" ht="15.75" customHeight="1" s="149"/>
    <row r="135" ht="15.75" customHeight="1" s="149"/>
    <row r="136" ht="15.75" customHeight="1" s="149"/>
    <row r="137" ht="15.75" customHeight="1" s="149"/>
    <row r="138" ht="15.75" customHeight="1" s="149"/>
    <row r="139" ht="15.75" customHeight="1" s="149"/>
    <row r="140" ht="15.75" customHeight="1" s="149"/>
    <row r="141" ht="15.75" customHeight="1" s="149"/>
    <row r="142" ht="15.75" customHeight="1" s="149"/>
    <row r="143" ht="15.75" customHeight="1" s="149"/>
    <row r="144" ht="15.75" customHeight="1" s="149"/>
    <row r="145" ht="15.75" customHeight="1" s="149"/>
    <row r="146" ht="15.75" customHeight="1" s="149"/>
    <row r="147" ht="15.75" customHeight="1" s="149"/>
    <row r="148" ht="15.75" customHeight="1" s="149"/>
    <row r="149" ht="15.75" customHeight="1" s="149"/>
    <row r="150" ht="15.75" customHeight="1" s="149"/>
    <row r="151" ht="15.75" customHeight="1" s="149"/>
    <row r="152" ht="15.75" customHeight="1" s="149"/>
    <row r="153" ht="15.75" customHeight="1" s="149"/>
    <row r="154" ht="15.75" customHeight="1" s="149"/>
    <row r="155" ht="15.75" customHeight="1" s="149"/>
    <row r="156" ht="15.75" customHeight="1" s="149"/>
    <row r="157" ht="15.75" customHeight="1" s="149"/>
    <row r="158" ht="15.75" customHeight="1" s="149"/>
    <row r="159" ht="15.75" customHeight="1" s="149"/>
    <row r="160" ht="15.75" customHeight="1" s="149"/>
    <row r="161" ht="15.75" customHeight="1" s="149"/>
    <row r="162" ht="15.75" customHeight="1" s="149"/>
    <row r="163" ht="15.75" customHeight="1" s="149"/>
    <row r="164" ht="15.75" customHeight="1" s="149"/>
    <row r="165" ht="15.75" customHeight="1" s="149"/>
    <row r="166" ht="15.75" customHeight="1" s="149"/>
    <row r="167" ht="15.75" customHeight="1" s="149"/>
    <row r="168" ht="15.75" customHeight="1" s="149"/>
    <row r="169" ht="15.75" customHeight="1" s="149"/>
    <row r="170" ht="15.75" customHeight="1" s="149"/>
    <row r="171" ht="15.75" customHeight="1" s="149"/>
    <row r="172" ht="15.75" customHeight="1" s="149"/>
    <row r="173" ht="15.75" customHeight="1" s="149"/>
    <row r="174" ht="15.75" customHeight="1" s="149"/>
    <row r="175" ht="15.75" customHeight="1" s="149"/>
    <row r="176" ht="15.75" customHeight="1" s="149"/>
    <row r="177" ht="15.75" customHeight="1" s="149"/>
    <row r="178" ht="15.75" customHeight="1" s="149"/>
    <row r="179" ht="15.75" customHeight="1" s="149"/>
    <row r="180" ht="15.75" customHeight="1" s="149"/>
    <row r="181" ht="15.75" customHeight="1" s="149"/>
    <row r="182" ht="15.75" customHeight="1" s="149"/>
    <row r="183" ht="15.75" customHeight="1" s="149"/>
    <row r="184" ht="15.75" customHeight="1" s="149"/>
    <row r="185" ht="15.75" customHeight="1" s="149"/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2">
    <mergeCell ref="A2:H2"/>
    <mergeCell ref="A1:H1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tabColor rgb="FF4CAF73"/>
    <outlinePr summaryBelow="1" summaryRight="1"/>
    <pageSetUpPr/>
  </sheetPr>
  <dimension ref="A1:T2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B5" sqref="B5"/>
    </sheetView>
  </sheetViews>
  <sheetFormatPr baseColWidth="8" defaultColWidth="14.43" defaultRowHeight="15" customHeight="1"/>
  <cols>
    <col width="13" customWidth="1" style="149" min="1" max="1"/>
    <col width="5" customWidth="1" style="149" min="2" max="2"/>
    <col width="10" customWidth="1" style="149" min="3" max="5"/>
    <col width="10" customWidth="1" style="149" min="4" max="4"/>
    <col width="10" customWidth="1" style="149" min="5" max="5"/>
    <col width="8" customWidth="1" style="149" min="6" max="6"/>
    <col width="12" customWidth="1" style="149" min="7" max="7"/>
    <col width="2" customWidth="1" style="149" min="8" max="8"/>
    <col width="10" customWidth="1" style="149" min="9" max="9"/>
    <col width="11" customWidth="1" style="149" min="10" max="10"/>
    <col width="11" customWidth="1" style="149" min="11" max="12"/>
    <col width="10" customWidth="1" style="149" min="12" max="12"/>
    <col width="12" customWidth="1" style="149" min="13" max="26"/>
    <col width="10" customWidth="1" style="149" min="14" max="14"/>
    <col width="11" customWidth="1" style="149" min="15" max="15"/>
    <col width="9" customWidth="1" style="149" min="16" max="16"/>
    <col width="9" customWidth="1" style="149" min="17" max="17"/>
    <col width="13" customWidth="1" style="149" min="18" max="18"/>
    <col width="15" customWidth="1" style="149" min="19" max="19"/>
  </cols>
  <sheetData>
    <row r="1" ht="39.75" customHeight="1" s="149">
      <c r="A1" s="177" t="inlineStr">
        <is>
          <t>🐾 PetColinas — ESTADO DE RESULTADOS MENSUAL</t>
        </is>
      </c>
    </row>
    <row r="2" ht="19.5" customHeight="1" s="149">
      <c r="A2" s="178" t="inlineStr">
        <is>
          <t>Gastos fijos reales actualizados · PE = RD$203,739/mes · USD/RD$ = 60</t>
        </is>
      </c>
    </row>
    <row r="3" ht="27.75" customHeight="1" s="149">
      <c r="A3" s="25" t="n"/>
      <c r="B3" s="25" t="n"/>
      <c r="C3" s="179" t="inlineStr">
        <is>
          <t>─── INGRESOS ───</t>
        </is>
      </c>
      <c r="D3" s="180" t="n"/>
      <c r="E3" s="180" t="n"/>
      <c r="F3" s="180" t="n"/>
      <c r="G3" s="180" t="n"/>
      <c r="H3" s="181" t="n"/>
      <c r="I3" s="182" t="inlineStr">
        <is>
          <t>─────────────── EGRESOS DETALLADOS ───────────────</t>
        </is>
      </c>
      <c r="J3" s="180" t="n"/>
      <c r="K3" s="180" t="n"/>
      <c r="L3" s="180" t="n"/>
      <c r="M3" s="180" t="n"/>
      <c r="N3" s="180" t="n"/>
      <c r="O3" s="180" t="n"/>
      <c r="P3" s="180" t="n"/>
      <c r="Q3" s="181" t="n"/>
      <c r="R3" s="183" t="inlineStr">
        <is>
          <t>── RESULTADO ──</t>
        </is>
      </c>
    </row>
    <row r="4" ht="32" customHeight="1" s="149">
      <c r="A4" s="184" t="inlineStr">
        <is>
          <t>MES</t>
        </is>
      </c>
      <c r="B4" s="184" t="inlineStr">
        <is>
          <t>AÑO</t>
        </is>
      </c>
      <c r="C4" s="185" t="inlineStr">
        <is>
          <t>GROOMING</t>
        </is>
      </c>
      <c r="D4" s="185" t="inlineStr">
        <is>
          <t>VET.</t>
        </is>
      </c>
      <c r="E4" s="185" t="inlineStr">
        <is>
          <t>FARMACIA</t>
        </is>
      </c>
      <c r="F4" s="185" t="inlineStr">
        <is>
          <t>OTROS</t>
        </is>
      </c>
      <c r="G4" s="185" t="inlineStr">
        <is>
          <t>TOTAL ING.</t>
        </is>
      </c>
      <c r="H4" s="185" t="inlineStr">
        <is>
          <t>ALQUILER</t>
        </is>
      </c>
      <c r="I4" s="185" t="inlineStr">
        <is>
          <t>NÓM.BASE</t>
        </is>
      </c>
      <c r="J4" s="185" t="inlineStr">
        <is>
          <t>COMISIONES</t>
        </is>
      </c>
      <c r="K4" s="185" t="inlineStr">
        <is>
          <t>LIMPIEZA</t>
        </is>
      </c>
      <c r="L4" s="185" t="inlineStr">
        <is>
          <t>PUBLICIDAD
($USD)</t>
        </is>
      </c>
      <c r="M4" s="186" t="inlineStr">
        <is>
          <t>CLARO
TEL.</t>
        </is>
      </c>
      <c r="N4" s="186" t="inlineStr">
        <is>
          <t>INSUMOS
COMPRAS</t>
        </is>
      </c>
      <c r="O4" s="186" t="inlineStr">
        <is>
          <t>OTROS
EGR.</t>
        </is>
      </c>
      <c r="P4" s="186" t="inlineStr">
        <is>
          <t>NÓM.
EXTRA</t>
        </is>
      </c>
      <c r="Q4" s="186" t="inlineStr">
        <is>
          <t>TOTAL
EGRES.</t>
        </is>
      </c>
      <c r="R4" s="186" t="inlineStr">
        <is>
          <t>UTILIDAD
NETA</t>
        </is>
      </c>
      <c r="S4" s="186" t="inlineStr">
        <is>
          <t>VS.
PUNTO EQ.</t>
        </is>
      </c>
    </row>
    <row r="5" ht="21.75" customHeight="1" s="149">
      <c r="A5" s="187" t="inlineStr">
        <is>
          <t>Agosto</t>
        </is>
      </c>
      <c r="B5" s="188" t="n">
        <v>2025</v>
      </c>
      <c r="C5" s="189" t="n">
        <v>19853</v>
      </c>
      <c r="D5" s="189" t="n">
        <v>0</v>
      </c>
      <c r="E5" s="189" t="n">
        <v>0</v>
      </c>
      <c r="F5" s="189" t="n">
        <v>0</v>
      </c>
      <c r="G5" s="190">
        <f>SUM(C5:F5)</f>
        <v/>
      </c>
      <c r="H5" s="54" t="n"/>
      <c r="I5" s="191" t="n">
        <v>60000</v>
      </c>
      <c r="J5" s="191" t="n">
        <v>80000</v>
      </c>
      <c r="K5" s="191" t="n">
        <v>0</v>
      </c>
      <c r="L5" s="191" t="n">
        <v>6000</v>
      </c>
      <c r="M5" s="192" t="n">
        <v>0</v>
      </c>
      <c r="N5" s="192" t="n">
        <v>0</v>
      </c>
      <c r="O5" s="192" t="n">
        <v>57845</v>
      </c>
      <c r="P5" s="192" t="n">
        <v>0</v>
      </c>
      <c r="Q5" s="192" t="n">
        <v>0</v>
      </c>
      <c r="R5" s="193">
        <f>SUM(I5:Q5)</f>
        <v/>
      </c>
      <c r="S5" s="194">
        <f>G5-R5</f>
        <v/>
      </c>
      <c r="T5" s="194">
        <f>G5-203739</f>
        <v/>
      </c>
    </row>
    <row r="6" ht="21.75" customHeight="1" s="149">
      <c r="A6" s="195" t="inlineStr">
        <is>
          <t>Septiembre</t>
        </is>
      </c>
      <c r="B6" s="196" t="n">
        <v>2025</v>
      </c>
      <c r="C6" s="189" t="n">
        <v>37290</v>
      </c>
      <c r="D6" s="189" t="n">
        <v>0</v>
      </c>
      <c r="E6" s="189" t="n">
        <v>0</v>
      </c>
      <c r="F6" s="189" t="n">
        <v>0</v>
      </c>
      <c r="G6" s="190">
        <f>SUM(C6:F6)</f>
        <v/>
      </c>
      <c r="H6" s="14" t="n"/>
      <c r="I6" s="191" t="n">
        <v>60000</v>
      </c>
      <c r="J6" s="191" t="n">
        <v>80000</v>
      </c>
      <c r="K6" s="191" t="n">
        <v>0</v>
      </c>
      <c r="L6" s="191" t="n">
        <v>6000</v>
      </c>
      <c r="M6" s="192" t="n">
        <v>0</v>
      </c>
      <c r="N6" s="192" t="n">
        <v>1499</v>
      </c>
      <c r="O6" s="192" t="n">
        <v>0</v>
      </c>
      <c r="P6" s="192" t="n">
        <v>0</v>
      </c>
      <c r="Q6" s="192" t="n">
        <v>0</v>
      </c>
      <c r="R6" s="193">
        <f>SUM(I6:Q6)</f>
        <v/>
      </c>
      <c r="S6" s="194">
        <f>G6-R6</f>
        <v/>
      </c>
      <c r="T6" s="194">
        <f>G6-203739</f>
        <v/>
      </c>
    </row>
    <row r="7" ht="21.75" customHeight="1" s="149">
      <c r="A7" s="187" t="inlineStr">
        <is>
          <t>Octubre</t>
        </is>
      </c>
      <c r="B7" s="188" t="n">
        <v>2025</v>
      </c>
      <c r="C7" s="189" t="n">
        <v>42887</v>
      </c>
      <c r="D7" s="189" t="n">
        <v>0</v>
      </c>
      <c r="E7" s="189" t="n">
        <v>0</v>
      </c>
      <c r="F7" s="189" t="n">
        <v>0</v>
      </c>
      <c r="G7" s="190">
        <f>SUM(C7:F7)</f>
        <v/>
      </c>
      <c r="H7" s="54" t="n"/>
      <c r="I7" s="191" t="n">
        <v>60000</v>
      </c>
      <c r="J7" s="191" t="n">
        <v>80000</v>
      </c>
      <c r="K7" s="191" t="n">
        <v>0</v>
      </c>
      <c r="L7" s="191" t="n">
        <v>6000</v>
      </c>
      <c r="M7" s="192" t="n">
        <v>0</v>
      </c>
      <c r="N7" s="192" t="n">
        <v>1499</v>
      </c>
      <c r="O7" s="192" t="n">
        <v>0</v>
      </c>
      <c r="P7" s="192" t="n">
        <v>0</v>
      </c>
      <c r="Q7" s="192" t="n">
        <v>0</v>
      </c>
      <c r="R7" s="193">
        <f>SUM(I7:Q7)</f>
        <v/>
      </c>
      <c r="S7" s="194">
        <f>G7-R7</f>
        <v/>
      </c>
      <c r="T7" s="194">
        <f>G7-203739</f>
        <v/>
      </c>
    </row>
    <row r="8" ht="21.75" customHeight="1" s="149">
      <c r="A8" s="195" t="inlineStr">
        <is>
          <t>Noviembre</t>
        </is>
      </c>
      <c r="B8" s="196" t="n">
        <v>2025</v>
      </c>
      <c r="C8" s="189" t="n">
        <v>69963</v>
      </c>
      <c r="D8" s="189" t="n">
        <v>0</v>
      </c>
      <c r="E8" s="189" t="n">
        <v>0</v>
      </c>
      <c r="F8" s="189" t="n">
        <v>0</v>
      </c>
      <c r="G8" s="190">
        <f>SUM(C8:F8)</f>
        <v/>
      </c>
      <c r="H8" s="14" t="n"/>
      <c r="I8" s="191" t="n">
        <v>60000</v>
      </c>
      <c r="J8" s="191" t="n">
        <v>80000</v>
      </c>
      <c r="K8" s="191" t="n">
        <v>0</v>
      </c>
      <c r="L8" s="191" t="n">
        <v>6000</v>
      </c>
      <c r="M8" s="192" t="n">
        <v>36000</v>
      </c>
      <c r="N8" s="192" t="n">
        <v>1499</v>
      </c>
      <c r="O8" s="192" t="n">
        <v>0</v>
      </c>
      <c r="P8" s="192" t="n">
        <v>0</v>
      </c>
      <c r="Q8" s="192" t="n">
        <v>0</v>
      </c>
      <c r="R8" s="193">
        <f>SUM(I8:Q8)</f>
        <v/>
      </c>
      <c r="S8" s="194">
        <f>G8-R8</f>
        <v/>
      </c>
      <c r="T8" s="194">
        <f>G8-203739</f>
        <v/>
      </c>
    </row>
    <row r="9" ht="21.75" customHeight="1" s="149">
      <c r="A9" s="187" t="inlineStr">
        <is>
          <t>Diciembre</t>
        </is>
      </c>
      <c r="B9" s="188" t="n">
        <v>2025</v>
      </c>
      <c r="C9" s="189" t="n">
        <v>113881</v>
      </c>
      <c r="D9" s="189" t="n">
        <v>0</v>
      </c>
      <c r="E9" s="189" t="n">
        <v>0</v>
      </c>
      <c r="F9" s="189" t="n">
        <v>0</v>
      </c>
      <c r="G9" s="190">
        <f>SUM(C9:F9)</f>
        <v/>
      </c>
      <c r="H9" s="54" t="n"/>
      <c r="I9" s="191" t="n">
        <v>60000</v>
      </c>
      <c r="J9" s="191" t="n">
        <v>80000</v>
      </c>
      <c r="K9" s="191" t="n">
        <v>0</v>
      </c>
      <c r="L9" s="191" t="n">
        <v>6000</v>
      </c>
      <c r="M9" s="192" t="n">
        <v>36000</v>
      </c>
      <c r="N9" s="192" t="n">
        <v>1499</v>
      </c>
      <c r="O9" s="192" t="n">
        <v>0</v>
      </c>
      <c r="P9" s="192" t="n">
        <v>0</v>
      </c>
      <c r="Q9" s="192" t="n">
        <v>0</v>
      </c>
      <c r="R9" s="193">
        <f>SUM(I9:Q9)</f>
        <v/>
      </c>
      <c r="S9" s="194">
        <f>G9-R9</f>
        <v/>
      </c>
      <c r="T9" s="194">
        <f>G9-203739</f>
        <v/>
      </c>
    </row>
    <row r="10" ht="21.75" customHeight="1" s="149">
      <c r="A10" s="195" t="inlineStr">
        <is>
          <t>Enero</t>
        </is>
      </c>
      <c r="B10" s="196" t="n">
        <v>2026</v>
      </c>
      <c r="C10" s="189" t="n">
        <v>68050</v>
      </c>
      <c r="D10" s="189" t="n">
        <v>30470</v>
      </c>
      <c r="E10" s="189" t="n">
        <v>19223</v>
      </c>
      <c r="F10" s="189" t="n">
        <v>1740</v>
      </c>
      <c r="G10" s="190">
        <f>SUM(C10:F10)</f>
        <v/>
      </c>
      <c r="H10" s="14" t="n"/>
      <c r="I10" s="191" t="n">
        <v>60000</v>
      </c>
      <c r="J10" s="191" t="n">
        <v>80000</v>
      </c>
      <c r="K10" s="191" t="n">
        <v>14854</v>
      </c>
      <c r="L10" s="191" t="n">
        <v>6000</v>
      </c>
      <c r="M10" s="192" t="n">
        <v>36000</v>
      </c>
      <c r="N10" s="192" t="n">
        <v>1499</v>
      </c>
      <c r="O10" s="192" t="n">
        <v>20487</v>
      </c>
      <c r="P10" s="192" t="n">
        <v>0</v>
      </c>
      <c r="Q10" s="192" t="n">
        <v>0</v>
      </c>
      <c r="R10" s="193">
        <f>SUM(I10:Q10)</f>
        <v/>
      </c>
      <c r="S10" s="194">
        <f>G10-R10</f>
        <v/>
      </c>
      <c r="T10" s="194">
        <f>G10-203739</f>
        <v/>
      </c>
    </row>
    <row r="11" ht="21.75" customHeight="1" s="149">
      <c r="A11" s="187" t="inlineStr">
        <is>
          <t>Febrero</t>
        </is>
      </c>
      <c r="B11" s="188" t="n">
        <v>2026</v>
      </c>
      <c r="C11" s="189" t="n">
        <v>62950</v>
      </c>
      <c r="D11" s="189" t="n">
        <v>36800</v>
      </c>
      <c r="E11" s="189" t="n">
        <v>30790</v>
      </c>
      <c r="F11" s="189" t="n">
        <v>1650</v>
      </c>
      <c r="G11" s="190">
        <f>SUM(C11:F11)</f>
        <v/>
      </c>
      <c r="H11" s="54" t="n"/>
      <c r="I11" s="191" t="n">
        <v>60000</v>
      </c>
      <c r="J11" s="191" t="n">
        <v>56000</v>
      </c>
      <c r="K11" s="191" t="n">
        <v>13578</v>
      </c>
      <c r="L11" s="191" t="n">
        <v>6000</v>
      </c>
      <c r="M11" s="192" t="n">
        <v>36000</v>
      </c>
      <c r="N11" s="192" t="n">
        <v>1499</v>
      </c>
      <c r="O11" s="192" t="n">
        <v>25379</v>
      </c>
      <c r="P11" s="192" t="n">
        <v>0</v>
      </c>
      <c r="Q11" s="192" t="n">
        <v>0</v>
      </c>
      <c r="R11" s="193">
        <f>SUM(I11:Q11)</f>
        <v/>
      </c>
      <c r="S11" s="194">
        <f>G11-R11</f>
        <v/>
      </c>
      <c r="T11" s="194">
        <f>G11-203739</f>
        <v/>
      </c>
    </row>
    <row r="12" ht="27.75" customHeight="1" s="149">
      <c r="A12" s="197" t="inlineStr">
        <is>
          <t>Marzo</t>
        </is>
      </c>
      <c r="B12" s="198" t="n">
        <v>2026</v>
      </c>
      <c r="C12" s="199" t="n">
        <v>79727</v>
      </c>
      <c r="D12" s="199" t="n">
        <v>19070</v>
      </c>
      <c r="E12" s="199" t="n">
        <v>33874</v>
      </c>
      <c r="F12" s="199" t="n">
        <v>0</v>
      </c>
      <c r="G12" s="200">
        <f>SUM(C12:F12)</f>
        <v/>
      </c>
      <c r="H12" s="68" t="n"/>
      <c r="I12" s="201" t="n">
        <v>60000</v>
      </c>
      <c r="J12" s="201" t="n">
        <v>80000</v>
      </c>
      <c r="K12" s="201" t="n">
        <v>0</v>
      </c>
      <c r="L12" s="201" t="n">
        <v>6000</v>
      </c>
      <c r="M12" s="192" t="n">
        <v>36000</v>
      </c>
      <c r="N12" s="192" t="n">
        <v>1499</v>
      </c>
      <c r="O12" s="192" t="n">
        <v>18299</v>
      </c>
      <c r="P12" s="192" t="n">
        <v>0</v>
      </c>
      <c r="Q12" s="192" t="n">
        <v>0</v>
      </c>
      <c r="R12" s="193">
        <f>SUM(I12:Q12)</f>
        <v/>
      </c>
      <c r="S12" s="194">
        <f>G12-R12</f>
        <v/>
      </c>
      <c r="T12" s="194">
        <f>G12-203739</f>
        <v/>
      </c>
    </row>
    <row r="13">
      <c r="A13" s="202" t="inlineStr">
        <is>
          <t>TOTALES</t>
        </is>
      </c>
      <c r="C13" s="203">
        <f>SUM(C5:C12)</f>
        <v/>
      </c>
      <c r="D13" s="203">
        <f>SUM(D5:D12)</f>
        <v/>
      </c>
      <c r="E13" s="203">
        <f>SUM(E5:E12)</f>
        <v/>
      </c>
      <c r="F13" s="203">
        <f>SUM(F5:F12)</f>
        <v/>
      </c>
      <c r="G13" s="203">
        <f>SUM(G5:G12)</f>
        <v/>
      </c>
      <c r="H13" s="203">
        <f>SUM(H5:H12)</f>
        <v/>
      </c>
      <c r="I13" s="203">
        <f>SUM(I5:I12)</f>
        <v/>
      </c>
      <c r="J13" s="203">
        <f>SUM(J5:J12)</f>
        <v/>
      </c>
      <c r="K13" s="203">
        <f>SUM(K5:K12)</f>
        <v/>
      </c>
      <c r="L13" s="203">
        <f>SUM(L5:L12)</f>
        <v/>
      </c>
      <c r="M13" s="203">
        <f>SUM(M5:M12)</f>
        <v/>
      </c>
      <c r="N13" s="203">
        <f>SUM(N5:N12)</f>
        <v/>
      </c>
      <c r="O13" s="203">
        <f>SUM(O5:O12)</f>
        <v/>
      </c>
      <c r="P13" s="203">
        <f>SUM(P5:P12)</f>
        <v/>
      </c>
      <c r="Q13" s="203">
        <f>SUM(Q5:Q12)</f>
        <v/>
      </c>
      <c r="R13" s="203">
        <f>SUM(R5:R12)</f>
        <v/>
      </c>
      <c r="S13" s="203">
        <f>SUM(S5:S12)</f>
        <v/>
      </c>
      <c r="T13" s="203" t="inlineStr">
        <is>
          <t>—</t>
        </is>
      </c>
    </row>
    <row r="15">
      <c r="A15" s="204" t="inlineStr">
        <is>
          <t>📌 PUNTO DE EQUILIBRIO MENSUAL ACTUALIZADO</t>
        </is>
      </c>
      <c r="C15" s="205" t="n">
        <v>203739</v>
      </c>
    </row>
    <row r="16">
      <c r="A16" s="206" t="inlineStr">
        <is>
          <t xml:space="preserve">  · Alquiler local</t>
        </is>
      </c>
      <c r="C16" s="207" t="n">
        <v>60000</v>
      </c>
    </row>
    <row r="17">
      <c r="A17" s="206" t="inlineStr">
        <is>
          <t xml:space="preserve">  · Nómina base (Alex+Laura+Aylein)</t>
        </is>
      </c>
      <c r="C17" s="207" t="n">
        <v>80000</v>
      </c>
    </row>
    <row r="18">
      <c r="A18" s="206" t="inlineStr">
        <is>
          <t xml:space="preserve">  · Publicidad ~$600 USD</t>
        </is>
      </c>
      <c r="C18" s="207" t="n">
        <v>36000</v>
      </c>
    </row>
    <row r="19">
      <c r="A19" s="206" t="inlineStr">
        <is>
          <t xml:space="preserve">  · Limpieza mensual</t>
        </is>
      </c>
      <c r="C19" s="207" t="n">
        <v>6000</v>
      </c>
    </row>
    <row r="20">
      <c r="A20" s="206" t="inlineStr">
        <is>
          <t xml:space="preserve">  · Claro Multiplan</t>
        </is>
      </c>
      <c r="C20" s="207" t="n">
        <v>1499</v>
      </c>
    </row>
    <row r="21" ht="15.75" customHeight="1" s="149">
      <c r="A21" s="206" t="inlineStr">
        <is>
          <t xml:space="preserve">  · Insumos/compras est.</t>
        </is>
      </c>
      <c r="C21" s="207" t="n">
        <v>20000</v>
      </c>
    </row>
    <row r="22" ht="15.75" customHeight="1" s="149">
      <c r="A22" s="206" t="inlineStr">
        <is>
          <t xml:space="preserve">  · Otros variables</t>
        </is>
      </c>
      <c r="C22" s="207" t="n">
        <v>1240</v>
      </c>
    </row>
    <row r="23" ht="15.75" customHeight="1" s="149">
      <c r="A23" s="208" t="inlineStr">
        <is>
          <t>⚠️ Tasa USD utilizada: RD$60/USD. Si la tasa cambia, actualizar columna PUBLICIDAD manualmente.</t>
        </is>
      </c>
    </row>
    <row r="24" ht="15.75" customHeight="1" s="149"/>
    <row r="25" ht="15.75" customHeight="1" s="149"/>
    <row r="26" ht="15.75" customHeight="1" s="149"/>
    <row r="27" ht="15.75" customHeight="1" s="149"/>
    <row r="28" ht="15.75" customHeight="1" s="149"/>
    <row r="29" ht="15.75" customHeight="1" s="149"/>
    <row r="30" ht="15.75" customHeight="1" s="149"/>
    <row r="31" ht="15.75" customHeight="1" s="149"/>
    <row r="32" ht="15.75" customHeight="1" s="149"/>
    <row r="33" ht="15.75" customHeight="1" s="149"/>
    <row r="34" ht="15.75" customHeight="1" s="149"/>
    <row r="35" ht="15.75" customHeight="1" s="149"/>
    <row r="36" ht="15.75" customHeight="1" s="149"/>
    <row r="37" ht="15.75" customHeight="1" s="149"/>
    <row r="38" ht="15.75" customHeight="1" s="149"/>
    <row r="39" ht="15.75" customHeight="1" s="149"/>
    <row r="40" ht="15.75" customHeight="1" s="149"/>
    <row r="41" ht="15.75" customHeight="1" s="149"/>
    <row r="42" ht="15.75" customHeight="1" s="149"/>
    <row r="43" ht="15.75" customHeight="1" s="149"/>
    <row r="44" ht="15.75" customHeight="1" s="149"/>
    <row r="45" ht="15.75" customHeight="1" s="149"/>
    <row r="46" ht="15.75" customHeight="1" s="149"/>
    <row r="47" ht="15.75" customHeight="1" s="149"/>
    <row r="48" ht="15.75" customHeight="1" s="149"/>
    <row r="49" ht="15.75" customHeight="1" s="149"/>
    <row r="50" ht="15.75" customHeight="1" s="149"/>
    <row r="51" ht="15.75" customHeight="1" s="149"/>
    <row r="52" ht="15.75" customHeight="1" s="149"/>
    <row r="53" ht="15.75" customHeight="1" s="149"/>
    <row r="54" ht="15.75" customHeight="1" s="149"/>
    <row r="55" ht="15.75" customHeight="1" s="149"/>
    <row r="56" ht="15.75" customHeight="1" s="149"/>
    <row r="57" ht="15.75" customHeight="1" s="149"/>
    <row r="58" ht="15.75" customHeight="1" s="149"/>
    <row r="59" ht="15.75" customHeight="1" s="149"/>
    <row r="60" ht="15.75" customHeight="1" s="149"/>
    <row r="61" ht="15.75" customHeight="1" s="149"/>
    <row r="62" ht="15.75" customHeight="1" s="149"/>
    <row r="63" ht="15.75" customHeight="1" s="149"/>
    <row r="64" ht="15.75" customHeight="1" s="149"/>
    <row r="65" ht="15.75" customHeight="1" s="149"/>
    <row r="66" ht="15.75" customHeight="1" s="149"/>
    <row r="67" ht="15.75" customHeight="1" s="149"/>
    <row r="68" ht="15.75" customHeight="1" s="149"/>
    <row r="69" ht="15.75" customHeight="1" s="149"/>
    <row r="70" ht="15.75" customHeight="1" s="149"/>
    <row r="71" ht="15.75" customHeight="1" s="149"/>
    <row r="72" ht="15.75" customHeight="1" s="149"/>
    <row r="73" ht="15.75" customHeight="1" s="149"/>
    <row r="74" ht="15.75" customHeight="1" s="149"/>
    <row r="75" ht="15.75" customHeight="1" s="149"/>
    <row r="76" ht="15.75" customHeight="1" s="149"/>
    <row r="77" ht="15.75" customHeight="1" s="149"/>
    <row r="78" ht="15.75" customHeight="1" s="149"/>
    <row r="79" ht="15.75" customHeight="1" s="149"/>
    <row r="80" ht="15.75" customHeight="1" s="149"/>
    <row r="81" ht="15.75" customHeight="1" s="149"/>
    <row r="82" ht="15.75" customHeight="1" s="149"/>
    <row r="83" ht="15.75" customHeight="1" s="149"/>
    <row r="84" ht="15.75" customHeight="1" s="149"/>
    <row r="85" ht="15.75" customHeight="1" s="149"/>
    <row r="86" ht="15.75" customHeight="1" s="149"/>
    <row r="87" ht="15.75" customHeight="1" s="149"/>
    <row r="88" ht="15.75" customHeight="1" s="149"/>
    <row r="89" ht="15.75" customHeight="1" s="149"/>
    <row r="90" ht="15.75" customHeight="1" s="149"/>
    <row r="91" ht="15.75" customHeight="1" s="149"/>
    <row r="92" ht="15.75" customHeight="1" s="149"/>
    <row r="93" ht="15.75" customHeight="1" s="149"/>
    <row r="94" ht="15.75" customHeight="1" s="149"/>
    <row r="95" ht="15.75" customHeight="1" s="149"/>
    <row r="96" ht="15.75" customHeight="1" s="149"/>
    <row r="97" ht="15.75" customHeight="1" s="149"/>
    <row r="98" ht="15.75" customHeight="1" s="149"/>
    <row r="99" ht="15.75" customHeight="1" s="149"/>
    <row r="100" ht="15.75" customHeight="1" s="149"/>
    <row r="101" ht="15.75" customHeight="1" s="149"/>
    <row r="102" ht="15.75" customHeight="1" s="149"/>
    <row r="103" ht="15.75" customHeight="1" s="149"/>
    <row r="104" ht="15.75" customHeight="1" s="149"/>
    <row r="105" ht="15.75" customHeight="1" s="149"/>
    <row r="106" ht="15.75" customHeight="1" s="149"/>
    <row r="107" ht="15.75" customHeight="1" s="149"/>
    <row r="108" ht="15.75" customHeight="1" s="149"/>
    <row r="109" ht="15.75" customHeight="1" s="149"/>
    <row r="110" ht="15.75" customHeight="1" s="149"/>
    <row r="111" ht="15.75" customHeight="1" s="149"/>
    <row r="112" ht="15.75" customHeight="1" s="149"/>
    <row r="113" ht="15.75" customHeight="1" s="149"/>
    <row r="114" ht="15.75" customHeight="1" s="149"/>
    <row r="115" ht="15.75" customHeight="1" s="149"/>
    <row r="116" ht="15.75" customHeight="1" s="149"/>
    <row r="117" ht="15.75" customHeight="1" s="149"/>
    <row r="118" ht="15.75" customHeight="1" s="149"/>
    <row r="119" ht="15.75" customHeight="1" s="149"/>
    <row r="120" ht="15.75" customHeight="1" s="149"/>
    <row r="121" ht="15.75" customHeight="1" s="149"/>
    <row r="122" ht="15.75" customHeight="1" s="149"/>
    <row r="123" ht="15.75" customHeight="1" s="149"/>
    <row r="124" ht="15.75" customHeight="1" s="149"/>
    <row r="125" ht="15.75" customHeight="1" s="149"/>
    <row r="126" ht="15.75" customHeight="1" s="149"/>
    <row r="127" ht="15.75" customHeight="1" s="149"/>
    <row r="128" ht="15.75" customHeight="1" s="149"/>
    <row r="129" ht="15.75" customHeight="1" s="149"/>
    <row r="130" ht="15.75" customHeight="1" s="149"/>
    <row r="131" ht="15.75" customHeight="1" s="149"/>
    <row r="132" ht="15.75" customHeight="1" s="149"/>
    <row r="133" ht="15.75" customHeight="1" s="149"/>
    <row r="134" ht="15.75" customHeight="1" s="149"/>
    <row r="135" ht="15.75" customHeight="1" s="149"/>
    <row r="136" ht="15.75" customHeight="1" s="149"/>
    <row r="137" ht="15.75" customHeight="1" s="149"/>
    <row r="138" ht="15.75" customHeight="1" s="149"/>
    <row r="139" ht="15.75" customHeight="1" s="149"/>
    <row r="140" ht="15.75" customHeight="1" s="149"/>
    <row r="141" ht="15.75" customHeight="1" s="149"/>
    <row r="142" ht="15.75" customHeight="1" s="149"/>
    <row r="143" ht="15.75" customHeight="1" s="149"/>
    <row r="144" ht="15.75" customHeight="1" s="149"/>
    <row r="145" ht="15.75" customHeight="1" s="149"/>
    <row r="146" ht="15.75" customHeight="1" s="149"/>
    <row r="147" ht="15.75" customHeight="1" s="149"/>
    <row r="148" ht="15.75" customHeight="1" s="149"/>
    <row r="149" ht="15.75" customHeight="1" s="149"/>
    <row r="150" ht="15.75" customHeight="1" s="149"/>
    <row r="151" ht="15.75" customHeight="1" s="149"/>
    <row r="152" ht="15.75" customHeight="1" s="149"/>
    <row r="153" ht="15.75" customHeight="1" s="149"/>
    <row r="154" ht="15.75" customHeight="1" s="149"/>
    <row r="155" ht="15.75" customHeight="1" s="149"/>
    <row r="156" ht="15.75" customHeight="1" s="149"/>
    <row r="157" ht="15.75" customHeight="1" s="149"/>
    <row r="158" ht="15.75" customHeight="1" s="149"/>
    <row r="159" ht="15.75" customHeight="1" s="149"/>
    <row r="160" ht="15.75" customHeight="1" s="149"/>
    <row r="161" ht="15.75" customHeight="1" s="149"/>
    <row r="162" ht="15.75" customHeight="1" s="149"/>
    <row r="163" ht="15.75" customHeight="1" s="149"/>
    <row r="164" ht="15.75" customHeight="1" s="149"/>
    <row r="165" ht="15.75" customHeight="1" s="149"/>
    <row r="166" ht="15.75" customHeight="1" s="149"/>
    <row r="167" ht="15.75" customHeight="1" s="149"/>
    <row r="168" ht="15.75" customHeight="1" s="149"/>
    <row r="169" ht="15.75" customHeight="1" s="149"/>
    <row r="170" ht="15.75" customHeight="1" s="149"/>
    <row r="171" ht="15.75" customHeight="1" s="149"/>
    <row r="172" ht="15.75" customHeight="1" s="149"/>
    <row r="173" ht="15.75" customHeight="1" s="149"/>
    <row r="174" ht="15.75" customHeight="1" s="149"/>
    <row r="175" ht="15.75" customHeight="1" s="149"/>
    <row r="176" ht="15.75" customHeight="1" s="149"/>
    <row r="177" ht="15.75" customHeight="1" s="149"/>
    <row r="178" ht="15.75" customHeight="1" s="149"/>
    <row r="179" ht="15.75" customHeight="1" s="149"/>
    <row r="180" ht="15.75" customHeight="1" s="149"/>
    <row r="181" ht="15.75" customHeight="1" s="149"/>
    <row r="182" ht="15.75" customHeight="1" s="149"/>
    <row r="183" ht="15.75" customHeight="1" s="149"/>
    <row r="184" ht="15.75" customHeight="1" s="149"/>
    <row r="185" ht="15.75" customHeight="1" s="149"/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7">
    <mergeCell ref="A15:B15"/>
    <mergeCell ref="A23:S23"/>
    <mergeCell ref="A1:S1"/>
    <mergeCell ref="R3:S3"/>
    <mergeCell ref="C3:H3"/>
    <mergeCell ref="I3:Q3"/>
    <mergeCell ref="A2:S2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tabColor rgb="FFF59E0B"/>
    <outlinePr summaryBelow="1" summaryRight="1"/>
    <pageSetUpPr/>
  </sheetPr>
  <dimension ref="A1:I101"/>
  <sheetViews>
    <sheetView showGridLines="0"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8" customWidth="1" style="149" min="1" max="1"/>
    <col width="14" customWidth="1" style="149" min="2" max="2"/>
    <col width="22" customWidth="1" style="149" min="3" max="3"/>
    <col width="20" customWidth="1" style="149" min="4" max="4"/>
    <col width="22" customWidth="1" style="149" min="5" max="6"/>
    <col width="18" customWidth="1" style="149" min="7" max="7"/>
    <col width="22" customWidth="1" style="149" min="8" max="8"/>
    <col width="18" customWidth="1" style="149" min="9" max="9"/>
    <col width="8.710000000000001" customWidth="1" style="149" min="10" max="26"/>
  </cols>
  <sheetData>
    <row r="1" ht="43.5" customHeight="1" s="149">
      <c r="A1" s="150" t="inlineStr">
        <is>
          <t>🐾  PetColinas — TARIFARIO COMPLETO DE SERVICIOS Y COMISIONES</t>
        </is>
      </c>
    </row>
    <row r="2" ht="19.5" customHeight="1" s="149">
      <c r="A2" s="151" t="inlineStr">
        <is>
          <t>Grooming · Veterinaria Dra. Aylein (30%) · Veterinaria Dra. Valentina (40%) · Plaza Las Colinas, SDO</t>
        </is>
      </c>
    </row>
    <row r="4" ht="30" customHeight="1" s="149">
      <c r="A4" s="161" t="inlineStr">
        <is>
          <t>🐶  GROOMING — Alexander Ramírez  |  Comisión fija por servicio</t>
        </is>
      </c>
    </row>
    <row r="5" ht="18" customHeight="1" s="149">
      <c r="A5" s="162" t="inlineStr">
        <is>
          <t>Salario base: RD$25,000/mes + Comisión fija por cada servicio realizado</t>
        </is>
      </c>
    </row>
    <row r="6" ht="31.5" customHeight="1" s="149">
      <c r="A6" s="71" t="inlineStr">
        <is>
          <t>SERVICIO</t>
        </is>
      </c>
      <c r="B6" s="71" t="inlineStr">
        <is>
          <t>PRECIO RD$</t>
        </is>
      </c>
      <c r="C6" s="71" t="inlineStr">
        <is>
          <t>COMISIÓN ALEXANDER RD$</t>
        </is>
      </c>
      <c r="D6" s="71" t="inlineStr">
        <is>
          <t>TARIFA PETCOLINAS RD$</t>
        </is>
      </c>
      <c r="E6" s="71" t="inlineStr">
        <is>
          <t>% QUE GANA ALEXANDER</t>
        </is>
      </c>
      <c r="F6" s="71" t="inlineStr">
        <is>
          <t>% QUE GANA PETCOLINAS</t>
        </is>
      </c>
    </row>
    <row r="7" ht="19.5" customHeight="1" s="149">
      <c r="A7" s="7" t="inlineStr">
        <is>
          <t>Baño cachorro</t>
        </is>
      </c>
      <c r="B7" s="72" t="n">
        <v>699</v>
      </c>
      <c r="C7" s="73" t="n">
        <v>80</v>
      </c>
      <c r="D7" s="74" t="n">
        <v>619</v>
      </c>
      <c r="E7" s="75" t="n">
        <v>0.1144492131616595</v>
      </c>
      <c r="F7" s="76" t="n">
        <v>0.8855507868383404</v>
      </c>
    </row>
    <row r="8" ht="19.5" customHeight="1" s="149">
      <c r="A8" s="77" t="inlineStr">
        <is>
          <t>Baño pequeño</t>
        </is>
      </c>
      <c r="B8" s="78" t="n">
        <v>799</v>
      </c>
      <c r="C8" s="79" t="n">
        <v>100</v>
      </c>
      <c r="D8" s="80" t="n">
        <v>699</v>
      </c>
      <c r="E8" s="81" t="n">
        <v>0.1251564455569462</v>
      </c>
      <c r="F8" s="82" t="n">
        <v>0.8748435544430538</v>
      </c>
    </row>
    <row r="9" ht="19.5" customHeight="1" s="149">
      <c r="A9" s="7" t="inlineStr">
        <is>
          <t>Baño mediano</t>
        </is>
      </c>
      <c r="B9" s="72" t="n">
        <v>949</v>
      </c>
      <c r="C9" s="73" t="n">
        <v>110</v>
      </c>
      <c r="D9" s="74" t="n">
        <v>839</v>
      </c>
      <c r="E9" s="75" t="n">
        <v>0.1159114857744995</v>
      </c>
      <c r="F9" s="76" t="n">
        <v>0.8840885142255005</v>
      </c>
    </row>
    <row r="10" ht="19.5" customHeight="1" s="149">
      <c r="A10" s="77" t="inlineStr">
        <is>
          <t>Baño grande</t>
        </is>
      </c>
      <c r="B10" s="78" t="n">
        <v>1149</v>
      </c>
      <c r="C10" s="79" t="n">
        <v>120</v>
      </c>
      <c r="D10" s="80" t="n">
        <v>1029</v>
      </c>
      <c r="E10" s="81" t="n">
        <v>0.1044386422976501</v>
      </c>
      <c r="F10" s="82" t="n">
        <v>0.8955613577023499</v>
      </c>
    </row>
    <row r="11" ht="19.5" customHeight="1" s="149">
      <c r="A11" s="7" t="inlineStr">
        <is>
          <t>Corte higiénico</t>
        </is>
      </c>
      <c r="B11" s="72" t="n">
        <v>490</v>
      </c>
      <c r="C11" s="73" t="n">
        <v>70</v>
      </c>
      <c r="D11" s="74" t="n">
        <v>560</v>
      </c>
      <c r="E11" s="75" t="n">
        <v>0.1428571428571428</v>
      </c>
      <c r="F11" s="76" t="n">
        <v>1.142857142857143</v>
      </c>
    </row>
    <row r="12" ht="19.5" customHeight="1" s="149">
      <c r="A12" s="77" t="inlineStr">
        <is>
          <t>Corte completo</t>
        </is>
      </c>
      <c r="B12" s="78" t="n">
        <v>749</v>
      </c>
      <c r="C12" s="79" t="n">
        <v>90</v>
      </c>
      <c r="D12" s="80" t="n">
        <v>659</v>
      </c>
      <c r="E12" s="81" t="n">
        <v>0.1201602136181575</v>
      </c>
      <c r="F12" s="82" t="n">
        <v>0.8798397863818425</v>
      </c>
    </row>
    <row r="13" ht="19.5" customHeight="1" s="149">
      <c r="A13" s="7" t="inlineStr">
        <is>
          <t>Grooming completo</t>
        </is>
      </c>
      <c r="B13" s="72" t="n">
        <v>890</v>
      </c>
      <c r="C13" s="73" t="n">
        <v>105</v>
      </c>
      <c r="D13" s="74" t="n">
        <v>785</v>
      </c>
      <c r="E13" s="75" t="n">
        <v>0.1179775280898876</v>
      </c>
      <c r="F13" s="76" t="n">
        <v>0.8820224719101124</v>
      </c>
    </row>
    <row r="14" ht="19.5" customHeight="1" s="149">
      <c r="A14" s="77" t="inlineStr">
        <is>
          <t>Desenrede</t>
        </is>
      </c>
      <c r="B14" s="78" t="n">
        <v>690</v>
      </c>
      <c r="C14" s="79" t="n">
        <v>90</v>
      </c>
      <c r="D14" s="80" t="n">
        <v>600</v>
      </c>
      <c r="E14" s="81" t="n">
        <v>0.1304347826086956</v>
      </c>
      <c r="F14" s="82" t="n">
        <v>0.8695652173913043</v>
      </c>
    </row>
    <row r="15" ht="19.5" customHeight="1" s="149">
      <c r="A15" s="7" t="inlineStr">
        <is>
          <t>Baño medicado</t>
        </is>
      </c>
      <c r="B15" s="72" t="n">
        <v>950</v>
      </c>
      <c r="C15" s="73" t="n">
        <v>100</v>
      </c>
      <c r="D15" s="74" t="n">
        <v>850</v>
      </c>
      <c r="E15" s="75" t="n">
        <v>0.1052631578947368</v>
      </c>
      <c r="F15" s="76" t="n">
        <v>0.8947368421052632</v>
      </c>
    </row>
    <row r="16" ht="19.5" customHeight="1" s="149">
      <c r="A16" s="77" t="inlineStr">
        <is>
          <t>Baño cachorro c/línea</t>
        </is>
      </c>
      <c r="B16" s="78" t="n">
        <v>899</v>
      </c>
      <c r="C16" s="79" t="n">
        <v>80</v>
      </c>
      <c r="D16" s="80" t="n">
        <v>819</v>
      </c>
      <c r="E16" s="81" t="n">
        <v>0.08898776418242492</v>
      </c>
      <c r="F16" s="82" t="n">
        <v>0.9110122358175751</v>
      </c>
    </row>
    <row r="17" ht="19.5" customHeight="1" s="149">
      <c r="A17" s="7" t="inlineStr">
        <is>
          <t>Baño pequeño c/línea</t>
        </is>
      </c>
      <c r="B17" s="72" t="n">
        <v>999</v>
      </c>
      <c r="C17" s="73" t="n">
        <v>100</v>
      </c>
      <c r="D17" s="74" t="n">
        <v>899</v>
      </c>
      <c r="E17" s="75" t="n">
        <v>0.1001001001001001</v>
      </c>
      <c r="F17" s="76" t="n">
        <v>0.8998998998998999</v>
      </c>
    </row>
    <row r="18" ht="19.5" customHeight="1" s="149">
      <c r="A18" s="77" t="inlineStr">
        <is>
          <t>Baño mediano c/línea</t>
        </is>
      </c>
      <c r="B18" s="78" t="n">
        <v>1149</v>
      </c>
      <c r="C18" s="79" t="n">
        <v>110</v>
      </c>
      <c r="D18" s="80" t="n">
        <v>1039</v>
      </c>
      <c r="E18" s="81" t="n">
        <v>0.09573542210617929</v>
      </c>
      <c r="F18" s="82" t="n">
        <v>0.9042645778938208</v>
      </c>
    </row>
    <row r="19" ht="19.5" customHeight="1" s="149">
      <c r="A19" s="7" t="inlineStr">
        <is>
          <t>Baño grande c/línea</t>
        </is>
      </c>
      <c r="B19" s="72" t="n">
        <v>1349</v>
      </c>
      <c r="C19" s="73" t="n">
        <v>120</v>
      </c>
      <c r="D19" s="74" t="n">
        <v>1229</v>
      </c>
      <c r="E19" s="75" t="n">
        <v>0.08895478131949593</v>
      </c>
      <c r="F19" s="76" t="n">
        <v>0.911045218680504</v>
      </c>
    </row>
    <row r="20" ht="19.5" customHeight="1" s="149">
      <c r="A20" s="77" t="inlineStr">
        <is>
          <t>Baño pequeño premium plus</t>
        </is>
      </c>
      <c r="B20" s="78" t="n">
        <v>1040</v>
      </c>
      <c r="C20" s="79" t="n">
        <v>100</v>
      </c>
      <c r="D20" s="80" t="n">
        <v>940</v>
      </c>
      <c r="E20" s="81" t="n">
        <v>0.09615384615384616</v>
      </c>
      <c r="F20" s="82" t="n">
        <v>0.9038461538461539</v>
      </c>
    </row>
    <row r="21" ht="21.75" customHeight="1" s="149">
      <c r="A21" s="83" t="inlineStr">
        <is>
          <t>TOTAL (14 servicios)</t>
        </is>
      </c>
      <c r="B21" s="22" t="inlineStr">
        <is>
          <t>—</t>
        </is>
      </c>
      <c r="C21" s="84" t="n"/>
      <c r="D21" s="84" t="n"/>
      <c r="E21" s="84" t="n"/>
      <c r="F21" s="84" t="n"/>
    </row>
    <row r="22" ht="15.75" customHeight="1" s="149"/>
    <row r="23" ht="30" customHeight="1" s="149">
      <c r="A23" s="163" t="inlineStr">
        <is>
          <t>🩺  VETERINARIA — Dra. Aylein Santiago  |  Comisión 30% (sobre precio − gasto)</t>
        </is>
      </c>
    </row>
    <row r="24" ht="18" customHeight="1" s="149">
      <c r="A24" s="164" t="inlineStr">
        <is>
          <t>Salario base: RD$25,000/mes + 30% de comisión por procedimiento · Nota: Sin consulta previa la comisión se reduce</t>
        </is>
      </c>
    </row>
    <row r="25" ht="36" customHeight="1" s="149">
      <c r="A25" s="87" t="inlineStr">
        <is>
          <t>SERVICIO</t>
        </is>
      </c>
      <c r="B25" s="87" t="inlineStr">
        <is>
          <t>PRECIO RD$</t>
        </is>
      </c>
      <c r="C25" s="87" t="inlineStr">
        <is>
          <t>GASTO RD$</t>
        </is>
      </c>
      <c r="D25" s="87" t="inlineStr">
        <is>
          <t>BASE COMIS. (P-G)</t>
        </is>
      </c>
      <c r="E25" s="87" t="inlineStr">
        <is>
          <t>COM. AYLEIN 30% (c/consulta)</t>
        </is>
      </c>
      <c r="F25" s="87" t="inlineStr">
        <is>
          <t>COM. AYLEIN 30% (sin consulta)</t>
        </is>
      </c>
      <c r="G25" s="87" t="inlineStr">
        <is>
          <t>TARIFA PC (c/consulta)</t>
        </is>
      </c>
      <c r="H25" s="87" t="inlineStr">
        <is>
          <t>TARIFA PC (sin consulta)</t>
        </is>
      </c>
      <c r="I25" s="87" t="inlineStr">
        <is>
          <t>NOTA</t>
        </is>
      </c>
    </row>
    <row r="26" ht="19.5" customHeight="1" s="149">
      <c r="A26" s="27" t="inlineStr">
        <is>
          <t>Consulta</t>
        </is>
      </c>
      <c r="B26" s="88" t="n">
        <v>1500</v>
      </c>
      <c r="C26" s="89" t="n">
        <v>560</v>
      </c>
      <c r="D26" s="88" t="n">
        <v>940</v>
      </c>
      <c r="E26" s="90" t="n">
        <v>282</v>
      </c>
      <c r="F26" s="91" t="inlineStr">
        <is>
          <t>—</t>
        </is>
      </c>
      <c r="G26" s="92" t="n">
        <v>658</v>
      </c>
      <c r="H26" s="91" t="inlineStr">
        <is>
          <t>—</t>
        </is>
      </c>
      <c r="I26" s="93" t="n"/>
    </row>
    <row r="27" ht="19.5" customHeight="1" s="149">
      <c r="A27" s="94" t="inlineStr">
        <is>
          <t>Muestra / Diagnóstico</t>
        </is>
      </c>
      <c r="B27" s="95" t="n">
        <v>1200</v>
      </c>
      <c r="C27" s="96" t="n">
        <v>300</v>
      </c>
      <c r="D27" s="95" t="n">
        <v>900</v>
      </c>
      <c r="E27" s="97" t="n">
        <v>270</v>
      </c>
      <c r="F27" s="98" t="inlineStr">
        <is>
          <t>—</t>
        </is>
      </c>
      <c r="G27" s="99" t="n">
        <v>630</v>
      </c>
      <c r="H27" s="98" t="inlineStr">
        <is>
          <t>—</t>
        </is>
      </c>
      <c r="I27" s="100" t="n"/>
    </row>
    <row r="28" ht="19.5" customHeight="1" s="149">
      <c r="A28" s="27" t="inlineStr">
        <is>
          <t>Vacuna quíntuple</t>
        </is>
      </c>
      <c r="B28" s="88" t="n">
        <v>1200</v>
      </c>
      <c r="C28" s="89" t="n">
        <v>310</v>
      </c>
      <c r="D28" s="88" t="n">
        <v>890</v>
      </c>
      <c r="E28" s="90" t="n">
        <v>267</v>
      </c>
      <c r="F28" s="101" t="n">
        <v>99</v>
      </c>
      <c r="G28" s="92" t="n">
        <v>623</v>
      </c>
      <c r="H28" s="102" t="n">
        <v>231</v>
      </c>
      <c r="I28" s="93" t="n"/>
    </row>
    <row r="29" ht="19.5" customHeight="1" s="149">
      <c r="A29" s="94" t="inlineStr">
        <is>
          <t>Vacuna rabia</t>
        </is>
      </c>
      <c r="B29" s="95" t="n">
        <v>1500</v>
      </c>
      <c r="C29" s="96" t="n">
        <v>613</v>
      </c>
      <c r="D29" s="95" t="n">
        <v>887</v>
      </c>
      <c r="E29" s="97" t="n">
        <v>266</v>
      </c>
      <c r="F29" s="103" t="n">
        <v>98</v>
      </c>
      <c r="G29" s="99" t="n">
        <v>621</v>
      </c>
      <c r="H29" s="104" t="n">
        <v>229</v>
      </c>
      <c r="I29" s="100" t="n"/>
    </row>
    <row r="30" ht="19.5" customHeight="1" s="149">
      <c r="A30" s="27" t="inlineStr">
        <is>
          <t>Vacuna giardia</t>
        </is>
      </c>
      <c r="B30" s="88" t="n">
        <v>1450</v>
      </c>
      <c r="C30" s="89" t="n">
        <v>495</v>
      </c>
      <c r="D30" s="88" t="n">
        <v>955</v>
      </c>
      <c r="E30" s="90" t="n">
        <v>286</v>
      </c>
      <c r="F30" s="101" t="n">
        <v>119</v>
      </c>
      <c r="G30" s="92" t="n">
        <v>669</v>
      </c>
      <c r="H30" s="102" t="n">
        <v>276</v>
      </c>
      <c r="I30" s="93" t="n"/>
    </row>
    <row r="31" ht="19.5" customHeight="1" s="149">
      <c r="A31" s="94" t="inlineStr">
        <is>
          <t>Vacuna triple</t>
        </is>
      </c>
      <c r="B31" s="95" t="n">
        <v>1300</v>
      </c>
      <c r="C31" s="96" t="n">
        <v>365</v>
      </c>
      <c r="D31" s="95" t="n">
        <v>935</v>
      </c>
      <c r="E31" s="97" t="n">
        <v>280</v>
      </c>
      <c r="F31" s="103" t="n">
        <v>113</v>
      </c>
      <c r="G31" s="99" t="n">
        <v>655</v>
      </c>
      <c r="H31" s="104" t="n">
        <v>263</v>
      </c>
      <c r="I31" s="100" t="n"/>
    </row>
    <row r="32" ht="19.5" customHeight="1" s="149">
      <c r="A32" s="27" t="inlineStr">
        <is>
          <t>Vacuna leucocell felina</t>
        </is>
      </c>
      <c r="B32" s="88" t="n">
        <v>1850</v>
      </c>
      <c r="C32" s="89" t="n">
        <v>795</v>
      </c>
      <c r="D32" s="88" t="n">
        <v>1055</v>
      </c>
      <c r="E32" s="90" t="n">
        <v>316</v>
      </c>
      <c r="F32" s="101" t="n">
        <v>149</v>
      </c>
      <c r="G32" s="92" t="n">
        <v>739</v>
      </c>
      <c r="H32" s="102" t="n">
        <v>347</v>
      </c>
      <c r="I32" s="93" t="n"/>
    </row>
    <row r="33" ht="19.5" customHeight="1" s="149">
      <c r="A33" s="94" t="inlineStr">
        <is>
          <t>Test rápido Inmunodeficiencia felina</t>
        </is>
      </c>
      <c r="B33" s="95" t="n">
        <v>1100</v>
      </c>
      <c r="C33" s="96" t="n">
        <v>523</v>
      </c>
      <c r="D33" s="95" t="n">
        <v>577</v>
      </c>
      <c r="E33" s="97" t="n">
        <v>173</v>
      </c>
      <c r="F33" s="98" t="inlineStr">
        <is>
          <t>—</t>
        </is>
      </c>
      <c r="G33" s="99" t="n">
        <v>404</v>
      </c>
      <c r="H33" s="98" t="inlineStr">
        <is>
          <t>—</t>
        </is>
      </c>
      <c r="I33" s="100" t="n"/>
    </row>
    <row r="34" ht="19.5" customHeight="1" s="149">
      <c r="A34" s="27" t="inlineStr">
        <is>
          <t>Test Parvovirus/Corona/Giardia (canino)</t>
        </is>
      </c>
      <c r="B34" s="88" t="n">
        <v>1970</v>
      </c>
      <c r="C34" s="89" t="n">
        <v>985</v>
      </c>
      <c r="D34" s="88" t="n">
        <v>985</v>
      </c>
      <c r="E34" s="90" t="n">
        <v>295</v>
      </c>
      <c r="F34" s="91" t="inlineStr">
        <is>
          <t>—</t>
        </is>
      </c>
      <c r="G34" s="92" t="n">
        <v>690</v>
      </c>
      <c r="H34" s="91" t="inlineStr">
        <is>
          <t>—</t>
        </is>
      </c>
      <c r="I34" s="93" t="n"/>
    </row>
    <row r="35" ht="19.5" customHeight="1" s="149">
      <c r="A35" s="94" t="inlineStr">
        <is>
          <t>Test Parvovirus/Corona/Giardia (felino)</t>
        </is>
      </c>
      <c r="B35" s="95" t="n">
        <v>1200</v>
      </c>
      <c r="C35" s="96" t="n">
        <v>536</v>
      </c>
      <c r="D35" s="95" t="n">
        <v>664</v>
      </c>
      <c r="E35" s="97" t="n">
        <v>199</v>
      </c>
      <c r="F35" s="98" t="inlineStr">
        <is>
          <t>—</t>
        </is>
      </c>
      <c r="G35" s="99" t="n">
        <v>465</v>
      </c>
      <c r="H35" s="98" t="inlineStr">
        <is>
          <t>—</t>
        </is>
      </c>
      <c r="I35" s="100" t="n"/>
    </row>
    <row r="36" ht="19.5" customHeight="1" s="149">
      <c r="A36" s="27" t="inlineStr">
        <is>
          <t>Vacuna bordetella</t>
        </is>
      </c>
      <c r="B36" s="88" t="n">
        <v>1400</v>
      </c>
      <c r="C36" s="89" t="n">
        <v>395</v>
      </c>
      <c r="D36" s="88" t="n">
        <v>1005</v>
      </c>
      <c r="E36" s="90" t="n">
        <v>302</v>
      </c>
      <c r="F36" s="101" t="n">
        <v>134</v>
      </c>
      <c r="G36" s="92" t="n">
        <v>703</v>
      </c>
      <c r="H36" s="102" t="n">
        <v>316</v>
      </c>
      <c r="I36" s="93" t="n"/>
    </row>
    <row r="37" ht="19.5" customHeight="1" s="149">
      <c r="A37" s="94" t="inlineStr">
        <is>
          <t>Vacuna séxtuple</t>
        </is>
      </c>
      <c r="B37" s="95" t="n">
        <v>1470</v>
      </c>
      <c r="C37" s="96" t="n">
        <v>460</v>
      </c>
      <c r="D37" s="95" t="n">
        <v>1010</v>
      </c>
      <c r="E37" s="97" t="n">
        <v>303</v>
      </c>
      <c r="F37" s="103" t="n">
        <v>135</v>
      </c>
      <c r="G37" s="99" t="n">
        <v>707</v>
      </c>
      <c r="H37" s="104" t="n">
        <v>315</v>
      </c>
      <c r="I37" s="100" t="n"/>
    </row>
    <row r="38" ht="19.5" customHeight="1" s="149">
      <c r="A38" s="27" t="inlineStr">
        <is>
          <t>Aplicación albendazol</t>
        </is>
      </c>
      <c r="B38" s="88" t="n">
        <v>300</v>
      </c>
      <c r="C38" s="91" t="inlineStr">
        <is>
          <t>—</t>
        </is>
      </c>
      <c r="D38" s="88" t="n">
        <v>300</v>
      </c>
      <c r="E38" s="90" t="n">
        <v>90</v>
      </c>
      <c r="F38" s="91" t="inlineStr">
        <is>
          <t>—</t>
        </is>
      </c>
      <c r="G38" s="92" t="n">
        <v>210</v>
      </c>
      <c r="H38" s="91" t="inlineStr">
        <is>
          <t>—</t>
        </is>
      </c>
      <c r="I38" s="93" t="n"/>
    </row>
    <row r="39" ht="19.5" customHeight="1" s="149">
      <c r="A39" s="94" t="inlineStr">
        <is>
          <t>Aplicación Panacob</t>
        </is>
      </c>
      <c r="B39" s="95" t="n">
        <v>450</v>
      </c>
      <c r="C39" s="98" t="inlineStr">
        <is>
          <t>—</t>
        </is>
      </c>
      <c r="D39" s="95" t="n">
        <v>450</v>
      </c>
      <c r="E39" s="97" t="n">
        <v>135</v>
      </c>
      <c r="F39" s="98" t="inlineStr">
        <is>
          <t>—</t>
        </is>
      </c>
      <c r="G39" s="99" t="n">
        <v>315</v>
      </c>
      <c r="H39" s="98" t="inlineStr">
        <is>
          <t>—</t>
        </is>
      </c>
      <c r="I39" s="100" t="n"/>
    </row>
    <row r="40" ht="19.5" customHeight="1" s="149">
      <c r="A40" s="27" t="inlineStr">
        <is>
          <t>Aplicación Doxiciclina</t>
        </is>
      </c>
      <c r="B40" s="88" t="n">
        <v>200</v>
      </c>
      <c r="C40" s="91" t="inlineStr">
        <is>
          <t>—</t>
        </is>
      </c>
      <c r="D40" s="88" t="n">
        <v>200</v>
      </c>
      <c r="E40" s="90" t="n">
        <v>60</v>
      </c>
      <c r="F40" s="91" t="inlineStr">
        <is>
          <t>—</t>
        </is>
      </c>
      <c r="G40" s="92" t="n">
        <v>140</v>
      </c>
      <c r="H40" s="91" t="inlineStr">
        <is>
          <t>—</t>
        </is>
      </c>
      <c r="I40" s="93" t="n"/>
    </row>
    <row r="41" ht="19.5" customHeight="1" s="149">
      <c r="A41" s="94" t="inlineStr">
        <is>
          <t>Aplicación Oxantel</t>
        </is>
      </c>
      <c r="B41" s="95" t="n">
        <v>250</v>
      </c>
      <c r="C41" s="98" t="inlineStr">
        <is>
          <t>—</t>
        </is>
      </c>
      <c r="D41" s="95" t="n">
        <v>250</v>
      </c>
      <c r="E41" s="97" t="n">
        <v>75</v>
      </c>
      <c r="F41" s="98" t="inlineStr">
        <is>
          <t>—</t>
        </is>
      </c>
      <c r="G41" s="99" t="n">
        <v>175</v>
      </c>
      <c r="H41" s="98" t="inlineStr">
        <is>
          <t>—</t>
        </is>
      </c>
      <c r="I41" s="100" t="n"/>
    </row>
    <row r="42" ht="19.5" customHeight="1" s="149">
      <c r="A42" s="27" t="inlineStr">
        <is>
          <t>Aplicación Saniderm</t>
        </is>
      </c>
      <c r="B42" s="88" t="n">
        <v>300</v>
      </c>
      <c r="C42" s="91" t="inlineStr">
        <is>
          <t>—</t>
        </is>
      </c>
      <c r="D42" s="88" t="n">
        <v>300</v>
      </c>
      <c r="E42" s="90" t="n">
        <v>90</v>
      </c>
      <c r="F42" s="91" t="inlineStr">
        <is>
          <t>—</t>
        </is>
      </c>
      <c r="G42" s="92" t="n">
        <v>210</v>
      </c>
      <c r="H42" s="91" t="inlineStr">
        <is>
          <t>—</t>
        </is>
      </c>
      <c r="I42" s="93" t="n"/>
    </row>
    <row r="43" ht="19.5" customHeight="1" s="149">
      <c r="A43" s="94" t="inlineStr">
        <is>
          <t>Aplicación Gencloven</t>
        </is>
      </c>
      <c r="B43" s="95" t="n">
        <v>300</v>
      </c>
      <c r="C43" s="98" t="inlineStr">
        <is>
          <t>—</t>
        </is>
      </c>
      <c r="D43" s="95" t="n">
        <v>300</v>
      </c>
      <c r="E43" s="97" t="n">
        <v>90</v>
      </c>
      <c r="F43" s="98" t="inlineStr">
        <is>
          <t>—</t>
        </is>
      </c>
      <c r="G43" s="98" t="inlineStr">
        <is>
          <t>—</t>
        </is>
      </c>
      <c r="H43" s="98" t="inlineStr">
        <is>
          <t>—</t>
        </is>
      </c>
      <c r="I43" s="100" t="n"/>
    </row>
    <row r="44" ht="19.5" customHeight="1" s="149">
      <c r="A44" s="27" t="inlineStr">
        <is>
          <t>Ivermectina</t>
        </is>
      </c>
      <c r="B44" s="88" t="n">
        <v>500</v>
      </c>
      <c r="C44" s="91" t="inlineStr">
        <is>
          <t>—</t>
        </is>
      </c>
      <c r="D44" s="88" t="n">
        <v>500</v>
      </c>
      <c r="E44" s="91" t="inlineStr">
        <is>
          <t>—</t>
        </is>
      </c>
      <c r="F44" s="91" t="inlineStr">
        <is>
          <t>—</t>
        </is>
      </c>
      <c r="G44" s="91" t="inlineStr">
        <is>
          <t>—</t>
        </is>
      </c>
      <c r="H44" s="91" t="inlineStr">
        <is>
          <t>—</t>
        </is>
      </c>
      <c r="I44" s="93" t="inlineStr">
        <is>
          <t>Sin comisión definida aún</t>
        </is>
      </c>
    </row>
    <row r="45" ht="19.5" customHeight="1" s="149">
      <c r="A45" s="94" t="inlineStr">
        <is>
          <t>Aplicación gotas óticas</t>
        </is>
      </c>
      <c r="B45" s="95" t="n">
        <v>485</v>
      </c>
      <c r="C45" s="98" t="inlineStr">
        <is>
          <t>—</t>
        </is>
      </c>
      <c r="D45" s="95" t="n">
        <v>485</v>
      </c>
      <c r="E45" s="97" t="n">
        <v>146</v>
      </c>
      <c r="F45" s="98" t="inlineStr">
        <is>
          <t>—</t>
        </is>
      </c>
      <c r="G45" s="98" t="inlineStr">
        <is>
          <t>—</t>
        </is>
      </c>
      <c r="H45" s="98" t="inlineStr">
        <is>
          <t>—</t>
        </is>
      </c>
      <c r="I45" s="100" t="n"/>
    </row>
    <row r="46" ht="19.5" customHeight="1" s="149">
      <c r="A46" s="27" t="inlineStr">
        <is>
          <t>Aplicación Meloxipet</t>
        </is>
      </c>
      <c r="B46" s="88" t="n">
        <v>300</v>
      </c>
      <c r="C46" s="91" t="inlineStr">
        <is>
          <t>—</t>
        </is>
      </c>
      <c r="D46" s="88" t="n">
        <v>300</v>
      </c>
      <c r="E46" s="90" t="n">
        <v>90</v>
      </c>
      <c r="F46" s="91" t="inlineStr">
        <is>
          <t>—</t>
        </is>
      </c>
      <c r="G46" s="91" t="inlineStr">
        <is>
          <t>—</t>
        </is>
      </c>
      <c r="H46" s="91" t="inlineStr">
        <is>
          <t>—</t>
        </is>
      </c>
      <c r="I46" s="93" t="n"/>
    </row>
    <row r="47" ht="19.5" customHeight="1" s="149">
      <c r="A47" s="94" t="inlineStr">
        <is>
          <t>Refuerzo anual (quíntuple+giardia+bordetella+rabia)</t>
        </is>
      </c>
      <c r="B47" s="95" t="n">
        <v>4400</v>
      </c>
      <c r="C47" s="98" t="inlineStr">
        <is>
          <t>—</t>
        </is>
      </c>
      <c r="D47" s="95" t="n">
        <v>4400</v>
      </c>
      <c r="E47" s="98" t="inlineStr">
        <is>
          <t>—</t>
        </is>
      </c>
      <c r="F47" s="98" t="inlineStr">
        <is>
          <t>—</t>
        </is>
      </c>
      <c r="G47" s="98" t="inlineStr">
        <is>
          <t>—</t>
        </is>
      </c>
      <c r="H47" s="98" t="inlineStr">
        <is>
          <t>—</t>
        </is>
      </c>
      <c r="I47" s="100" t="inlineStr">
        <is>
          <t>Paquete especial — precio negociado</t>
        </is>
      </c>
    </row>
    <row r="48" ht="19.5" customHeight="1" s="149">
      <c r="A48" s="27" t="inlineStr">
        <is>
          <t>Refuerzo anual + consulta (quíntuple+bordetella+rabia)</t>
        </is>
      </c>
      <c r="B48" s="88" t="n">
        <v>3800</v>
      </c>
      <c r="C48" s="91" t="inlineStr">
        <is>
          <t>—</t>
        </is>
      </c>
      <c r="D48" s="88" t="n">
        <v>3800</v>
      </c>
      <c r="E48" s="91" t="inlineStr">
        <is>
          <t>—</t>
        </is>
      </c>
      <c r="F48" s="91" t="inlineStr">
        <is>
          <t>—</t>
        </is>
      </c>
      <c r="G48" s="91" t="inlineStr">
        <is>
          <t>—</t>
        </is>
      </c>
      <c r="H48" s="91" t="inlineStr">
        <is>
          <t>—</t>
        </is>
      </c>
      <c r="I48" s="93" t="inlineStr">
        <is>
          <t>Paquete especial — precio negociado</t>
        </is>
      </c>
    </row>
    <row r="49" ht="18" customHeight="1" s="149">
      <c r="A49" s="165" t="inlineStr">
        <is>
          <t xml:space="preserve">  ℹ️  Fórmula Dra. Aylein: Comisión = (Precio − Gasto) × 30%  ·  Tarifa PC = Precio − Gasto − Comisión  ·  Con sueldo base de RD$25,000/mes garantizado</t>
        </is>
      </c>
    </row>
    <row r="50" ht="15.75" customHeight="1" s="149"/>
    <row r="51" ht="30" customHeight="1" s="149">
      <c r="A51" s="166" t="inlineStr">
        <is>
          <t>🩺  VETERINARIA — Dra. Valentina  |  Comisión 40% (sobre precio − gasto)  ·  Sin sueldo fijo</t>
        </is>
      </c>
    </row>
    <row r="52" ht="18" customHeight="1" s="149">
      <c r="A52" s="167" t="inlineStr">
        <is>
          <t>Sin salario base — trabaja por llamado · 40% de comisión por procedimiento · Servicios exclusivos de mayor especialización</t>
        </is>
      </c>
    </row>
    <row r="53" ht="31.5" customHeight="1" s="149">
      <c r="A53" s="108" t="inlineStr">
        <is>
          <t>SERVICIO</t>
        </is>
      </c>
      <c r="B53" s="108" t="inlineStr">
        <is>
          <t>PRECIO RD$</t>
        </is>
      </c>
      <c r="C53" s="108" t="inlineStr">
        <is>
          <t>GASTO RD$</t>
        </is>
      </c>
      <c r="D53" s="108" t="inlineStr">
        <is>
          <t>BASE COMIS. (P-G)</t>
        </is>
      </c>
      <c r="E53" s="108" t="inlineStr">
        <is>
          <t>COM. VALENTINA 40%</t>
        </is>
      </c>
      <c r="F53" s="108" t="inlineStr">
        <is>
          <t>TARIFA PETCOLINAS 60%</t>
        </is>
      </c>
      <c r="G53" s="108" t="inlineStr">
        <is>
          <t>% VALENTINA</t>
        </is>
      </c>
      <c r="H53" s="108" t="inlineStr">
        <is>
          <t>EXCLUSIVO DRA. VALENTINA</t>
        </is>
      </c>
    </row>
    <row r="54" ht="19.5" customHeight="1" s="149">
      <c r="A54" s="109" t="inlineStr">
        <is>
          <t>Consulta</t>
        </is>
      </c>
      <c r="B54" s="110" t="n">
        <v>1500</v>
      </c>
      <c r="C54" s="111" t="n">
        <v>560</v>
      </c>
      <c r="D54" s="110" t="n">
        <v>940</v>
      </c>
      <c r="E54" s="112" t="n">
        <v>376</v>
      </c>
      <c r="F54" s="113" t="n">
        <v>564</v>
      </c>
      <c r="G54" s="114" t="n">
        <v>0.2506666666666666</v>
      </c>
      <c r="H54" s="115" t="inlineStr">
        <is>
          <t>—</t>
        </is>
      </c>
    </row>
    <row r="55" ht="19.5" customHeight="1" s="149">
      <c r="A55" s="116" t="inlineStr">
        <is>
          <t>Muestra / Diagnóstico</t>
        </is>
      </c>
      <c r="B55" s="117" t="n">
        <v>1200</v>
      </c>
      <c r="C55" s="118" t="n">
        <v>300</v>
      </c>
      <c r="D55" s="117" t="n">
        <v>900</v>
      </c>
      <c r="E55" s="119" t="n">
        <v>360</v>
      </c>
      <c r="F55" s="120" t="n">
        <v>540</v>
      </c>
      <c r="G55" s="121" t="n">
        <v>0.3</v>
      </c>
      <c r="H55" s="122" t="inlineStr">
        <is>
          <t>—</t>
        </is>
      </c>
    </row>
    <row r="56" ht="19.5" customHeight="1" s="149">
      <c r="A56" s="109" t="inlineStr">
        <is>
          <t>Vacuna quíntuple</t>
        </is>
      </c>
      <c r="B56" s="110" t="n">
        <v>1200</v>
      </c>
      <c r="C56" s="111" t="n">
        <v>310</v>
      </c>
      <c r="D56" s="110" t="n">
        <v>890</v>
      </c>
      <c r="E56" s="112" t="n">
        <v>356</v>
      </c>
      <c r="F56" s="113" t="n">
        <v>534</v>
      </c>
      <c r="G56" s="114" t="n">
        <v>0.2966666666666667</v>
      </c>
      <c r="H56" s="115" t="inlineStr">
        <is>
          <t>—</t>
        </is>
      </c>
    </row>
    <row r="57" ht="19.5" customHeight="1" s="149">
      <c r="A57" s="116" t="inlineStr">
        <is>
          <t>Vacuna rabia</t>
        </is>
      </c>
      <c r="B57" s="117" t="n">
        <v>1500</v>
      </c>
      <c r="C57" s="118" t="n">
        <v>613</v>
      </c>
      <c r="D57" s="117" t="n">
        <v>887</v>
      </c>
      <c r="E57" s="119" t="n">
        <v>354.8</v>
      </c>
      <c r="F57" s="120" t="n">
        <v>532.2</v>
      </c>
      <c r="G57" s="121" t="n">
        <v>0.2365333333333333</v>
      </c>
      <c r="H57" s="122" t="inlineStr">
        <is>
          <t>—</t>
        </is>
      </c>
    </row>
    <row r="58" ht="19.5" customHeight="1" s="149">
      <c r="A58" s="109" t="inlineStr">
        <is>
          <t>Vacuna giardia</t>
        </is>
      </c>
      <c r="B58" s="110" t="n">
        <v>1450</v>
      </c>
      <c r="C58" s="111" t="n">
        <v>495</v>
      </c>
      <c r="D58" s="110" t="n">
        <v>955</v>
      </c>
      <c r="E58" s="112" t="n">
        <v>382</v>
      </c>
      <c r="F58" s="113" t="n">
        <v>573</v>
      </c>
      <c r="G58" s="114" t="n">
        <v>0.263448275862069</v>
      </c>
      <c r="H58" s="115" t="inlineStr">
        <is>
          <t>—</t>
        </is>
      </c>
    </row>
    <row r="59" ht="19.5" customHeight="1" s="149">
      <c r="A59" s="116" t="inlineStr">
        <is>
          <t>Vacuna triple</t>
        </is>
      </c>
      <c r="B59" s="117" t="n">
        <v>1300</v>
      </c>
      <c r="C59" s="118" t="n">
        <v>365</v>
      </c>
      <c r="D59" s="117" t="n">
        <v>935</v>
      </c>
      <c r="E59" s="119" t="n">
        <v>374</v>
      </c>
      <c r="F59" s="120" t="n">
        <v>561</v>
      </c>
      <c r="G59" s="121" t="n">
        <v>0.2876923076923077</v>
      </c>
      <c r="H59" s="122" t="inlineStr">
        <is>
          <t>—</t>
        </is>
      </c>
    </row>
    <row r="60" ht="19.5" customHeight="1" s="149">
      <c r="A60" s="109" t="inlineStr">
        <is>
          <t>Vacuna leucocell felina</t>
        </is>
      </c>
      <c r="B60" s="110" t="n">
        <v>1850</v>
      </c>
      <c r="C60" s="111" t="n">
        <v>795</v>
      </c>
      <c r="D60" s="110" t="n">
        <v>1055</v>
      </c>
      <c r="E60" s="112" t="n">
        <v>422</v>
      </c>
      <c r="F60" s="113" t="n">
        <v>633</v>
      </c>
      <c r="G60" s="114" t="n">
        <v>0.2281081081081081</v>
      </c>
      <c r="H60" s="115" t="inlineStr">
        <is>
          <t>—</t>
        </is>
      </c>
    </row>
    <row r="61" ht="19.5" customHeight="1" s="149">
      <c r="A61" s="116" t="inlineStr">
        <is>
          <t>Test rápido Inmunodeficiencia felina</t>
        </is>
      </c>
      <c r="B61" s="117" t="n">
        <v>1100</v>
      </c>
      <c r="C61" s="118" t="n">
        <v>523</v>
      </c>
      <c r="D61" s="117" t="n">
        <v>577</v>
      </c>
      <c r="E61" s="119" t="n">
        <v>230.8</v>
      </c>
      <c r="F61" s="120" t="n">
        <v>346.2</v>
      </c>
      <c r="G61" s="121" t="n">
        <v>0.2098181818181818</v>
      </c>
      <c r="H61" s="122" t="inlineStr">
        <is>
          <t>—</t>
        </is>
      </c>
    </row>
    <row r="62" ht="19.5" customHeight="1" s="149">
      <c r="A62" s="109" t="inlineStr">
        <is>
          <t>Test Parvovirus/Corona/Giardia (canino)</t>
        </is>
      </c>
      <c r="B62" s="110" t="n">
        <v>1970</v>
      </c>
      <c r="C62" s="111" t="n">
        <v>985</v>
      </c>
      <c r="D62" s="110" t="n">
        <v>985</v>
      </c>
      <c r="E62" s="112" t="n">
        <v>394</v>
      </c>
      <c r="F62" s="113" t="n">
        <v>591</v>
      </c>
      <c r="G62" s="114" t="n">
        <v>0.2</v>
      </c>
      <c r="H62" s="115" t="inlineStr">
        <is>
          <t>—</t>
        </is>
      </c>
    </row>
    <row r="63" ht="19.5" customHeight="1" s="149">
      <c r="A63" s="116" t="inlineStr">
        <is>
          <t>Test Parvovirus/Corona/Giardia (felino)</t>
        </is>
      </c>
      <c r="B63" s="117" t="n">
        <v>1200</v>
      </c>
      <c r="C63" s="118" t="n">
        <v>536</v>
      </c>
      <c r="D63" s="117" t="n">
        <v>664</v>
      </c>
      <c r="E63" s="119" t="n">
        <v>265.6</v>
      </c>
      <c r="F63" s="120" t="n">
        <v>398.4</v>
      </c>
      <c r="G63" s="121" t="n">
        <v>0.2213333333333334</v>
      </c>
      <c r="H63" s="122" t="inlineStr">
        <is>
          <t>—</t>
        </is>
      </c>
    </row>
    <row r="64" ht="19.5" customHeight="1" s="149">
      <c r="A64" s="109" t="inlineStr">
        <is>
          <t>Aplicación albendazol</t>
        </is>
      </c>
      <c r="B64" s="110" t="n">
        <v>300</v>
      </c>
      <c r="C64" s="123" t="inlineStr">
        <is>
          <t>—</t>
        </is>
      </c>
      <c r="D64" s="110" t="n">
        <v>300</v>
      </c>
      <c r="E64" s="112" t="n">
        <v>120</v>
      </c>
      <c r="F64" s="113" t="n">
        <v>180</v>
      </c>
      <c r="G64" s="114" t="n">
        <v>0.4</v>
      </c>
      <c r="H64" s="115" t="inlineStr">
        <is>
          <t>—</t>
        </is>
      </c>
    </row>
    <row r="65" ht="19.5" customHeight="1" s="149">
      <c r="A65" s="116" t="inlineStr">
        <is>
          <t>Aplicación Panacob</t>
        </is>
      </c>
      <c r="B65" s="117" t="n">
        <v>450</v>
      </c>
      <c r="C65" s="124" t="inlineStr">
        <is>
          <t>—</t>
        </is>
      </c>
      <c r="D65" s="117" t="n">
        <v>450</v>
      </c>
      <c r="E65" s="119" t="n">
        <v>180</v>
      </c>
      <c r="F65" s="120" t="n">
        <v>270</v>
      </c>
      <c r="G65" s="121" t="n">
        <v>0.4</v>
      </c>
      <c r="H65" s="122" t="inlineStr">
        <is>
          <t>—</t>
        </is>
      </c>
    </row>
    <row r="66" ht="19.5" customHeight="1" s="149">
      <c r="A66" s="109" t="inlineStr">
        <is>
          <t>Aplicación Doxiciclina</t>
        </is>
      </c>
      <c r="B66" s="110" t="n">
        <v>200</v>
      </c>
      <c r="C66" s="123" t="inlineStr">
        <is>
          <t>—</t>
        </is>
      </c>
      <c r="D66" s="110" t="n">
        <v>200</v>
      </c>
      <c r="E66" s="112" t="n">
        <v>80</v>
      </c>
      <c r="F66" s="113" t="n">
        <v>120</v>
      </c>
      <c r="G66" s="114" t="n">
        <v>0.4</v>
      </c>
      <c r="H66" s="115" t="inlineStr">
        <is>
          <t>—</t>
        </is>
      </c>
    </row>
    <row r="67" ht="19.5" customHeight="1" s="149">
      <c r="A67" s="116" t="inlineStr">
        <is>
          <t>Aplicación Oxantel</t>
        </is>
      </c>
      <c r="B67" s="117" t="n">
        <v>250</v>
      </c>
      <c r="C67" s="124" t="inlineStr">
        <is>
          <t>—</t>
        </is>
      </c>
      <c r="D67" s="117" t="n">
        <v>250</v>
      </c>
      <c r="E67" s="119" t="n">
        <v>100</v>
      </c>
      <c r="F67" s="120" t="n">
        <v>150</v>
      </c>
      <c r="G67" s="121" t="n">
        <v>0.4</v>
      </c>
      <c r="H67" s="122" t="inlineStr">
        <is>
          <t>—</t>
        </is>
      </c>
    </row>
    <row r="68" ht="19.5" customHeight="1" s="149">
      <c r="A68" s="109" t="inlineStr">
        <is>
          <t>Aplicación Saniderm</t>
        </is>
      </c>
      <c r="B68" s="110" t="n">
        <v>300</v>
      </c>
      <c r="C68" s="123" t="inlineStr">
        <is>
          <t>—</t>
        </is>
      </c>
      <c r="D68" s="110" t="n">
        <v>300</v>
      </c>
      <c r="E68" s="112" t="n">
        <v>120</v>
      </c>
      <c r="F68" s="113" t="n">
        <v>180</v>
      </c>
      <c r="G68" s="114" t="n">
        <v>0.4</v>
      </c>
      <c r="H68" s="115" t="inlineStr">
        <is>
          <t>—</t>
        </is>
      </c>
    </row>
    <row r="69" ht="19.5" customHeight="1" s="149">
      <c r="A69" s="116" t="inlineStr">
        <is>
          <t>Vacuna bordetella</t>
        </is>
      </c>
      <c r="B69" s="117" t="n">
        <v>1400</v>
      </c>
      <c r="C69" s="118" t="n">
        <v>395</v>
      </c>
      <c r="D69" s="117" t="n">
        <v>1005</v>
      </c>
      <c r="E69" s="119" t="n">
        <v>402</v>
      </c>
      <c r="F69" s="120" t="n">
        <v>603</v>
      </c>
      <c r="G69" s="121" t="n">
        <v>0.2871428571428571</v>
      </c>
      <c r="H69" s="122" t="inlineStr">
        <is>
          <t>—</t>
        </is>
      </c>
    </row>
    <row r="70" ht="19.5" customHeight="1" s="149">
      <c r="A70" s="109" t="inlineStr">
        <is>
          <t>Vacuna séxtuple</t>
        </is>
      </c>
      <c r="B70" s="110" t="n">
        <v>1470</v>
      </c>
      <c r="C70" s="111" t="n">
        <v>460</v>
      </c>
      <c r="D70" s="110" t="n">
        <v>1010</v>
      </c>
      <c r="E70" s="112" t="n">
        <v>404</v>
      </c>
      <c r="F70" s="113" t="n">
        <v>606</v>
      </c>
      <c r="G70" s="114" t="n">
        <v>0.2748299319727891</v>
      </c>
      <c r="H70" s="115" t="inlineStr">
        <is>
          <t>—</t>
        </is>
      </c>
    </row>
    <row r="71" ht="19.5" customHeight="1" s="149">
      <c r="A71" s="125" t="inlineStr">
        <is>
          <t>Limpieza de heridas pequeña</t>
        </is>
      </c>
      <c r="B71" s="126" t="n">
        <v>400</v>
      </c>
      <c r="C71" s="127" t="inlineStr">
        <is>
          <t>—</t>
        </is>
      </c>
      <c r="D71" s="126" t="n">
        <v>400</v>
      </c>
      <c r="E71" s="128" t="n">
        <v>160</v>
      </c>
      <c r="F71" s="129" t="n">
        <v>240</v>
      </c>
      <c r="G71" s="130" t="n">
        <v>0.4</v>
      </c>
      <c r="H71" s="131" t="inlineStr">
        <is>
          <t>✅ EXCLUSIVO</t>
        </is>
      </c>
    </row>
    <row r="72" ht="19.5" customHeight="1" s="149">
      <c r="A72" s="132" t="inlineStr">
        <is>
          <t>Limpieza de heridas grandes</t>
        </is>
      </c>
      <c r="B72" s="133" t="n">
        <v>600</v>
      </c>
      <c r="C72" s="134" t="inlineStr">
        <is>
          <t>—</t>
        </is>
      </c>
      <c r="D72" s="133" t="n">
        <v>600</v>
      </c>
      <c r="E72" s="135" t="n">
        <v>240</v>
      </c>
      <c r="F72" s="136" t="n">
        <v>360</v>
      </c>
      <c r="G72" s="137" t="n">
        <v>0.4</v>
      </c>
      <c r="H72" s="138" t="inlineStr">
        <is>
          <t>✅ EXCLUSIVO</t>
        </is>
      </c>
    </row>
    <row r="73" ht="19.5" customHeight="1" s="149">
      <c r="A73" s="125" t="inlineStr">
        <is>
          <t>Fluidoterapia</t>
        </is>
      </c>
      <c r="B73" s="126" t="n">
        <v>1000</v>
      </c>
      <c r="C73" s="127" t="inlineStr">
        <is>
          <t>—</t>
        </is>
      </c>
      <c r="D73" s="126" t="n">
        <v>1000</v>
      </c>
      <c r="E73" s="128" t="n">
        <v>400</v>
      </c>
      <c r="F73" s="129" t="n">
        <v>600</v>
      </c>
      <c r="G73" s="130" t="n">
        <v>0.4</v>
      </c>
      <c r="H73" s="131" t="inlineStr">
        <is>
          <t>✅ EXCLUSIVO</t>
        </is>
      </c>
    </row>
    <row r="74" ht="19.5" customHeight="1" s="149">
      <c r="A74" s="132" t="inlineStr">
        <is>
          <t>Vendaje</t>
        </is>
      </c>
      <c r="B74" s="133" t="n">
        <v>800</v>
      </c>
      <c r="C74" s="134" t="inlineStr">
        <is>
          <t>—</t>
        </is>
      </c>
      <c r="D74" s="133" t="n">
        <v>800</v>
      </c>
      <c r="E74" s="135" t="n">
        <v>320</v>
      </c>
      <c r="F74" s="136" t="n">
        <v>480</v>
      </c>
      <c r="G74" s="137" t="n">
        <v>0.4</v>
      </c>
      <c r="H74" s="138" t="inlineStr">
        <is>
          <t>✅ EXCLUSIVO</t>
        </is>
      </c>
    </row>
    <row r="75" ht="19.5" customHeight="1" s="149">
      <c r="A75" s="125" t="inlineStr">
        <is>
          <t>Tricograma</t>
        </is>
      </c>
      <c r="B75" s="126" t="n">
        <v>700</v>
      </c>
      <c r="C75" s="127" t="inlineStr">
        <is>
          <t>—</t>
        </is>
      </c>
      <c r="D75" s="126" t="n">
        <v>700</v>
      </c>
      <c r="E75" s="128" t="n">
        <v>280</v>
      </c>
      <c r="F75" s="129" t="n">
        <v>420</v>
      </c>
      <c r="G75" s="130" t="n">
        <v>0.4</v>
      </c>
      <c r="H75" s="131" t="inlineStr">
        <is>
          <t>✅ EXCLUSIVO</t>
        </is>
      </c>
    </row>
    <row r="76" ht="19.5" customHeight="1" s="149">
      <c r="A76" s="132" t="inlineStr">
        <is>
          <t>Citología de oído</t>
        </is>
      </c>
      <c r="B76" s="133" t="n">
        <v>800</v>
      </c>
      <c r="C76" s="134" t="inlineStr">
        <is>
          <t>—</t>
        </is>
      </c>
      <c r="D76" s="133" t="n">
        <v>800</v>
      </c>
      <c r="E76" s="135" t="n">
        <v>320</v>
      </c>
      <c r="F76" s="136" t="n">
        <v>480</v>
      </c>
      <c r="G76" s="137" t="n">
        <v>0.4</v>
      </c>
      <c r="H76" s="138" t="inlineStr">
        <is>
          <t>✅ EXCLUSIVO</t>
        </is>
      </c>
    </row>
    <row r="77" ht="19.5" customHeight="1" s="149">
      <c r="A77" s="125" t="inlineStr">
        <is>
          <t>Citología de piel</t>
        </is>
      </c>
      <c r="B77" s="126" t="n">
        <v>800</v>
      </c>
      <c r="C77" s="127" t="inlineStr">
        <is>
          <t>—</t>
        </is>
      </c>
      <c r="D77" s="126" t="n">
        <v>800</v>
      </c>
      <c r="E77" s="128" t="n">
        <v>320</v>
      </c>
      <c r="F77" s="129" t="n">
        <v>480</v>
      </c>
      <c r="G77" s="130" t="n">
        <v>0.4</v>
      </c>
      <c r="H77" s="131" t="inlineStr">
        <is>
          <t>✅ EXCLUSIVO</t>
        </is>
      </c>
    </row>
    <row r="78" ht="19.5" customHeight="1" s="149">
      <c r="A78" s="132" t="inlineStr">
        <is>
          <t>Raspado</t>
        </is>
      </c>
      <c r="B78" s="133" t="n">
        <v>700</v>
      </c>
      <c r="C78" s="134" t="inlineStr">
        <is>
          <t>—</t>
        </is>
      </c>
      <c r="D78" s="133" t="n">
        <v>700</v>
      </c>
      <c r="E78" s="135" t="n">
        <v>280</v>
      </c>
      <c r="F78" s="136" t="n">
        <v>420</v>
      </c>
      <c r="G78" s="137" t="n">
        <v>0.4</v>
      </c>
      <c r="H78" s="138" t="inlineStr">
        <is>
          <t>✅ EXCLUSIVO</t>
        </is>
      </c>
    </row>
    <row r="79" ht="19.5" customHeight="1" s="149">
      <c r="A79" s="125" t="inlineStr">
        <is>
          <t>Quimioterapia Tumor Venéreo Transmisible</t>
        </is>
      </c>
      <c r="B79" s="126" t="n">
        <v>3000</v>
      </c>
      <c r="C79" s="127" t="inlineStr">
        <is>
          <t>—</t>
        </is>
      </c>
      <c r="D79" s="126" t="n">
        <v>3000</v>
      </c>
      <c r="E79" s="128" t="n">
        <v>1200</v>
      </c>
      <c r="F79" s="129" t="n">
        <v>1800</v>
      </c>
      <c r="G79" s="130" t="n">
        <v>0.4</v>
      </c>
      <c r="H79" s="131" t="inlineStr">
        <is>
          <t>✅ EXCLUSIVO</t>
        </is>
      </c>
    </row>
    <row r="80" ht="18" customHeight="1" s="149">
      <c r="A80" s="168" t="inlineStr">
        <is>
          <t xml:space="preserve">  ℹ️  Fórmula Dra. Valentina: Comisión = (Precio − Gasto) × 40%  ·  Sin sueldo base  ·  Trabaja por llamado  ·  Servicios marcados ✅ son exclusivos de su especialización</t>
        </is>
      </c>
    </row>
    <row r="81" ht="15.75" customHeight="1" s="149"/>
    <row r="82" ht="30" customHeight="1" s="149">
      <c r="A82" s="169" t="inlineStr">
        <is>
          <t>⚖️  COMPARATIVA: Dra. Aylein (30%) vs Dra. Valentina (40%) — Diferencial por servicio</t>
        </is>
      </c>
    </row>
    <row r="83" ht="30" customHeight="1" s="149">
      <c r="A83" s="141" t="inlineStr">
        <is>
          <t>SERVICIO</t>
        </is>
      </c>
      <c r="B83" s="141" t="inlineStr">
        <is>
          <t>PRECIO RD$</t>
        </is>
      </c>
      <c r="C83" s="141" t="inlineStr">
        <is>
          <t>COMISIÓN AYLEIN (30%) RD$</t>
        </is>
      </c>
      <c r="D83" s="141" t="inlineStr">
        <is>
          <t>COMISIÓN VALENTINA (40%) RD$</t>
        </is>
      </c>
      <c r="E83" s="141" t="inlineStr">
        <is>
          <t>DIFERENCIA RD$</t>
        </is>
      </c>
      <c r="F83" s="141" t="inlineStr">
        <is>
          <t>% MÁS VALENTINA</t>
        </is>
      </c>
    </row>
    <row r="84" ht="19.5" customHeight="1" s="149">
      <c r="A84" s="142" t="inlineStr">
        <is>
          <t>Consulta</t>
        </is>
      </c>
      <c r="B84" s="143" t="n">
        <v>1500</v>
      </c>
      <c r="C84" s="144" t="n">
        <v>282</v>
      </c>
      <c r="D84" s="145" t="n">
        <v>376</v>
      </c>
      <c r="E84" s="146" t="n">
        <v>94</v>
      </c>
      <c r="F84" s="147" t="n">
        <v>0.3333333333333333</v>
      </c>
    </row>
    <row r="85" ht="19.5" customHeight="1" s="149">
      <c r="A85" s="142" t="inlineStr">
        <is>
          <t>Muestra / Diagnóstico</t>
        </is>
      </c>
      <c r="B85" s="143" t="n">
        <v>1200</v>
      </c>
      <c r="C85" s="144" t="n">
        <v>270</v>
      </c>
      <c r="D85" s="145" t="n">
        <v>360</v>
      </c>
      <c r="E85" s="146" t="n">
        <v>90</v>
      </c>
      <c r="F85" s="147" t="n">
        <v>0.3333333333333333</v>
      </c>
    </row>
    <row r="86" ht="19.5" customHeight="1" s="149">
      <c r="A86" s="142" t="inlineStr">
        <is>
          <t>Vacuna quíntuple</t>
        </is>
      </c>
      <c r="B86" s="143" t="n">
        <v>1200</v>
      </c>
      <c r="C86" s="144" t="n">
        <v>267</v>
      </c>
      <c r="D86" s="145" t="n">
        <v>356</v>
      </c>
      <c r="E86" s="146" t="n">
        <v>89</v>
      </c>
      <c r="F86" s="147" t="n">
        <v>0.3333333333333333</v>
      </c>
    </row>
    <row r="87" ht="19.5" customHeight="1" s="149">
      <c r="A87" s="142" t="inlineStr">
        <is>
          <t>Vacuna rabia</t>
        </is>
      </c>
      <c r="B87" s="143" t="n">
        <v>1500</v>
      </c>
      <c r="C87" s="144" t="n">
        <v>266</v>
      </c>
      <c r="D87" s="145" t="n">
        <v>354.8</v>
      </c>
      <c r="E87" s="146" t="n">
        <v>88.80000000000001</v>
      </c>
      <c r="F87" s="147" t="n">
        <v>0.3338345864661655</v>
      </c>
    </row>
    <row r="88" ht="19.5" customHeight="1" s="149">
      <c r="A88" s="142" t="inlineStr">
        <is>
          <t>Vacuna giardia</t>
        </is>
      </c>
      <c r="B88" s="143" t="n">
        <v>1450</v>
      </c>
      <c r="C88" s="144" t="n">
        <v>286</v>
      </c>
      <c r="D88" s="145" t="n">
        <v>382</v>
      </c>
      <c r="E88" s="146" t="n">
        <v>96</v>
      </c>
      <c r="F88" s="147" t="n">
        <v>0.3356643356643357</v>
      </c>
    </row>
    <row r="89" ht="19.5" customHeight="1" s="149">
      <c r="A89" s="142" t="inlineStr">
        <is>
          <t>Vacuna triple</t>
        </is>
      </c>
      <c r="B89" s="143" t="n">
        <v>1300</v>
      </c>
      <c r="C89" s="144" t="n">
        <v>280</v>
      </c>
      <c r="D89" s="145" t="n">
        <v>374</v>
      </c>
      <c r="E89" s="146" t="n">
        <v>94</v>
      </c>
      <c r="F89" s="147" t="n">
        <v>0.3357142857142857</v>
      </c>
    </row>
    <row r="90" ht="19.5" customHeight="1" s="149">
      <c r="A90" s="142" t="inlineStr">
        <is>
          <t>Vacuna leucocell felina</t>
        </is>
      </c>
      <c r="B90" s="143" t="n">
        <v>1850</v>
      </c>
      <c r="C90" s="144" t="n">
        <v>316</v>
      </c>
      <c r="D90" s="145" t="n">
        <v>422</v>
      </c>
      <c r="E90" s="146" t="n">
        <v>106</v>
      </c>
      <c r="F90" s="147" t="n">
        <v>0.3354430379746836</v>
      </c>
    </row>
    <row r="91" ht="19.5" customHeight="1" s="149">
      <c r="A91" s="142" t="inlineStr">
        <is>
          <t>Test rápido Inmunodeficiencia felina</t>
        </is>
      </c>
      <c r="B91" s="143" t="n">
        <v>1100</v>
      </c>
      <c r="C91" s="144" t="n">
        <v>173</v>
      </c>
      <c r="D91" s="145" t="n">
        <v>230.8</v>
      </c>
      <c r="E91" s="146" t="n">
        <v>57.80000000000001</v>
      </c>
      <c r="F91" s="147" t="n">
        <v>0.3341040462427746</v>
      </c>
    </row>
    <row r="92" ht="19.5" customHeight="1" s="149">
      <c r="A92" s="142" t="inlineStr">
        <is>
          <t>Test Parvovirus/Corona/Giardia (canino)</t>
        </is>
      </c>
      <c r="B92" s="143" t="n">
        <v>1970</v>
      </c>
      <c r="C92" s="144" t="n">
        <v>295</v>
      </c>
      <c r="D92" s="145" t="n">
        <v>394</v>
      </c>
      <c r="E92" s="146" t="n">
        <v>99</v>
      </c>
      <c r="F92" s="147" t="n">
        <v>0.335593220338983</v>
      </c>
    </row>
    <row r="93" ht="19.5" customHeight="1" s="149">
      <c r="A93" s="142" t="inlineStr">
        <is>
          <t>Test Parvovirus/Corona/Giardia (felino)</t>
        </is>
      </c>
      <c r="B93" s="143" t="n">
        <v>1200</v>
      </c>
      <c r="C93" s="144" t="n">
        <v>199</v>
      </c>
      <c r="D93" s="145" t="n">
        <v>265.6</v>
      </c>
      <c r="E93" s="146" t="n">
        <v>66.60000000000002</v>
      </c>
      <c r="F93" s="147" t="n">
        <v>0.334673366834171</v>
      </c>
    </row>
    <row r="94" ht="19.5" customHeight="1" s="149">
      <c r="A94" s="142" t="inlineStr">
        <is>
          <t>Aplicación albendazol</t>
        </is>
      </c>
      <c r="B94" s="143" t="n">
        <v>300</v>
      </c>
      <c r="C94" s="144" t="n">
        <v>90</v>
      </c>
      <c r="D94" s="145" t="n">
        <v>120</v>
      </c>
      <c r="E94" s="146" t="n">
        <v>30</v>
      </c>
      <c r="F94" s="147" t="n">
        <v>0.3333333333333333</v>
      </c>
    </row>
    <row r="95" ht="19.5" customHeight="1" s="149">
      <c r="A95" s="142" t="inlineStr">
        <is>
          <t>Aplicación Panacob</t>
        </is>
      </c>
      <c r="B95" s="143" t="n">
        <v>450</v>
      </c>
      <c r="C95" s="144" t="n">
        <v>135</v>
      </c>
      <c r="D95" s="145" t="n">
        <v>180</v>
      </c>
      <c r="E95" s="146" t="n">
        <v>45</v>
      </c>
      <c r="F95" s="147" t="n">
        <v>0.3333333333333333</v>
      </c>
    </row>
    <row r="96" ht="19.5" customHeight="1" s="149">
      <c r="A96" s="142" t="inlineStr">
        <is>
          <t>Aplicación Doxiciclina</t>
        </is>
      </c>
      <c r="B96" s="143" t="n">
        <v>200</v>
      </c>
      <c r="C96" s="144" t="n">
        <v>60</v>
      </c>
      <c r="D96" s="145" t="n">
        <v>80</v>
      </c>
      <c r="E96" s="146" t="n">
        <v>20</v>
      </c>
      <c r="F96" s="147" t="n">
        <v>0.3333333333333333</v>
      </c>
    </row>
    <row r="97" ht="19.5" customHeight="1" s="149">
      <c r="A97" s="142" t="inlineStr">
        <is>
          <t>Aplicación Oxantel</t>
        </is>
      </c>
      <c r="B97" s="143" t="n">
        <v>250</v>
      </c>
      <c r="C97" s="144" t="n">
        <v>75</v>
      </c>
      <c r="D97" s="145" t="n">
        <v>100</v>
      </c>
      <c r="E97" s="146" t="n">
        <v>25</v>
      </c>
      <c r="F97" s="147" t="n">
        <v>0.3333333333333333</v>
      </c>
    </row>
    <row r="98" ht="19.5" customHeight="1" s="149">
      <c r="A98" s="142" t="inlineStr">
        <is>
          <t>Aplicación Saniderm</t>
        </is>
      </c>
      <c r="B98" s="143" t="n">
        <v>300</v>
      </c>
      <c r="C98" s="144" t="n">
        <v>90</v>
      </c>
      <c r="D98" s="145" t="n">
        <v>120</v>
      </c>
      <c r="E98" s="146" t="n">
        <v>30</v>
      </c>
      <c r="F98" s="147" t="n">
        <v>0.3333333333333333</v>
      </c>
    </row>
    <row r="99" ht="19.5" customHeight="1" s="149">
      <c r="A99" s="142" t="inlineStr">
        <is>
          <t>Vacuna bordetella</t>
        </is>
      </c>
      <c r="B99" s="143" t="n">
        <v>1400</v>
      </c>
      <c r="C99" s="144" t="n">
        <v>302</v>
      </c>
      <c r="D99" s="145" t="n">
        <v>402</v>
      </c>
      <c r="E99" s="146" t="n">
        <v>100</v>
      </c>
      <c r="F99" s="147" t="n">
        <v>0.3311258278145696</v>
      </c>
    </row>
    <row r="100" ht="19.5" customHeight="1" s="149">
      <c r="A100" s="142" t="inlineStr">
        <is>
          <t>Vacuna séxtuple</t>
        </is>
      </c>
      <c r="B100" s="143" t="n">
        <v>1470</v>
      </c>
      <c r="C100" s="144" t="n">
        <v>303</v>
      </c>
      <c r="D100" s="145" t="n">
        <v>404</v>
      </c>
      <c r="E100" s="146" t="n">
        <v>101</v>
      </c>
      <c r="F100" s="147" t="n">
        <v>0.3333333333333333</v>
      </c>
    </row>
    <row r="101" ht="30" customHeight="1" s="149">
      <c r="A101" s="170" t="inlineStr">
        <is>
          <t xml:space="preserve">  📌  La diferencia de 10% entre veterinarias refleja la especialización y modalidad de trabajo de Dra. Valentina (sin sueldo base, por llamado). PetColinas recibe menos % con Valentina pero evita el costo fijo mensual.</t>
        </is>
      </c>
    </row>
    <row r="102" ht="15.75" customHeight="1" s="149"/>
    <row r="103" ht="15.75" customHeight="1" s="149"/>
    <row r="104" ht="15.75" customHeight="1" s="149"/>
    <row r="105" ht="15.75" customHeight="1" s="149"/>
    <row r="106" ht="15.75" customHeight="1" s="149"/>
    <row r="107" ht="15.75" customHeight="1" s="149"/>
    <row r="108" ht="15.75" customHeight="1" s="149"/>
    <row r="109" ht="15.75" customHeight="1" s="149"/>
    <row r="110" ht="15.75" customHeight="1" s="149"/>
    <row r="111" ht="15.75" customHeight="1" s="149"/>
    <row r="112" ht="15.75" customHeight="1" s="149"/>
    <row r="113" ht="15.75" customHeight="1" s="149"/>
    <row r="114" ht="15.75" customHeight="1" s="149"/>
    <row r="115" ht="15.75" customHeight="1" s="149"/>
    <row r="116" ht="15.75" customHeight="1" s="149"/>
    <row r="117" ht="15.75" customHeight="1" s="149"/>
    <row r="118" ht="15.75" customHeight="1" s="149"/>
    <row r="119" ht="15.75" customHeight="1" s="149"/>
    <row r="120" ht="15.75" customHeight="1" s="149"/>
    <row r="121" ht="15.75" customHeight="1" s="149"/>
    <row r="122" ht="15.75" customHeight="1" s="149"/>
    <row r="123" ht="15.75" customHeight="1" s="149"/>
    <row r="124" ht="15.75" customHeight="1" s="149"/>
    <row r="125" ht="15.75" customHeight="1" s="149"/>
    <row r="126" ht="15.75" customHeight="1" s="149"/>
    <row r="127" ht="15.75" customHeight="1" s="149"/>
    <row r="128" ht="15.75" customHeight="1" s="149"/>
    <row r="129" ht="15.75" customHeight="1" s="149"/>
    <row r="130" ht="15.75" customHeight="1" s="149"/>
    <row r="131" ht="15.75" customHeight="1" s="149"/>
    <row r="132" ht="15.75" customHeight="1" s="149"/>
    <row r="133" ht="15.75" customHeight="1" s="149"/>
    <row r="134" ht="15.75" customHeight="1" s="149"/>
    <row r="135" ht="15.75" customHeight="1" s="149"/>
    <row r="136" ht="15.75" customHeight="1" s="149"/>
    <row r="137" ht="15.75" customHeight="1" s="149"/>
    <row r="138" ht="15.75" customHeight="1" s="149"/>
    <row r="139" ht="15.75" customHeight="1" s="149"/>
    <row r="140" ht="15.75" customHeight="1" s="149"/>
    <row r="141" ht="15.75" customHeight="1" s="149"/>
    <row r="142" ht="15.75" customHeight="1" s="149"/>
    <row r="143" ht="15.75" customHeight="1" s="149"/>
    <row r="144" ht="15.75" customHeight="1" s="149"/>
    <row r="145" ht="15.75" customHeight="1" s="149"/>
    <row r="146" ht="15.75" customHeight="1" s="149"/>
    <row r="147" ht="15.75" customHeight="1" s="149"/>
    <row r="148" ht="15.75" customHeight="1" s="149"/>
    <row r="149" ht="15.75" customHeight="1" s="149"/>
    <row r="150" ht="15.75" customHeight="1" s="149"/>
    <row r="151" ht="15.75" customHeight="1" s="149"/>
    <row r="152" ht="15.75" customHeight="1" s="149"/>
    <row r="153" ht="15.75" customHeight="1" s="149"/>
    <row r="154" ht="15.75" customHeight="1" s="149"/>
    <row r="155" ht="15.75" customHeight="1" s="149"/>
    <row r="156" ht="15.75" customHeight="1" s="149"/>
    <row r="157" ht="15.75" customHeight="1" s="149"/>
    <row r="158" ht="15.75" customHeight="1" s="149"/>
    <row r="159" ht="15.75" customHeight="1" s="149"/>
    <row r="160" ht="15.75" customHeight="1" s="149"/>
    <row r="161" ht="15.75" customHeight="1" s="149"/>
    <row r="162" ht="15.75" customHeight="1" s="149"/>
    <row r="163" ht="15.75" customHeight="1" s="149"/>
    <row r="164" ht="15.75" customHeight="1" s="149"/>
    <row r="165" ht="15.75" customHeight="1" s="149"/>
    <row r="166" ht="15.75" customHeight="1" s="149"/>
    <row r="167" ht="15.75" customHeight="1" s="149"/>
    <row r="168" ht="15.75" customHeight="1" s="149"/>
    <row r="169" ht="15.75" customHeight="1" s="149"/>
    <row r="170" ht="15.75" customHeight="1" s="149"/>
    <row r="171" ht="15.75" customHeight="1" s="149"/>
    <row r="172" ht="15.75" customHeight="1" s="149"/>
    <row r="173" ht="15.75" customHeight="1" s="149"/>
    <row r="174" ht="15.75" customHeight="1" s="149"/>
    <row r="175" ht="15.75" customHeight="1" s="149"/>
    <row r="176" ht="15.75" customHeight="1" s="149"/>
    <row r="177" ht="15.75" customHeight="1" s="149"/>
    <row r="178" ht="15.75" customHeight="1" s="149"/>
    <row r="179" ht="15.75" customHeight="1" s="149"/>
    <row r="180" ht="15.75" customHeight="1" s="149"/>
    <row r="181" ht="15.75" customHeight="1" s="149"/>
    <row r="182" ht="15.75" customHeight="1" s="149"/>
    <row r="183" ht="15.75" customHeight="1" s="149"/>
    <row r="184" ht="15.75" customHeight="1" s="149"/>
    <row r="185" ht="15.75" customHeight="1" s="149"/>
    <row r="186" ht="15.75" customHeight="1" s="149"/>
    <row r="187" ht="15.75" customHeight="1" s="149"/>
    <row r="188" ht="15.75" customHeight="1" s="149"/>
    <row r="189" ht="15.75" customHeight="1" s="149"/>
    <row r="190" ht="15.75" customHeight="1" s="149"/>
    <row r="191" ht="15.75" customHeight="1" s="149"/>
    <row r="192" ht="15.75" customHeight="1" s="149"/>
    <row r="193" ht="15.75" customHeight="1" s="149"/>
    <row r="194" ht="15.75" customHeight="1" s="149"/>
    <row r="195" ht="15.75" customHeight="1" s="149"/>
    <row r="196" ht="15.75" customHeight="1" s="149"/>
    <row r="197" ht="15.75" customHeight="1" s="149"/>
    <row r="198" ht="15.75" customHeight="1" s="149"/>
    <row r="199" ht="15.75" customHeight="1" s="149"/>
    <row r="200" ht="15.75" customHeight="1" s="149"/>
    <row r="201" ht="15.75" customHeight="1" s="149"/>
    <row r="202" ht="15.75" customHeight="1" s="149"/>
    <row r="203" ht="15.75" customHeight="1" s="149"/>
    <row r="204" ht="15.75" customHeight="1" s="149"/>
    <row r="205" ht="15.75" customHeight="1" s="149"/>
    <row r="206" ht="15.75" customHeight="1" s="149"/>
    <row r="207" ht="15.75" customHeight="1" s="149"/>
    <row r="208" ht="15.75" customHeight="1" s="149"/>
    <row r="209" ht="15.75" customHeight="1" s="149"/>
    <row r="210" ht="15.75" customHeight="1" s="149"/>
    <row r="211" ht="15.75" customHeight="1" s="149"/>
    <row r="212" ht="15.75" customHeight="1" s="149"/>
    <row r="213" ht="15.75" customHeight="1" s="149"/>
    <row r="214" ht="15.75" customHeight="1" s="149"/>
    <row r="215" ht="15.75" customHeight="1" s="149"/>
    <row r="216" ht="15.75" customHeight="1" s="149"/>
    <row r="217" ht="15.75" customHeight="1" s="149"/>
    <row r="218" ht="15.75" customHeight="1" s="149"/>
    <row r="219" ht="15.75" customHeight="1" s="149"/>
    <row r="220" ht="15.75" customHeight="1" s="149"/>
    <row r="221" ht="15.75" customHeight="1" s="149"/>
    <row r="222" ht="15.75" customHeight="1" s="149"/>
    <row r="223" ht="15.75" customHeight="1" s="149"/>
    <row r="224" ht="15.75" customHeight="1" s="149"/>
    <row r="225" ht="15.75" customHeight="1" s="149"/>
    <row r="226" ht="15.75" customHeight="1" s="149"/>
    <row r="227" ht="15.75" customHeight="1" s="149"/>
    <row r="228" ht="15.75" customHeight="1" s="149"/>
    <row r="229" ht="15.75" customHeight="1" s="149"/>
    <row r="230" ht="15.75" customHeight="1" s="149"/>
    <row r="231" ht="15.75" customHeight="1" s="149"/>
    <row r="232" ht="15.75" customHeight="1" s="149"/>
    <row r="233" ht="15.75" customHeight="1" s="149"/>
    <row r="234" ht="15.75" customHeight="1" s="149"/>
    <row r="235" ht="15.75" customHeight="1" s="149"/>
    <row r="236" ht="15.75" customHeight="1" s="149"/>
    <row r="237" ht="15.75" customHeight="1" s="149"/>
    <row r="238" ht="15.75" customHeight="1" s="149"/>
    <row r="239" ht="15.75" customHeight="1" s="149"/>
    <row r="240" ht="15.75" customHeight="1" s="149"/>
    <row r="241" ht="15.75" customHeight="1" s="149"/>
    <row r="242" ht="15.75" customHeight="1" s="149"/>
    <row r="243" ht="15.75" customHeight="1" s="149"/>
    <row r="244" ht="15.75" customHeight="1" s="149"/>
    <row r="245" ht="15.75" customHeight="1" s="149"/>
    <row r="246" ht="15.75" customHeight="1" s="149"/>
    <row r="247" ht="15.75" customHeight="1" s="149"/>
    <row r="248" ht="15.75" customHeight="1" s="149"/>
    <row r="249" ht="15.75" customHeight="1" s="149"/>
    <row r="250" ht="15.75" customHeight="1" s="149"/>
    <row r="251" ht="15.75" customHeight="1" s="149"/>
    <row r="252" ht="15.75" customHeight="1" s="149"/>
    <row r="253" ht="15.75" customHeight="1" s="149"/>
    <row r="254" ht="15.75" customHeight="1" s="149"/>
    <row r="255" ht="15.75" customHeight="1" s="149"/>
    <row r="256" ht="15.75" customHeight="1" s="149"/>
    <row r="257" ht="15.75" customHeight="1" s="149"/>
    <row r="258" ht="15.75" customHeight="1" s="149"/>
    <row r="259" ht="15.75" customHeight="1" s="149"/>
    <row r="260" ht="15.75" customHeight="1" s="149"/>
    <row r="261" ht="15.75" customHeight="1" s="149"/>
    <row r="262" ht="15.75" customHeight="1" s="149"/>
    <row r="263" ht="15.75" customHeight="1" s="149"/>
    <row r="264" ht="15.75" customHeight="1" s="149"/>
    <row r="265" ht="15.75" customHeight="1" s="149"/>
    <row r="266" ht="15.75" customHeight="1" s="149"/>
    <row r="267" ht="15.75" customHeight="1" s="149"/>
    <row r="268" ht="15.75" customHeight="1" s="149"/>
    <row r="269" ht="15.75" customHeight="1" s="149"/>
    <row r="270" ht="15.75" customHeight="1" s="149"/>
    <row r="271" ht="15.75" customHeight="1" s="149"/>
    <row r="272" ht="15.75" customHeight="1" s="149"/>
    <row r="273" ht="15.75" customHeight="1" s="149"/>
    <row r="274" ht="15.75" customHeight="1" s="149"/>
    <row r="275" ht="15.75" customHeight="1" s="149"/>
    <row r="276" ht="15.75" customHeight="1" s="149"/>
    <row r="277" ht="15.75" customHeight="1" s="149"/>
    <row r="278" ht="15.75" customHeight="1" s="149"/>
    <row r="279" ht="15.75" customHeight="1" s="149"/>
    <row r="280" ht="15.75" customHeight="1" s="149"/>
    <row r="281" ht="15.75" customHeight="1" s="149"/>
    <row r="282" ht="15.75" customHeight="1" s="149"/>
    <row r="283" ht="15.75" customHeight="1" s="149"/>
    <row r="284" ht="15.75" customHeight="1" s="149"/>
    <row r="285" ht="15.75" customHeight="1" s="149"/>
    <row r="286" ht="15.75" customHeight="1" s="149"/>
    <row r="287" ht="15.75" customHeight="1" s="149"/>
    <row r="288" ht="15.75" customHeight="1" s="149"/>
    <row r="289" ht="15.75" customHeight="1" s="149"/>
    <row r="290" ht="15.75" customHeight="1" s="149"/>
    <row r="291" ht="15.75" customHeight="1" s="149"/>
    <row r="292" ht="15.75" customHeight="1" s="149"/>
    <row r="293" ht="15.75" customHeight="1" s="149"/>
    <row r="294" ht="15.75" customHeight="1" s="149"/>
    <row r="295" ht="15.75" customHeight="1" s="149"/>
    <row r="296" ht="15.75" customHeight="1" s="149"/>
    <row r="297" ht="15.75" customHeight="1" s="149"/>
    <row r="298" ht="15.75" customHeight="1" s="149"/>
    <row r="299" ht="15.75" customHeight="1" s="149"/>
    <row r="300" ht="15.75" customHeight="1" s="149"/>
    <row r="301" ht="15.75" customHeight="1" s="149"/>
    <row r="302" ht="15.75" customHeight="1" s="149"/>
    <row r="303" ht="15.75" customHeight="1" s="149"/>
    <row r="304" ht="15.75" customHeight="1" s="149"/>
    <row r="305" ht="15.75" customHeight="1" s="149"/>
    <row r="306" ht="15.75" customHeight="1" s="149"/>
    <row r="307" ht="15.75" customHeight="1" s="149"/>
    <row r="308" ht="15.75" customHeight="1" s="149"/>
    <row r="309" ht="15.75" customHeight="1" s="149"/>
    <row r="310" ht="15.75" customHeight="1" s="149"/>
    <row r="311" ht="15.75" customHeight="1" s="149"/>
    <row r="312" ht="15.75" customHeight="1" s="149"/>
    <row r="313" ht="15.75" customHeight="1" s="149"/>
    <row r="314" ht="15.75" customHeight="1" s="149"/>
    <row r="315" ht="15.75" customHeight="1" s="149"/>
    <row r="316" ht="15.75" customHeight="1" s="149"/>
    <row r="317" ht="15.75" customHeight="1" s="149"/>
    <row r="318" ht="15.75" customHeight="1" s="149"/>
    <row r="319" ht="15.75" customHeight="1" s="149"/>
    <row r="320" ht="15.75" customHeight="1" s="149"/>
    <row r="321" ht="15.75" customHeight="1" s="149"/>
    <row r="322" ht="15.75" customHeight="1" s="149"/>
    <row r="323" ht="15.75" customHeight="1" s="149"/>
    <row r="324" ht="15.75" customHeight="1" s="149"/>
    <row r="325" ht="15.75" customHeight="1" s="149"/>
    <row r="326" ht="15.75" customHeight="1" s="149"/>
    <row r="327" ht="15.75" customHeight="1" s="149"/>
    <row r="328" ht="15.75" customHeight="1" s="149"/>
    <row r="329" ht="15.75" customHeight="1" s="149"/>
    <row r="330" ht="15.75" customHeight="1" s="149"/>
    <row r="331" ht="15.75" customHeight="1" s="149"/>
    <row r="332" ht="15.75" customHeight="1" s="149"/>
    <row r="333" ht="15.75" customHeight="1" s="149"/>
    <row r="334" ht="15.75" customHeight="1" s="149"/>
    <row r="335" ht="15.75" customHeight="1" s="149"/>
    <row r="336" ht="15.75" customHeight="1" s="149"/>
    <row r="337" ht="15.75" customHeight="1" s="149"/>
    <row r="338" ht="15.75" customHeight="1" s="149"/>
    <row r="339" ht="15.75" customHeight="1" s="149"/>
    <row r="340" ht="15.75" customHeight="1" s="149"/>
    <row r="341" ht="15.75" customHeight="1" s="149"/>
    <row r="342" ht="15.75" customHeight="1" s="149"/>
    <row r="343" ht="15.75" customHeight="1" s="149"/>
    <row r="344" ht="15.75" customHeight="1" s="149"/>
    <row r="345" ht="15.75" customHeight="1" s="149"/>
    <row r="346" ht="15.75" customHeight="1" s="149"/>
    <row r="347" ht="15.75" customHeight="1" s="149"/>
    <row r="348" ht="15.75" customHeight="1" s="149"/>
    <row r="349" ht="15.75" customHeight="1" s="149"/>
    <row r="350" ht="15.75" customHeight="1" s="149"/>
    <row r="351" ht="15.75" customHeight="1" s="149"/>
    <row r="352" ht="15.75" customHeight="1" s="149"/>
    <row r="353" ht="15.75" customHeight="1" s="149"/>
    <row r="354" ht="15.75" customHeight="1" s="149"/>
    <row r="355" ht="15.75" customHeight="1" s="149"/>
    <row r="356" ht="15.75" customHeight="1" s="149"/>
    <row r="357" ht="15.75" customHeight="1" s="149"/>
    <row r="358" ht="15.75" customHeight="1" s="149"/>
    <row r="359" ht="15.75" customHeight="1" s="149"/>
    <row r="360" ht="15.75" customHeight="1" s="149"/>
    <row r="361" ht="15.75" customHeight="1" s="149"/>
    <row r="362" ht="15.75" customHeight="1" s="149"/>
    <row r="363" ht="15.75" customHeight="1" s="149"/>
    <row r="364" ht="15.75" customHeight="1" s="149"/>
    <row r="365" ht="15.75" customHeight="1" s="149"/>
    <row r="366" ht="15.75" customHeight="1" s="149"/>
    <row r="367" ht="15.75" customHeight="1" s="149"/>
    <row r="368" ht="15.75" customHeight="1" s="149"/>
    <row r="369" ht="15.75" customHeight="1" s="149"/>
    <row r="370" ht="15.75" customHeight="1" s="149"/>
    <row r="371" ht="15.75" customHeight="1" s="149"/>
    <row r="372" ht="15.75" customHeight="1" s="149"/>
    <row r="373" ht="15.75" customHeight="1" s="149"/>
    <row r="374" ht="15.75" customHeight="1" s="149"/>
    <row r="375" ht="15.75" customHeight="1" s="149"/>
    <row r="376" ht="15.75" customHeight="1" s="149"/>
    <row r="377" ht="15.75" customHeight="1" s="149"/>
    <row r="378" ht="15.75" customHeight="1" s="149"/>
    <row r="379" ht="15.75" customHeight="1" s="149"/>
    <row r="380" ht="15.75" customHeight="1" s="149"/>
    <row r="381" ht="15.75" customHeight="1" s="149"/>
    <row r="382" ht="15.75" customHeight="1" s="149"/>
    <row r="383" ht="15.75" customHeight="1" s="149"/>
    <row r="384" ht="15.75" customHeight="1" s="149"/>
    <row r="385" ht="15.75" customHeight="1" s="149"/>
    <row r="386" ht="15.75" customHeight="1" s="149"/>
    <row r="387" ht="15.75" customHeight="1" s="149"/>
    <row r="388" ht="15.75" customHeight="1" s="149"/>
    <row r="389" ht="15.75" customHeight="1" s="149"/>
    <row r="390" ht="15.75" customHeight="1" s="149"/>
    <row r="391" ht="15.75" customHeight="1" s="149"/>
    <row r="392" ht="15.75" customHeight="1" s="149"/>
    <row r="393" ht="15.75" customHeight="1" s="149"/>
    <row r="394" ht="15.75" customHeight="1" s="149"/>
    <row r="395" ht="15.75" customHeight="1" s="149"/>
    <row r="396" ht="15.75" customHeight="1" s="149"/>
    <row r="397" ht="15.75" customHeight="1" s="149"/>
    <row r="398" ht="15.75" customHeight="1" s="149"/>
    <row r="399" ht="15.75" customHeight="1" s="149"/>
    <row r="400" ht="15.75" customHeight="1" s="149"/>
    <row r="401" ht="15.75" customHeight="1" s="149"/>
    <row r="402" ht="15.75" customHeight="1" s="149"/>
    <row r="403" ht="15.75" customHeight="1" s="149"/>
    <row r="404" ht="15.75" customHeight="1" s="149"/>
    <row r="405" ht="15.75" customHeight="1" s="149"/>
    <row r="406" ht="15.75" customHeight="1" s="149"/>
    <row r="407" ht="15.75" customHeight="1" s="149"/>
    <row r="408" ht="15.75" customHeight="1" s="149"/>
    <row r="409" ht="15.75" customHeight="1" s="149"/>
    <row r="410" ht="15.75" customHeight="1" s="149"/>
    <row r="411" ht="15.75" customHeight="1" s="149"/>
    <row r="412" ht="15.75" customHeight="1" s="149"/>
    <row r="413" ht="15.75" customHeight="1" s="149"/>
    <row r="414" ht="15.75" customHeight="1" s="149"/>
    <row r="415" ht="15.75" customHeight="1" s="149"/>
    <row r="416" ht="15.75" customHeight="1" s="149"/>
    <row r="417" ht="15.75" customHeight="1" s="149"/>
    <row r="418" ht="15.75" customHeight="1" s="149"/>
    <row r="419" ht="15.75" customHeight="1" s="149"/>
    <row r="420" ht="15.75" customHeight="1" s="149"/>
    <row r="421" ht="15.75" customHeight="1" s="149"/>
    <row r="422" ht="15.75" customHeight="1" s="149"/>
    <row r="423" ht="15.75" customHeight="1" s="149"/>
    <row r="424" ht="15.75" customHeight="1" s="149"/>
    <row r="425" ht="15.75" customHeight="1" s="149"/>
    <row r="426" ht="15.75" customHeight="1" s="149"/>
    <row r="427" ht="15.75" customHeight="1" s="149"/>
    <row r="428" ht="15.75" customHeight="1" s="149"/>
    <row r="429" ht="15.75" customHeight="1" s="149"/>
    <row r="430" ht="15.75" customHeight="1" s="149"/>
    <row r="431" ht="15.75" customHeight="1" s="149"/>
    <row r="432" ht="15.75" customHeight="1" s="149"/>
    <row r="433" ht="15.75" customHeight="1" s="149"/>
    <row r="434" ht="15.75" customHeight="1" s="149"/>
    <row r="435" ht="15.75" customHeight="1" s="149"/>
    <row r="436" ht="15.75" customHeight="1" s="149"/>
    <row r="437" ht="15.75" customHeight="1" s="149"/>
    <row r="438" ht="15.75" customHeight="1" s="149"/>
    <row r="439" ht="15.75" customHeight="1" s="149"/>
    <row r="440" ht="15.75" customHeight="1" s="149"/>
    <row r="441" ht="15.75" customHeight="1" s="149"/>
    <row r="442" ht="15.75" customHeight="1" s="149"/>
    <row r="443" ht="15.75" customHeight="1" s="149"/>
    <row r="444" ht="15.75" customHeight="1" s="149"/>
    <row r="445" ht="15.75" customHeight="1" s="149"/>
    <row r="446" ht="15.75" customHeight="1" s="149"/>
    <row r="447" ht="15.75" customHeight="1" s="149"/>
    <row r="448" ht="15.75" customHeight="1" s="149"/>
    <row r="449" ht="15.75" customHeight="1" s="149"/>
    <row r="450" ht="15.75" customHeight="1" s="149"/>
    <row r="451" ht="15.75" customHeight="1" s="149"/>
    <row r="452" ht="15.75" customHeight="1" s="149"/>
    <row r="453" ht="15.75" customHeight="1" s="149"/>
    <row r="454" ht="15.75" customHeight="1" s="149"/>
    <row r="455" ht="15.75" customHeight="1" s="149"/>
    <row r="456" ht="15.75" customHeight="1" s="149"/>
    <row r="457" ht="15.75" customHeight="1" s="149"/>
    <row r="458" ht="15.75" customHeight="1" s="149"/>
    <row r="459" ht="15.75" customHeight="1" s="149"/>
    <row r="460" ht="15.75" customHeight="1" s="149"/>
    <row r="461" ht="15.75" customHeight="1" s="149"/>
    <row r="462" ht="15.75" customHeight="1" s="149"/>
    <row r="463" ht="15.75" customHeight="1" s="149"/>
    <row r="464" ht="15.75" customHeight="1" s="149"/>
    <row r="465" ht="15.75" customHeight="1" s="149"/>
    <row r="466" ht="15.75" customHeight="1" s="149"/>
    <row r="467" ht="15.75" customHeight="1" s="149"/>
    <row r="468" ht="15.75" customHeight="1" s="149"/>
    <row r="469" ht="15.75" customHeight="1" s="149"/>
    <row r="470" ht="15.75" customHeight="1" s="149"/>
    <row r="471" ht="15.75" customHeight="1" s="149"/>
    <row r="472" ht="15.75" customHeight="1" s="149"/>
    <row r="473" ht="15.75" customHeight="1" s="149"/>
    <row r="474" ht="15.75" customHeight="1" s="149"/>
    <row r="475" ht="15.75" customHeight="1" s="149"/>
    <row r="476" ht="15.75" customHeight="1" s="149"/>
    <row r="477" ht="15.75" customHeight="1" s="149"/>
    <row r="478" ht="15.75" customHeight="1" s="149"/>
    <row r="479" ht="15.75" customHeight="1" s="149"/>
    <row r="480" ht="15.75" customHeight="1" s="149"/>
    <row r="481" ht="15.75" customHeight="1" s="149"/>
    <row r="482" ht="15.75" customHeight="1" s="149"/>
    <row r="483" ht="15.75" customHeight="1" s="149"/>
    <row r="484" ht="15.75" customHeight="1" s="149"/>
    <row r="485" ht="15.75" customHeight="1" s="149"/>
    <row r="486" ht="15.75" customHeight="1" s="149"/>
    <row r="487" ht="15.75" customHeight="1" s="149"/>
    <row r="488" ht="15.75" customHeight="1" s="149"/>
    <row r="489" ht="15.75" customHeight="1" s="149"/>
    <row r="490" ht="15.75" customHeight="1" s="149"/>
    <row r="491" ht="15.75" customHeight="1" s="149"/>
    <row r="492" ht="15.75" customHeight="1" s="149"/>
    <row r="493" ht="15.75" customHeight="1" s="149"/>
    <row r="494" ht="15.75" customHeight="1" s="149"/>
    <row r="495" ht="15.75" customHeight="1" s="149"/>
    <row r="496" ht="15.75" customHeight="1" s="149"/>
    <row r="497" ht="15.75" customHeight="1" s="149"/>
    <row r="498" ht="15.75" customHeight="1" s="149"/>
    <row r="499" ht="15.75" customHeight="1" s="149"/>
    <row r="500" ht="15.75" customHeight="1" s="149"/>
    <row r="501" ht="15.75" customHeight="1" s="149"/>
    <row r="502" ht="15.75" customHeight="1" s="149"/>
    <row r="503" ht="15.75" customHeight="1" s="149"/>
    <row r="504" ht="15.75" customHeight="1" s="149"/>
    <row r="505" ht="15.75" customHeight="1" s="149"/>
    <row r="506" ht="15.75" customHeight="1" s="149"/>
    <row r="507" ht="15.75" customHeight="1" s="149"/>
    <row r="508" ht="15.75" customHeight="1" s="149"/>
    <row r="509" ht="15.75" customHeight="1" s="149"/>
    <row r="510" ht="15.75" customHeight="1" s="149"/>
    <row r="511" ht="15.75" customHeight="1" s="149"/>
    <row r="512" ht="15.75" customHeight="1" s="149"/>
    <row r="513" ht="15.75" customHeight="1" s="149"/>
    <row r="514" ht="15.75" customHeight="1" s="149"/>
    <row r="515" ht="15.75" customHeight="1" s="149"/>
    <row r="516" ht="15.75" customHeight="1" s="149"/>
    <row r="517" ht="15.75" customHeight="1" s="149"/>
    <row r="518" ht="15.75" customHeight="1" s="149"/>
    <row r="519" ht="15.75" customHeight="1" s="149"/>
    <row r="520" ht="15.75" customHeight="1" s="149"/>
    <row r="521" ht="15.75" customHeight="1" s="149"/>
    <row r="522" ht="15.75" customHeight="1" s="149"/>
    <row r="523" ht="15.75" customHeight="1" s="149"/>
    <row r="524" ht="15.75" customHeight="1" s="149"/>
    <row r="525" ht="15.75" customHeight="1" s="149"/>
    <row r="526" ht="15.75" customHeight="1" s="149"/>
    <row r="527" ht="15.75" customHeight="1" s="149"/>
    <row r="528" ht="15.75" customHeight="1" s="149"/>
    <row r="529" ht="15.75" customHeight="1" s="149"/>
    <row r="530" ht="15.75" customHeight="1" s="149"/>
    <row r="531" ht="15.75" customHeight="1" s="149"/>
    <row r="532" ht="15.75" customHeight="1" s="149"/>
    <row r="533" ht="15.75" customHeight="1" s="149"/>
    <row r="534" ht="15.75" customHeight="1" s="149"/>
    <row r="535" ht="15.75" customHeight="1" s="149"/>
    <row r="536" ht="15.75" customHeight="1" s="149"/>
    <row r="537" ht="15.75" customHeight="1" s="149"/>
    <row r="538" ht="15.75" customHeight="1" s="149"/>
    <row r="539" ht="15.75" customHeight="1" s="149"/>
    <row r="540" ht="15.75" customHeight="1" s="149"/>
    <row r="541" ht="15.75" customHeight="1" s="149"/>
    <row r="542" ht="15.75" customHeight="1" s="149"/>
    <row r="543" ht="15.75" customHeight="1" s="149"/>
    <row r="544" ht="15.75" customHeight="1" s="149"/>
    <row r="545" ht="15.75" customHeight="1" s="149"/>
    <row r="546" ht="15.75" customHeight="1" s="149"/>
    <row r="547" ht="15.75" customHeight="1" s="149"/>
    <row r="548" ht="15.75" customHeight="1" s="149"/>
    <row r="549" ht="15.75" customHeight="1" s="149"/>
    <row r="550" ht="15.75" customHeight="1" s="149"/>
    <row r="551" ht="15.75" customHeight="1" s="149"/>
    <row r="552" ht="15.75" customHeight="1" s="149"/>
    <row r="553" ht="15.75" customHeight="1" s="149"/>
    <row r="554" ht="15.75" customHeight="1" s="149"/>
    <row r="555" ht="15.75" customHeight="1" s="149"/>
    <row r="556" ht="15.75" customHeight="1" s="149"/>
    <row r="557" ht="15.75" customHeight="1" s="149"/>
    <row r="558" ht="15.75" customHeight="1" s="149"/>
    <row r="559" ht="15.75" customHeight="1" s="149"/>
    <row r="560" ht="15.75" customHeight="1" s="149"/>
    <row r="561" ht="15.75" customHeight="1" s="149"/>
    <row r="562" ht="15.75" customHeight="1" s="149"/>
    <row r="563" ht="15.75" customHeight="1" s="149"/>
    <row r="564" ht="15.75" customHeight="1" s="149"/>
    <row r="565" ht="15.75" customHeight="1" s="149"/>
    <row r="566" ht="15.75" customHeight="1" s="149"/>
    <row r="567" ht="15.75" customHeight="1" s="149"/>
    <row r="568" ht="15.75" customHeight="1" s="149"/>
    <row r="569" ht="15.75" customHeight="1" s="149"/>
    <row r="570" ht="15.75" customHeight="1" s="149"/>
    <row r="571" ht="15.75" customHeight="1" s="149"/>
    <row r="572" ht="15.75" customHeight="1" s="149"/>
    <row r="573" ht="15.75" customHeight="1" s="149"/>
    <row r="574" ht="15.75" customHeight="1" s="149"/>
    <row r="575" ht="15.75" customHeight="1" s="149"/>
    <row r="576" ht="15.75" customHeight="1" s="149"/>
    <row r="577" ht="15.75" customHeight="1" s="149"/>
    <row r="578" ht="15.75" customHeight="1" s="149"/>
    <row r="579" ht="15.75" customHeight="1" s="149"/>
    <row r="580" ht="15.75" customHeight="1" s="149"/>
    <row r="581" ht="15.75" customHeight="1" s="149"/>
    <row r="582" ht="15.75" customHeight="1" s="149"/>
    <row r="583" ht="15.75" customHeight="1" s="149"/>
    <row r="584" ht="15.75" customHeight="1" s="149"/>
    <row r="585" ht="15.75" customHeight="1" s="149"/>
    <row r="586" ht="15.75" customHeight="1" s="149"/>
    <row r="587" ht="15.75" customHeight="1" s="149"/>
    <row r="588" ht="15.75" customHeight="1" s="149"/>
    <row r="589" ht="15.75" customHeight="1" s="149"/>
    <row r="590" ht="15.75" customHeight="1" s="149"/>
    <row r="591" ht="15.75" customHeight="1" s="149"/>
    <row r="592" ht="15.75" customHeight="1" s="149"/>
    <row r="593" ht="15.75" customHeight="1" s="149"/>
    <row r="594" ht="15.75" customHeight="1" s="149"/>
    <row r="595" ht="15.75" customHeight="1" s="149"/>
    <row r="596" ht="15.75" customHeight="1" s="149"/>
    <row r="597" ht="15.75" customHeight="1" s="149"/>
    <row r="598" ht="15.75" customHeight="1" s="149"/>
    <row r="599" ht="15.75" customHeight="1" s="149"/>
    <row r="600" ht="15.75" customHeight="1" s="149"/>
    <row r="601" ht="15.75" customHeight="1" s="149"/>
    <row r="602" ht="15.75" customHeight="1" s="149"/>
    <row r="603" ht="15.75" customHeight="1" s="149"/>
    <row r="604" ht="15.75" customHeight="1" s="149"/>
    <row r="605" ht="15.75" customHeight="1" s="149"/>
    <row r="606" ht="15.75" customHeight="1" s="149"/>
    <row r="607" ht="15.75" customHeight="1" s="149"/>
    <row r="608" ht="15.75" customHeight="1" s="149"/>
    <row r="609" ht="15.75" customHeight="1" s="149"/>
    <row r="610" ht="15.75" customHeight="1" s="149"/>
    <row r="611" ht="15.75" customHeight="1" s="149"/>
    <row r="612" ht="15.75" customHeight="1" s="149"/>
    <row r="613" ht="15.75" customHeight="1" s="149"/>
    <row r="614" ht="15.75" customHeight="1" s="149"/>
    <row r="615" ht="15.75" customHeight="1" s="149"/>
    <row r="616" ht="15.75" customHeight="1" s="149"/>
    <row r="617" ht="15.75" customHeight="1" s="149"/>
    <row r="618" ht="15.75" customHeight="1" s="149"/>
    <row r="619" ht="15.75" customHeight="1" s="149"/>
    <row r="620" ht="15.75" customHeight="1" s="149"/>
    <row r="621" ht="15.75" customHeight="1" s="149"/>
    <row r="622" ht="15.75" customHeight="1" s="149"/>
    <row r="623" ht="15.75" customHeight="1" s="149"/>
    <row r="624" ht="15.75" customHeight="1" s="149"/>
    <row r="625" ht="15.75" customHeight="1" s="149"/>
    <row r="626" ht="15.75" customHeight="1" s="149"/>
    <row r="627" ht="15.75" customHeight="1" s="149"/>
    <row r="628" ht="15.75" customHeight="1" s="149"/>
    <row r="629" ht="15.75" customHeight="1" s="149"/>
    <row r="630" ht="15.75" customHeight="1" s="149"/>
    <row r="631" ht="15.75" customHeight="1" s="149"/>
    <row r="632" ht="15.75" customHeight="1" s="149"/>
    <row r="633" ht="15.75" customHeight="1" s="149"/>
    <row r="634" ht="15.75" customHeight="1" s="149"/>
    <row r="635" ht="15.75" customHeight="1" s="149"/>
    <row r="636" ht="15.75" customHeight="1" s="149"/>
    <row r="637" ht="15.75" customHeight="1" s="149"/>
    <row r="638" ht="15.75" customHeight="1" s="149"/>
    <row r="639" ht="15.75" customHeight="1" s="149"/>
    <row r="640" ht="15.75" customHeight="1" s="149"/>
    <row r="641" ht="15.75" customHeight="1" s="149"/>
    <row r="642" ht="15.75" customHeight="1" s="149"/>
    <row r="643" ht="15.75" customHeight="1" s="149"/>
    <row r="644" ht="15.75" customHeight="1" s="149"/>
    <row r="645" ht="15.75" customHeight="1" s="149"/>
    <row r="646" ht="15.75" customHeight="1" s="149"/>
    <row r="647" ht="15.75" customHeight="1" s="149"/>
    <row r="648" ht="15.75" customHeight="1" s="149"/>
    <row r="649" ht="15.75" customHeight="1" s="149"/>
    <row r="650" ht="15.75" customHeight="1" s="149"/>
    <row r="651" ht="15.75" customHeight="1" s="149"/>
    <row r="652" ht="15.75" customHeight="1" s="149"/>
    <row r="653" ht="15.75" customHeight="1" s="149"/>
    <row r="654" ht="15.75" customHeight="1" s="149"/>
    <row r="655" ht="15.75" customHeight="1" s="149"/>
    <row r="656" ht="15.75" customHeight="1" s="149"/>
    <row r="657" ht="15.75" customHeight="1" s="149"/>
    <row r="658" ht="15.75" customHeight="1" s="149"/>
    <row r="659" ht="15.75" customHeight="1" s="149"/>
    <row r="660" ht="15.75" customHeight="1" s="149"/>
    <row r="661" ht="15.75" customHeight="1" s="149"/>
    <row r="662" ht="15.75" customHeight="1" s="149"/>
    <row r="663" ht="15.75" customHeight="1" s="149"/>
    <row r="664" ht="15.75" customHeight="1" s="149"/>
    <row r="665" ht="15.75" customHeight="1" s="149"/>
    <row r="666" ht="15.75" customHeight="1" s="149"/>
    <row r="667" ht="15.75" customHeight="1" s="149"/>
    <row r="668" ht="15.75" customHeight="1" s="149"/>
    <row r="669" ht="15.75" customHeight="1" s="149"/>
    <row r="670" ht="15.75" customHeight="1" s="149"/>
    <row r="671" ht="15.75" customHeight="1" s="149"/>
    <row r="672" ht="15.75" customHeight="1" s="149"/>
    <row r="673" ht="15.75" customHeight="1" s="149"/>
    <row r="674" ht="15.75" customHeight="1" s="149"/>
    <row r="675" ht="15.75" customHeight="1" s="149"/>
    <row r="676" ht="15.75" customHeight="1" s="149"/>
    <row r="677" ht="15.75" customHeight="1" s="149"/>
    <row r="678" ht="15.75" customHeight="1" s="149"/>
    <row r="679" ht="15.75" customHeight="1" s="149"/>
    <row r="680" ht="15.75" customHeight="1" s="149"/>
    <row r="681" ht="15.75" customHeight="1" s="149"/>
    <row r="682" ht="15.75" customHeight="1" s="149"/>
    <row r="683" ht="15.75" customHeight="1" s="149"/>
    <row r="684" ht="15.75" customHeight="1" s="149"/>
    <row r="685" ht="15.75" customHeight="1" s="149"/>
    <row r="686" ht="15.75" customHeight="1" s="149"/>
    <row r="687" ht="15.75" customHeight="1" s="149"/>
    <row r="688" ht="15.75" customHeight="1" s="149"/>
    <row r="689" ht="15.75" customHeight="1" s="149"/>
    <row r="690" ht="15.75" customHeight="1" s="149"/>
    <row r="691" ht="15.75" customHeight="1" s="149"/>
    <row r="692" ht="15.75" customHeight="1" s="149"/>
    <row r="693" ht="15.75" customHeight="1" s="149"/>
    <row r="694" ht="15.75" customHeight="1" s="149"/>
    <row r="695" ht="15.75" customHeight="1" s="149"/>
    <row r="696" ht="15.75" customHeight="1" s="149"/>
    <row r="697" ht="15.75" customHeight="1" s="149"/>
    <row r="698" ht="15.75" customHeight="1" s="149"/>
    <row r="699" ht="15.75" customHeight="1" s="149"/>
    <row r="700" ht="15.75" customHeight="1" s="149"/>
    <row r="701" ht="15.75" customHeight="1" s="149"/>
    <row r="702" ht="15.75" customHeight="1" s="149"/>
    <row r="703" ht="15.75" customHeight="1" s="149"/>
    <row r="704" ht="15.75" customHeight="1" s="149"/>
    <row r="705" ht="15.75" customHeight="1" s="149"/>
    <row r="706" ht="15.75" customHeight="1" s="149"/>
    <row r="707" ht="15.75" customHeight="1" s="149"/>
    <row r="708" ht="15.75" customHeight="1" s="149"/>
    <row r="709" ht="15.75" customHeight="1" s="149"/>
    <row r="710" ht="15.75" customHeight="1" s="149"/>
    <row r="711" ht="15.75" customHeight="1" s="149"/>
    <row r="712" ht="15.75" customHeight="1" s="149"/>
    <row r="713" ht="15.75" customHeight="1" s="149"/>
    <row r="714" ht="15.75" customHeight="1" s="149"/>
    <row r="715" ht="15.75" customHeight="1" s="149"/>
    <row r="716" ht="15.75" customHeight="1" s="149"/>
    <row r="717" ht="15.75" customHeight="1" s="149"/>
    <row r="718" ht="15.75" customHeight="1" s="149"/>
    <row r="719" ht="15.75" customHeight="1" s="149"/>
    <row r="720" ht="15.75" customHeight="1" s="149"/>
    <row r="721" ht="15.75" customHeight="1" s="149"/>
    <row r="722" ht="15.75" customHeight="1" s="149"/>
    <row r="723" ht="15.75" customHeight="1" s="149"/>
    <row r="724" ht="15.75" customHeight="1" s="149"/>
    <row r="725" ht="15.75" customHeight="1" s="149"/>
    <row r="726" ht="15.75" customHeight="1" s="149"/>
    <row r="727" ht="15.75" customHeight="1" s="149"/>
    <row r="728" ht="15.75" customHeight="1" s="149"/>
    <row r="729" ht="15.75" customHeight="1" s="149"/>
    <row r="730" ht="15.75" customHeight="1" s="149"/>
    <row r="731" ht="15.75" customHeight="1" s="149"/>
    <row r="732" ht="15.75" customHeight="1" s="149"/>
    <row r="733" ht="15.75" customHeight="1" s="149"/>
    <row r="734" ht="15.75" customHeight="1" s="149"/>
    <row r="735" ht="15.75" customHeight="1" s="149"/>
    <row r="736" ht="15.75" customHeight="1" s="149"/>
    <row r="737" ht="15.75" customHeight="1" s="149"/>
    <row r="738" ht="15.75" customHeight="1" s="149"/>
    <row r="739" ht="15.75" customHeight="1" s="149"/>
    <row r="740" ht="15.75" customHeight="1" s="149"/>
    <row r="741" ht="15.75" customHeight="1" s="149"/>
    <row r="742" ht="15.75" customHeight="1" s="149"/>
    <row r="743" ht="15.75" customHeight="1" s="149"/>
    <row r="744" ht="15.75" customHeight="1" s="149"/>
    <row r="745" ht="15.75" customHeight="1" s="149"/>
    <row r="746" ht="15.75" customHeight="1" s="149"/>
    <row r="747" ht="15.75" customHeight="1" s="149"/>
    <row r="748" ht="15.75" customHeight="1" s="149"/>
    <row r="749" ht="15.75" customHeight="1" s="149"/>
    <row r="750" ht="15.75" customHeight="1" s="149"/>
    <row r="751" ht="15.75" customHeight="1" s="149"/>
    <row r="752" ht="15.75" customHeight="1" s="149"/>
    <row r="753" ht="15.75" customHeight="1" s="149"/>
    <row r="754" ht="15.75" customHeight="1" s="149"/>
    <row r="755" ht="15.75" customHeight="1" s="149"/>
    <row r="756" ht="15.75" customHeight="1" s="149"/>
    <row r="757" ht="15.75" customHeight="1" s="149"/>
    <row r="758" ht="15.75" customHeight="1" s="149"/>
    <row r="759" ht="15.75" customHeight="1" s="149"/>
    <row r="760" ht="15.75" customHeight="1" s="149"/>
    <row r="761" ht="15.75" customHeight="1" s="149"/>
    <row r="762" ht="15.75" customHeight="1" s="149"/>
    <row r="763" ht="15.75" customHeight="1" s="149"/>
    <row r="764" ht="15.75" customHeight="1" s="149"/>
    <row r="765" ht="15.75" customHeight="1" s="149"/>
    <row r="766" ht="15.75" customHeight="1" s="149"/>
    <row r="767" ht="15.75" customHeight="1" s="149"/>
    <row r="768" ht="15.75" customHeight="1" s="149"/>
    <row r="769" ht="15.75" customHeight="1" s="149"/>
    <row r="770" ht="15.75" customHeight="1" s="149"/>
    <row r="771" ht="15.75" customHeight="1" s="149"/>
    <row r="772" ht="15.75" customHeight="1" s="149"/>
    <row r="773" ht="15.75" customHeight="1" s="149"/>
    <row r="774" ht="15.75" customHeight="1" s="149"/>
    <row r="775" ht="15.75" customHeight="1" s="149"/>
    <row r="776" ht="15.75" customHeight="1" s="149"/>
    <row r="777" ht="15.75" customHeight="1" s="149"/>
    <row r="778" ht="15.75" customHeight="1" s="149"/>
    <row r="779" ht="15.75" customHeight="1" s="149"/>
    <row r="780" ht="15.75" customHeight="1" s="149"/>
    <row r="781" ht="15.75" customHeight="1" s="149"/>
    <row r="782" ht="15.75" customHeight="1" s="149"/>
    <row r="783" ht="15.75" customHeight="1" s="149"/>
    <row r="784" ht="15.75" customHeight="1" s="149"/>
    <row r="785" ht="15.75" customHeight="1" s="149"/>
    <row r="786" ht="15.75" customHeight="1" s="149"/>
    <row r="787" ht="15.75" customHeight="1" s="149"/>
    <row r="788" ht="15.75" customHeight="1" s="149"/>
    <row r="789" ht="15.75" customHeight="1" s="149"/>
    <row r="790" ht="15.75" customHeight="1" s="149"/>
    <row r="791" ht="15.75" customHeight="1" s="149"/>
    <row r="792" ht="15.75" customHeight="1" s="149"/>
    <row r="793" ht="15.75" customHeight="1" s="149"/>
    <row r="794" ht="15.75" customHeight="1" s="149"/>
    <row r="795" ht="15.75" customHeight="1" s="149"/>
    <row r="796" ht="15.75" customHeight="1" s="149"/>
    <row r="797" ht="15.75" customHeight="1" s="149"/>
    <row r="798" ht="15.75" customHeight="1" s="149"/>
    <row r="799" ht="15.75" customHeight="1" s="149"/>
    <row r="800" ht="15.75" customHeight="1" s="149"/>
    <row r="801" ht="15.75" customHeight="1" s="149"/>
    <row r="802" ht="15.75" customHeight="1" s="149"/>
    <row r="803" ht="15.75" customHeight="1" s="149"/>
    <row r="804" ht="15.75" customHeight="1" s="149"/>
    <row r="805" ht="15.75" customHeight="1" s="149"/>
    <row r="806" ht="15.75" customHeight="1" s="149"/>
    <row r="807" ht="15.75" customHeight="1" s="149"/>
    <row r="808" ht="15.75" customHeight="1" s="149"/>
    <row r="809" ht="15.75" customHeight="1" s="149"/>
    <row r="810" ht="15.75" customHeight="1" s="149"/>
    <row r="811" ht="15.75" customHeight="1" s="149"/>
    <row r="812" ht="15.75" customHeight="1" s="149"/>
    <row r="813" ht="15.75" customHeight="1" s="149"/>
    <row r="814" ht="15.75" customHeight="1" s="149"/>
    <row r="815" ht="15.75" customHeight="1" s="149"/>
    <row r="816" ht="15.75" customHeight="1" s="149"/>
    <row r="817" ht="15.75" customHeight="1" s="149"/>
    <row r="818" ht="15.75" customHeight="1" s="149"/>
    <row r="819" ht="15.75" customHeight="1" s="149"/>
    <row r="820" ht="15.75" customHeight="1" s="149"/>
    <row r="821" ht="15.75" customHeight="1" s="149"/>
    <row r="822" ht="15.75" customHeight="1" s="149"/>
    <row r="823" ht="15.75" customHeight="1" s="149"/>
    <row r="824" ht="15.75" customHeight="1" s="149"/>
    <row r="825" ht="15.75" customHeight="1" s="149"/>
    <row r="826" ht="15.75" customHeight="1" s="149"/>
    <row r="827" ht="15.75" customHeight="1" s="149"/>
    <row r="828" ht="15.75" customHeight="1" s="149"/>
    <row r="829" ht="15.75" customHeight="1" s="149"/>
    <row r="830" ht="15.75" customHeight="1" s="149"/>
    <row r="831" ht="15.75" customHeight="1" s="149"/>
    <row r="832" ht="15.75" customHeight="1" s="149"/>
    <row r="833" ht="15.75" customHeight="1" s="149"/>
    <row r="834" ht="15.75" customHeight="1" s="149"/>
    <row r="835" ht="15.75" customHeight="1" s="149"/>
    <row r="836" ht="15.75" customHeight="1" s="149"/>
    <row r="837" ht="15.75" customHeight="1" s="149"/>
    <row r="838" ht="15.75" customHeight="1" s="149"/>
    <row r="839" ht="15.75" customHeight="1" s="149"/>
    <row r="840" ht="15.75" customHeight="1" s="149"/>
    <row r="841" ht="15.75" customHeight="1" s="149"/>
    <row r="842" ht="15.75" customHeight="1" s="149"/>
    <row r="843" ht="15.75" customHeight="1" s="149"/>
    <row r="844" ht="15.75" customHeight="1" s="149"/>
    <row r="845" ht="15.75" customHeight="1" s="149"/>
    <row r="846" ht="15.75" customHeight="1" s="149"/>
    <row r="847" ht="15.75" customHeight="1" s="149"/>
    <row r="848" ht="15.75" customHeight="1" s="149"/>
    <row r="849" ht="15.75" customHeight="1" s="149"/>
    <row r="850" ht="15.75" customHeight="1" s="149"/>
    <row r="851" ht="15.75" customHeight="1" s="149"/>
    <row r="852" ht="15.75" customHeight="1" s="149"/>
    <row r="853" ht="15.75" customHeight="1" s="149"/>
    <row r="854" ht="15.75" customHeight="1" s="149"/>
    <row r="855" ht="15.75" customHeight="1" s="149"/>
    <row r="856" ht="15.75" customHeight="1" s="149"/>
    <row r="857" ht="15.75" customHeight="1" s="149"/>
    <row r="858" ht="15.75" customHeight="1" s="149"/>
    <row r="859" ht="15.75" customHeight="1" s="149"/>
    <row r="860" ht="15.75" customHeight="1" s="149"/>
    <row r="861" ht="15.75" customHeight="1" s="149"/>
    <row r="862" ht="15.75" customHeight="1" s="149"/>
    <row r="863" ht="15.75" customHeight="1" s="149"/>
    <row r="864" ht="15.75" customHeight="1" s="149"/>
    <row r="865" ht="15.75" customHeight="1" s="149"/>
    <row r="866" ht="15.75" customHeight="1" s="149"/>
    <row r="867" ht="15.75" customHeight="1" s="149"/>
    <row r="868" ht="15.75" customHeight="1" s="149"/>
    <row r="869" ht="15.75" customHeight="1" s="149"/>
    <row r="870" ht="15.75" customHeight="1" s="149"/>
    <row r="871" ht="15.75" customHeight="1" s="149"/>
    <row r="872" ht="15.75" customHeight="1" s="149"/>
    <row r="873" ht="15.75" customHeight="1" s="149"/>
    <row r="874" ht="15.75" customHeight="1" s="149"/>
    <row r="875" ht="15.75" customHeight="1" s="149"/>
    <row r="876" ht="15.75" customHeight="1" s="149"/>
    <row r="877" ht="15.75" customHeight="1" s="149"/>
    <row r="878" ht="15.75" customHeight="1" s="149"/>
    <row r="879" ht="15.75" customHeight="1" s="149"/>
    <row r="880" ht="15.75" customHeight="1" s="149"/>
    <row r="881" ht="15.75" customHeight="1" s="149"/>
    <row r="882" ht="15.75" customHeight="1" s="149"/>
    <row r="883" ht="15.75" customHeight="1" s="149"/>
    <row r="884" ht="15.75" customHeight="1" s="149"/>
    <row r="885" ht="15.75" customHeight="1" s="149"/>
    <row r="886" ht="15.75" customHeight="1" s="149"/>
    <row r="887" ht="15.75" customHeight="1" s="149"/>
    <row r="888" ht="15.75" customHeight="1" s="149"/>
    <row r="889" ht="15.75" customHeight="1" s="149"/>
    <row r="890" ht="15.75" customHeight="1" s="149"/>
    <row r="891" ht="15.75" customHeight="1" s="149"/>
    <row r="892" ht="15.75" customHeight="1" s="149"/>
    <row r="893" ht="15.75" customHeight="1" s="149"/>
    <row r="894" ht="15.75" customHeight="1" s="149"/>
    <row r="895" ht="15.75" customHeight="1" s="149"/>
    <row r="896" ht="15.75" customHeight="1" s="149"/>
    <row r="897" ht="15.75" customHeight="1" s="149"/>
    <row r="898" ht="15.75" customHeight="1" s="149"/>
    <row r="899" ht="15.75" customHeight="1" s="149"/>
    <row r="900" ht="15.75" customHeight="1" s="149"/>
    <row r="901" ht="15.75" customHeight="1" s="149"/>
    <row r="902" ht="15.75" customHeight="1" s="149"/>
    <row r="903" ht="15.75" customHeight="1" s="149"/>
    <row r="904" ht="15.75" customHeight="1" s="149"/>
    <row r="905" ht="15.75" customHeight="1" s="149"/>
    <row r="906" ht="15.75" customHeight="1" s="149"/>
    <row r="907" ht="15.75" customHeight="1" s="149"/>
    <row r="908" ht="15.75" customHeight="1" s="149"/>
    <row r="909" ht="15.75" customHeight="1" s="149"/>
    <row r="910" ht="15.75" customHeight="1" s="149"/>
    <row r="911" ht="15.75" customHeight="1" s="149"/>
    <row r="912" ht="15.75" customHeight="1" s="149"/>
    <row r="913" ht="15.75" customHeight="1" s="149"/>
    <row r="914" ht="15.75" customHeight="1" s="149"/>
    <row r="915" ht="15.75" customHeight="1" s="149"/>
    <row r="916" ht="15.75" customHeight="1" s="149"/>
    <row r="917" ht="15.75" customHeight="1" s="149"/>
    <row r="918" ht="15.75" customHeight="1" s="149"/>
    <row r="919" ht="15.75" customHeight="1" s="149"/>
    <row r="920" ht="15.75" customHeight="1" s="149"/>
    <row r="921" ht="15.75" customHeight="1" s="149"/>
    <row r="922" ht="15.75" customHeight="1" s="149"/>
    <row r="923" ht="15.75" customHeight="1" s="149"/>
    <row r="924" ht="15.75" customHeight="1" s="149"/>
    <row r="925" ht="15.75" customHeight="1" s="149"/>
    <row r="926" ht="15.75" customHeight="1" s="149"/>
    <row r="927" ht="15.75" customHeight="1" s="149"/>
    <row r="928" ht="15.75" customHeight="1" s="149"/>
    <row r="929" ht="15.75" customHeight="1" s="149"/>
    <row r="930" ht="15.75" customHeight="1" s="149"/>
    <row r="931" ht="15.75" customHeight="1" s="149"/>
    <row r="932" ht="15.75" customHeight="1" s="149"/>
    <row r="933" ht="15.75" customHeight="1" s="149"/>
    <row r="934" ht="15.75" customHeight="1" s="149"/>
    <row r="935" ht="15.75" customHeight="1" s="149"/>
    <row r="936" ht="15.75" customHeight="1" s="149"/>
    <row r="937" ht="15.75" customHeight="1" s="149"/>
    <row r="938" ht="15.75" customHeight="1" s="149"/>
    <row r="939" ht="15.75" customHeight="1" s="149"/>
    <row r="940" ht="15.75" customHeight="1" s="149"/>
    <row r="941" ht="15.75" customHeight="1" s="149"/>
    <row r="942" ht="15.75" customHeight="1" s="149"/>
    <row r="943" ht="15.75" customHeight="1" s="149"/>
    <row r="944" ht="15.75" customHeight="1" s="149"/>
    <row r="945" ht="15.75" customHeight="1" s="149"/>
    <row r="946" ht="15.75" customHeight="1" s="149"/>
    <row r="947" ht="15.75" customHeight="1" s="149"/>
    <row r="948" ht="15.75" customHeight="1" s="149"/>
    <row r="949" ht="15.75" customHeight="1" s="149"/>
    <row r="950" ht="15.75" customHeight="1" s="149"/>
    <row r="951" ht="15.75" customHeight="1" s="149"/>
    <row r="952" ht="15.75" customHeight="1" s="149"/>
    <row r="953" ht="15.75" customHeight="1" s="149"/>
    <row r="954" ht="15.75" customHeight="1" s="149"/>
    <row r="955" ht="15.75" customHeight="1" s="149"/>
    <row r="956" ht="15.75" customHeight="1" s="149"/>
    <row r="957" ht="15.75" customHeight="1" s="149"/>
    <row r="958" ht="15.75" customHeight="1" s="149"/>
    <row r="959" ht="15.75" customHeight="1" s="149"/>
    <row r="960" ht="15.75" customHeight="1" s="149"/>
    <row r="961" ht="15.75" customHeight="1" s="149"/>
    <row r="962" ht="15.75" customHeight="1" s="149"/>
    <row r="963" ht="15.75" customHeight="1" s="149"/>
    <row r="964" ht="15.75" customHeight="1" s="149"/>
    <row r="965" ht="15.75" customHeight="1" s="149"/>
    <row r="966" ht="15.75" customHeight="1" s="149"/>
    <row r="967" ht="15.75" customHeight="1" s="149"/>
    <row r="968" ht="15.75" customHeight="1" s="149"/>
    <row r="969" ht="15.75" customHeight="1" s="149"/>
    <row r="970" ht="15.75" customHeight="1" s="149"/>
    <row r="971" ht="15.75" customHeight="1" s="149"/>
    <row r="972" ht="15.75" customHeight="1" s="149"/>
    <row r="973" ht="15.75" customHeight="1" s="149"/>
    <row r="974" ht="15.75" customHeight="1" s="149"/>
    <row r="975" ht="15.75" customHeight="1" s="149"/>
    <row r="976" ht="15.75" customHeight="1" s="149"/>
    <row r="977" ht="15.75" customHeight="1" s="149"/>
    <row r="978" ht="15.75" customHeight="1" s="149"/>
    <row r="979" ht="15.75" customHeight="1" s="149"/>
    <row r="980" ht="15.75" customHeight="1" s="149"/>
    <row r="981" ht="15.75" customHeight="1" s="149"/>
    <row r="982" ht="15.75" customHeight="1" s="149"/>
    <row r="983" ht="15.75" customHeight="1" s="149"/>
    <row r="984" ht="15.75" customHeight="1" s="149"/>
    <row r="985" ht="15.75" customHeight="1" s="149"/>
    <row r="986" ht="15.75" customHeight="1" s="149"/>
    <row r="987" ht="15.75" customHeight="1" s="149"/>
    <row r="988" ht="15.75" customHeight="1" s="149"/>
    <row r="989" ht="15.75" customHeight="1" s="149"/>
    <row r="990" ht="15.75" customHeight="1" s="149"/>
    <row r="991" ht="15.75" customHeight="1" s="149"/>
    <row r="992" ht="15.75" customHeight="1" s="149"/>
    <row r="993" ht="15.75" customHeight="1" s="149"/>
    <row r="994" ht="15.75" customHeight="1" s="149"/>
    <row r="995" ht="15.75" customHeight="1" s="149"/>
    <row r="996" ht="15.75" customHeight="1" s="149"/>
    <row r="997" ht="15.75" customHeight="1" s="149"/>
    <row r="998" ht="15.75" customHeight="1" s="149"/>
    <row r="999" ht="15.75" customHeight="1" s="149"/>
    <row r="1000" ht="15.75" customHeight="1" s="149"/>
  </sheetData>
  <mergeCells count="12">
    <mergeCell ref="A82:F82"/>
    <mergeCell ref="A2:I2"/>
    <mergeCell ref="A49:I49"/>
    <mergeCell ref="A5:F5"/>
    <mergeCell ref="A51:H51"/>
    <mergeCell ref="A52:H52"/>
    <mergeCell ref="A1:I1"/>
    <mergeCell ref="A23:I23"/>
    <mergeCell ref="A4:F4"/>
    <mergeCell ref="A80:H80"/>
    <mergeCell ref="A101:F101"/>
    <mergeCell ref="A24:I24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2026-03-17T14:09:21Z</dcterms:created>
  <dcterms:modified xmlns:dcterms="http://purl.org/dc/terms/" xmlns:xsi="http://www.w3.org/2001/XMLSchema-instance" xsi:type="dcterms:W3CDTF">2026-03-17T16:19:20Z</dcterms:modified>
</cp:coreProperties>
</file>