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clientes " sheetId="1" r:id="rId5"/>
    <sheet state="visible" name="Citas" sheetId="2" r:id="rId6"/>
    <sheet state="visible" name="Asistencia" sheetId="3" r:id="rId7"/>
    <sheet state="visible" name="INVENTARIO" sheetId="4" r:id="rId8"/>
    <sheet state="visible" name="A. TIBURON" sheetId="5" r:id="rId9"/>
    <sheet state="visible" name="RECORD VACUNAS" sheetId="6" r:id="rId10"/>
    <sheet state="visible" name="Datos Equipo de trabajo" sheetId="7" r:id="rId11"/>
    <sheet state="visible" name="Nómina Agosto" sheetId="8" r:id="rId12"/>
    <sheet state="visible" name="Nómina Septiembre" sheetId="9" r:id="rId13"/>
    <sheet state="visible" name="Catalogo precios" sheetId="10" r:id="rId14"/>
    <sheet state="visible" name="GASTOS FIJOS" sheetId="11" r:id="rId15"/>
    <sheet state="visible" name="InversionGastos" sheetId="12" r:id="rId16"/>
    <sheet state="visible" name="Cuadre de caja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tc={7bd3a4b8-af80-41c5-9682-faef666814bf}</author>
    <author>tc={f76870ed-0276-401b-8e06-77d48b4f6029}</author>
  </authors>
  <commentList>
    <comment authorId="0" xr:uid="{7bd3a4b8-af80-41c5-9682-faef666814bf}" ref="E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numero pertenece a Mary Carmen (mama de Harry). Es menor de edad.
</t>
      </text>
    </comment>
    <comment authorId="1" xr:uid="{f76870ed-0276-401b-8e06-77d48b4f6029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telefono de su esposa ELAINY MERCEDES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tc={6c172895-359c-4e19-96ae-9d0c409fa962}</author>
  </authors>
  <commentList>
    <comment authorId="0" xr:uid="{6c172895-359c-4e19-96ae-9d0c409fa962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precio incluye el itbis)
</t>
      </text>
    </comment>
  </commentList>
</comments>
</file>

<file path=xl/sharedStrings.xml><?xml version="1.0" encoding="utf-8"?>
<sst xmlns="http://schemas.openxmlformats.org/spreadsheetml/2006/main" count="4522" uniqueCount="2016">
  <si>
    <t xml:space="preserve"> </t>
  </si>
  <si>
    <t>Dueño de la mascota</t>
  </si>
  <si>
    <t>MASCOTA</t>
  </si>
  <si>
    <t>N #</t>
  </si>
  <si>
    <t>Nombre completo</t>
  </si>
  <si>
    <t>Direccion residencia</t>
  </si>
  <si>
    <t xml:space="preserve">Cédula </t>
  </si>
  <si>
    <t>Celular</t>
  </si>
  <si>
    <t>Tel. emergencia</t>
  </si>
  <si>
    <t xml:space="preserve">Correo </t>
  </si>
  <si>
    <t>Nombre</t>
  </si>
  <si>
    <t>Especie</t>
  </si>
  <si>
    <t>Raza</t>
  </si>
  <si>
    <t>Sexo</t>
  </si>
  <si>
    <t xml:space="preserve">Edad </t>
  </si>
  <si>
    <t>Fecha de nacimiento</t>
  </si>
  <si>
    <t>Color</t>
  </si>
  <si>
    <t>Observación</t>
  </si>
  <si>
    <t>Yenelis  Mejia</t>
  </si>
  <si>
    <t>Colinas del oeste , bloque LP9, APA G2</t>
  </si>
  <si>
    <t>9300686855-1</t>
  </si>
  <si>
    <t>829-717-8855</t>
  </si>
  <si>
    <t>829-308-1551</t>
  </si>
  <si>
    <t>YENELISMEJIA22@GMAIL.COM</t>
  </si>
  <si>
    <t>BELLA MEJIA</t>
  </si>
  <si>
    <t>PERRO</t>
  </si>
  <si>
    <t>SHIH TZU</t>
  </si>
  <si>
    <t>F</t>
  </si>
  <si>
    <t>Negro/ blanco</t>
  </si>
  <si>
    <t>NO</t>
  </si>
  <si>
    <t>Dahyana Polo</t>
  </si>
  <si>
    <t>Colina del oeste, bloque D, edif 21, apar a4</t>
  </si>
  <si>
    <t>093-0055799-9</t>
  </si>
  <si>
    <t>809-215-6890</t>
  </si>
  <si>
    <t>809-696-48</t>
  </si>
  <si>
    <t>dahyanapolo0702@gmail.com</t>
  </si>
  <si>
    <t>Luna Polo</t>
  </si>
  <si>
    <t>gris/blanco</t>
  </si>
  <si>
    <t>Brayan Chavez</t>
  </si>
  <si>
    <t>Colinas del oeste , bloque 15, A1</t>
  </si>
  <si>
    <t>402-2472629-5</t>
  </si>
  <si>
    <t>829-477-6083</t>
  </si>
  <si>
    <t>829-293-7174</t>
  </si>
  <si>
    <t>BRAYANCHAVEZ059@GMAIL.COM</t>
  </si>
  <si>
    <t>SHAINA CHAVEZ</t>
  </si>
  <si>
    <t>YORKIE-CHIHUAHUA</t>
  </si>
  <si>
    <t>Leydeli Aybar</t>
  </si>
  <si>
    <t>Urb. Real, Torre Rcc 4a</t>
  </si>
  <si>
    <t>829-221-2608</t>
  </si>
  <si>
    <t>809-608-8970</t>
  </si>
  <si>
    <t>leydeliaybar0312@outlook.com</t>
  </si>
  <si>
    <t>Nicky DE LOS SANTOS</t>
  </si>
  <si>
    <t>POODLE</t>
  </si>
  <si>
    <t>M</t>
  </si>
  <si>
    <t>NEGRO</t>
  </si>
  <si>
    <t>Omar Alberto Rodriguez</t>
  </si>
  <si>
    <t>Colinas 3, 26 apart a4</t>
  </si>
  <si>
    <t>402-2235873-7</t>
  </si>
  <si>
    <t xml:space="preserve"> (829) 636-1922</t>
  </si>
  <si>
    <t>829-528-6994</t>
  </si>
  <si>
    <t>omareugenia@gmail.com</t>
  </si>
  <si>
    <t>Shyguy</t>
  </si>
  <si>
    <t>perro</t>
  </si>
  <si>
    <t>YORKIE</t>
  </si>
  <si>
    <t>ANA ROCHA</t>
  </si>
  <si>
    <t>RESIDENCIAL LP8 EDIF 26, APART 402</t>
  </si>
  <si>
    <t>402-2301611-0</t>
  </si>
  <si>
    <t>829-9182979</t>
  </si>
  <si>
    <t>ELAINE_ROCHA50@HOTMAIL.COM</t>
  </si>
  <si>
    <t>Ferxxi</t>
  </si>
  <si>
    <t>Shih-poo</t>
  </si>
  <si>
    <t>m</t>
  </si>
  <si>
    <t>blanco con marron</t>
  </si>
  <si>
    <t>Carolina Lorenzo</t>
  </si>
  <si>
    <t>Colinas del oeste, bloque L3, apart c3</t>
  </si>
  <si>
    <t>002-0130215-5</t>
  </si>
  <si>
    <t>849-248-9138</t>
  </si>
  <si>
    <t>809-350-1807</t>
  </si>
  <si>
    <t>acarolinalorenzo1822@gmail.com</t>
  </si>
  <si>
    <t>Popy</t>
  </si>
  <si>
    <t>Yorkie</t>
  </si>
  <si>
    <t>PENDIENTE</t>
  </si>
  <si>
    <t>Lizarenni Estevez</t>
  </si>
  <si>
    <t>Colina del Oeste, calle Cordillera Septentrional #76, casa 76</t>
  </si>
  <si>
    <t>011-384730-5</t>
  </si>
  <si>
    <t>829-422-8585</t>
  </si>
  <si>
    <t>809-404-0000</t>
  </si>
  <si>
    <t>lizarenniestevez21@hotmail.com</t>
  </si>
  <si>
    <t>Luna Estevez</t>
  </si>
  <si>
    <t>Ana Taveras</t>
  </si>
  <si>
    <t>Colinas 3, Edifc 28, aPART A4</t>
  </si>
  <si>
    <t>829-639-6620</t>
  </si>
  <si>
    <t>809-939-8539</t>
  </si>
  <si>
    <t>ana.taveras@me.com</t>
  </si>
  <si>
    <t xml:space="preserve"> Kaki TAVERAS</t>
  </si>
  <si>
    <t>Mestizo</t>
  </si>
  <si>
    <t>Alergico a casi todo.</t>
  </si>
  <si>
    <t>medicamento: Apoquer 16 mg, Lubricel (ojos) 2 al dia (glaucoma)</t>
  </si>
  <si>
    <t>Honey TAVERAS</t>
  </si>
  <si>
    <t>f</t>
  </si>
  <si>
    <t>Jennifer Feliz Lopez</t>
  </si>
  <si>
    <t>Residencial Colinas , Cordillera septentrional, edif l11, E3</t>
  </si>
  <si>
    <t>001-15065435</t>
  </si>
  <si>
    <t>809-989-4933</t>
  </si>
  <si>
    <t>809-412-6556</t>
  </si>
  <si>
    <t>jfeliz2508@gmail.com</t>
  </si>
  <si>
    <t>Otto Herrera</t>
  </si>
  <si>
    <t>Mezcla Alquipu</t>
  </si>
  <si>
    <t>No</t>
  </si>
  <si>
    <t>castrado</t>
  </si>
  <si>
    <t>Samuel Hernandez De la Cruz</t>
  </si>
  <si>
    <t>Residencia Colinas del oseste, calle PICO DUARTE, CASA #15</t>
  </si>
  <si>
    <t>402-26756449</t>
  </si>
  <si>
    <t>809-350-5023</t>
  </si>
  <si>
    <t>849-220-7347</t>
  </si>
  <si>
    <t>1277SHD@GMAIL.COM</t>
  </si>
  <si>
    <t>Daiquiri HERNANDEZ</t>
  </si>
  <si>
    <t>REFLUJO</t>
  </si>
  <si>
    <t>FUE ENVENENADO ANTERIORMENTE. a RAIZ DE ESO SUFRE DE REFLUJO</t>
  </si>
  <si>
    <t>Viannesa Sanchez</t>
  </si>
  <si>
    <t>Residencial colinas 3, apartamento 2a3</t>
  </si>
  <si>
    <t>026-0140339-3</t>
  </si>
  <si>
    <t>829-684-7321</t>
  </si>
  <si>
    <t>829-667-2794</t>
  </si>
  <si>
    <t>vsss16@gmail.com</t>
  </si>
  <si>
    <t>Shayna Sanchez</t>
  </si>
  <si>
    <t>Pug</t>
  </si>
  <si>
    <t xml:space="preserve">Alergica </t>
  </si>
  <si>
    <t>no se le debe poner colonia</t>
  </si>
  <si>
    <t xml:space="preserve">Massiel Mejia </t>
  </si>
  <si>
    <t>Calle San Anton  casa #10, Sector Loyola</t>
  </si>
  <si>
    <t>402-2778647-8</t>
  </si>
  <si>
    <t>829-697-4851</t>
  </si>
  <si>
    <t>829-866-5714</t>
  </si>
  <si>
    <t>massielmejia04@hotmail.com</t>
  </si>
  <si>
    <t>Lucas Mejia</t>
  </si>
  <si>
    <t>GRIS/BLANCO</t>
  </si>
  <si>
    <t>July Zaira Jimenez Soñé</t>
  </si>
  <si>
    <t>Colinas edificio 10, aparatamento 10 B4</t>
  </si>
  <si>
    <t>001-0157195-8</t>
  </si>
  <si>
    <t>829-548-1279</t>
  </si>
  <si>
    <t>-</t>
  </si>
  <si>
    <t>julyzaira@gmail.com</t>
  </si>
  <si>
    <t>Luna Jimenez</t>
  </si>
  <si>
    <t>Bichon habanero</t>
  </si>
  <si>
    <t>blanco/gris/negro</t>
  </si>
  <si>
    <t>Alexander Cabral</t>
  </si>
  <si>
    <t>Calle quitaespuesla  bloque c apartamento 452, Colinas del Oeste</t>
  </si>
  <si>
    <t>001-1714940-1</t>
  </si>
  <si>
    <t>809-715-7870</t>
  </si>
  <si>
    <t>warysj@hotmail.com</t>
  </si>
  <si>
    <t>Loki Cabral</t>
  </si>
  <si>
    <t>9 meses</t>
  </si>
  <si>
    <t>crema/blanco</t>
  </si>
  <si>
    <t>Wendy Suazo</t>
  </si>
  <si>
    <t>Colinas 3 edif 32, apart 32 a4</t>
  </si>
  <si>
    <t>084-0008483-9</t>
  </si>
  <si>
    <t>829-259-3719</t>
  </si>
  <si>
    <t>829-376-0869</t>
  </si>
  <si>
    <t>wssuazo@gmail.com</t>
  </si>
  <si>
    <t>Max (Marcos Armando)</t>
  </si>
  <si>
    <t>Maltes</t>
  </si>
  <si>
    <t>7 meses</t>
  </si>
  <si>
    <t>blanco</t>
  </si>
  <si>
    <t>no</t>
  </si>
  <si>
    <t>Williams Aquino</t>
  </si>
  <si>
    <t>Calle cordfillera sept, casa #38 A, Colinas del oeste</t>
  </si>
  <si>
    <t>402-1473348-5</t>
  </si>
  <si>
    <t>849-867-0601</t>
  </si>
  <si>
    <t>williamsaquino26@gmail.com</t>
  </si>
  <si>
    <t>Puppy</t>
  </si>
  <si>
    <t>Maltes - Poddler</t>
  </si>
  <si>
    <t>BLANCO</t>
  </si>
  <si>
    <t>Gabriel De la Rosa</t>
  </si>
  <si>
    <t>Colinas del Oeste, calle Septentrional #67</t>
  </si>
  <si>
    <t>849-785-4854</t>
  </si>
  <si>
    <t>delarosafranciscog04@gmail.com</t>
  </si>
  <si>
    <t>Klaus DE LA ROSA</t>
  </si>
  <si>
    <t>Cocker spaniel</t>
  </si>
  <si>
    <t>negro</t>
  </si>
  <si>
    <t>Leidy Vargas</t>
  </si>
  <si>
    <t xml:space="preserve">Colinas 3 </t>
  </si>
  <si>
    <t>pendiente</t>
  </si>
  <si>
    <t>829-348-3386</t>
  </si>
  <si>
    <t>Braulin</t>
  </si>
  <si>
    <t>Chihuahua</t>
  </si>
  <si>
    <t>marron</t>
  </si>
  <si>
    <t>Jose Luis Acosta</t>
  </si>
  <si>
    <t>Colinas 3, edifc 33, apt B3</t>
  </si>
  <si>
    <t>joseluisacosta25@hotmail.com</t>
  </si>
  <si>
    <t>Andrws</t>
  </si>
  <si>
    <t>Hoskey Siveriano</t>
  </si>
  <si>
    <t>Penelope Diaz</t>
  </si>
  <si>
    <t>Calle Maria trinidad sanchez, residencial LP8, EFDIC 38, 402</t>
  </si>
  <si>
    <t>PENEPOLEDIAZ_03@HOTMAIL.COM</t>
  </si>
  <si>
    <t>BENJI DIAZ</t>
  </si>
  <si>
    <t>BERNADUT</t>
  </si>
  <si>
    <t>Francisco Martinez</t>
  </si>
  <si>
    <t>Colinas de Oeste, Don Juan A2</t>
  </si>
  <si>
    <t>849-457-4439</t>
  </si>
  <si>
    <t>829-635-9977</t>
  </si>
  <si>
    <t>fmv28@hotmail.com</t>
  </si>
  <si>
    <t>Cleo</t>
  </si>
  <si>
    <t>indefinida</t>
  </si>
  <si>
    <t>Reiny Rodriguez</t>
  </si>
  <si>
    <t>R. Lp8, Apartamento 52</t>
  </si>
  <si>
    <t>reinyester01@efgo.com</t>
  </si>
  <si>
    <t>Mel</t>
  </si>
  <si>
    <t>Shih tzu</t>
  </si>
  <si>
    <t>Betania Segura</t>
  </si>
  <si>
    <t>Colinas 3, apart 28, A2</t>
  </si>
  <si>
    <t>809-483-1674</t>
  </si>
  <si>
    <t>829-843-1674</t>
  </si>
  <si>
    <t>betasanchez.17@hotmail.com</t>
  </si>
  <si>
    <t>Pinot</t>
  </si>
  <si>
    <t xml:space="preserve">Linabel Perez </t>
  </si>
  <si>
    <t xml:space="preserve">Residencial Colinas del Oeste, Calle Pico Duarte, edificio L4, apto L4i2. </t>
  </si>
  <si>
    <t xml:space="preserve"> 829-677-0309</t>
  </si>
  <si>
    <t xml:space="preserve"> 829-760-6345</t>
  </si>
  <si>
    <t xml:space="preserve"> linabel9411@hotmail.com</t>
  </si>
  <si>
    <t>Copito PEREZ</t>
  </si>
  <si>
    <t>canina</t>
  </si>
  <si>
    <t>Presenta una llaguita en la barriga</t>
  </si>
  <si>
    <t>Se le indicó Saniderm y clorhexidina.</t>
  </si>
  <si>
    <t>Rosa Sanchez Ramos</t>
  </si>
  <si>
    <t>Colinas deoeste, cale Pico duarte, lote 2, apato b3</t>
  </si>
  <si>
    <t>849-352-0218</t>
  </si>
  <si>
    <t>809-537-0237</t>
  </si>
  <si>
    <t>backuprosa52@gmail.com</t>
  </si>
  <si>
    <t>Mia Pon Sanchez</t>
  </si>
  <si>
    <t xml:space="preserve">Sensible  a la piel </t>
  </si>
  <si>
    <t>Karina Santana</t>
  </si>
  <si>
    <t>Colinas del oeste, calle septentrional, apto lote 11 k4</t>
  </si>
  <si>
    <t>kari_aaron1207@hotmail.com</t>
  </si>
  <si>
    <t xml:space="preserve">Manuel </t>
  </si>
  <si>
    <t>(829) 325-4929</t>
  </si>
  <si>
    <t>Maicol</t>
  </si>
  <si>
    <t>Sheila Custodio Villano</t>
  </si>
  <si>
    <t>Palmas criolla #6, sector Ecombes, casa #22.</t>
  </si>
  <si>
    <t>849-6351869</t>
  </si>
  <si>
    <t>crystalvillar.cv@gmail.com</t>
  </si>
  <si>
    <t>ESTRELLA CUSTODIO</t>
  </si>
  <si>
    <t>1 año</t>
  </si>
  <si>
    <t>Edwin Marcano</t>
  </si>
  <si>
    <t>Valle Encantado (pendiente)</t>
  </si>
  <si>
    <t>emarcanorosa@gmail.com</t>
  </si>
  <si>
    <t>Max Marcano</t>
  </si>
  <si>
    <t>shih poo</t>
  </si>
  <si>
    <t>6 meses</t>
  </si>
  <si>
    <t xml:space="preserve">no </t>
  </si>
  <si>
    <t>Luis Alberto Checo</t>
  </si>
  <si>
    <t>Manoguayabo, Ciriaco nunez #26.</t>
  </si>
  <si>
    <t>829-335-8229</t>
  </si>
  <si>
    <t>809-317-4607</t>
  </si>
  <si>
    <t>checosoto40@gmail.com</t>
  </si>
  <si>
    <t>Luna Checo</t>
  </si>
  <si>
    <t>maltes mix</t>
  </si>
  <si>
    <t>Rosmery</t>
  </si>
  <si>
    <t>Elian Bautista</t>
  </si>
  <si>
    <t>Colinas del Oeste, calle septetrional, aparto L9 h4</t>
  </si>
  <si>
    <t>809-874-6866</t>
  </si>
  <si>
    <t>elianroble476@gmail.com</t>
  </si>
  <si>
    <t>Chiquito</t>
  </si>
  <si>
    <t>Yelissa Garcia</t>
  </si>
  <si>
    <t xml:space="preserve">Colinas del Oeste </t>
  </si>
  <si>
    <t>809-657-9909</t>
  </si>
  <si>
    <t>Lia</t>
  </si>
  <si>
    <t>Hoskey</t>
  </si>
  <si>
    <t>Elizabeth Moscoso</t>
  </si>
  <si>
    <t>Colinas del oeste, lote 6e1</t>
  </si>
  <si>
    <t>elyzabeth20@hotmail.com</t>
  </si>
  <si>
    <t>Luna Juliao</t>
  </si>
  <si>
    <t>4 meses</t>
  </si>
  <si>
    <t>Pendiente</t>
  </si>
  <si>
    <t>Angela Vargas</t>
  </si>
  <si>
    <t>Colinas 3 , apratamento 14 B1</t>
  </si>
  <si>
    <t>paloma5454@hotmail.com</t>
  </si>
  <si>
    <t>Bella Vargas</t>
  </si>
  <si>
    <t>Latzazu</t>
  </si>
  <si>
    <t>pendiete</t>
  </si>
  <si>
    <t>blanco, crema</t>
  </si>
  <si>
    <t>Princesa Vargas</t>
  </si>
  <si>
    <t>Maria Gomez Carvajal</t>
  </si>
  <si>
    <t>Brisas del Colinas 3, Edifi 29 A1</t>
  </si>
  <si>
    <t>829-550-3820</t>
  </si>
  <si>
    <t>849-533-6469</t>
  </si>
  <si>
    <t>marycarmenmatos86@gmail.com</t>
  </si>
  <si>
    <t>Harrry Junior</t>
  </si>
  <si>
    <t>Chihuahua +Shih tzu</t>
  </si>
  <si>
    <t>Lorian Ortiz</t>
  </si>
  <si>
    <t>Colinas 3 edif 30 a2</t>
  </si>
  <si>
    <t>lorianlorimar@gmail.com</t>
  </si>
  <si>
    <t>Nick ORTIZ</t>
  </si>
  <si>
    <t>poodler</t>
  </si>
  <si>
    <t xml:space="preserve">negro </t>
  </si>
  <si>
    <t>Poki</t>
  </si>
  <si>
    <t>Pekines</t>
  </si>
  <si>
    <t>4 años</t>
  </si>
  <si>
    <t>Wendy Roble</t>
  </si>
  <si>
    <t>Colinas del oeste, lote 7, d1</t>
  </si>
  <si>
    <t>809-848-5253</t>
  </si>
  <si>
    <t>809-375-6282</t>
  </si>
  <si>
    <t>WENDY.PAOLA.ROBLE@GMAIL.COM</t>
  </si>
  <si>
    <t>Minie Roble</t>
  </si>
  <si>
    <t>8 meses</t>
  </si>
  <si>
    <t>cafe/blanco</t>
  </si>
  <si>
    <t>Massiel Ramirez</t>
  </si>
  <si>
    <t>Ani Montero</t>
  </si>
  <si>
    <t>Colinas del oeste, edificio l10, apartamento b1</t>
  </si>
  <si>
    <t>natacha_la_baby_18@hotmail.com</t>
  </si>
  <si>
    <t>Milo</t>
  </si>
  <si>
    <t>Cehila Diaz</t>
  </si>
  <si>
    <t>Colinas 3, edificio 4, apat 4b4</t>
  </si>
  <si>
    <t>anissamidiaz@gmail.com</t>
  </si>
  <si>
    <t>Benji Cabrera Diaz</t>
  </si>
  <si>
    <t>Glenny De Jesus</t>
  </si>
  <si>
    <t>Colinas 3, edificio 10, 1a</t>
  </si>
  <si>
    <t>glenny1829@hotmail.com</t>
  </si>
  <si>
    <t>Zoe</t>
  </si>
  <si>
    <t>2 años</t>
  </si>
  <si>
    <t>pendiente tarjeta de vacunacion</t>
  </si>
  <si>
    <t>Joel Saturria</t>
  </si>
  <si>
    <t>Libertador calle 3 de herrera</t>
  </si>
  <si>
    <t>sl.joelsaturria@gmail.com</t>
  </si>
  <si>
    <t>Teddy</t>
  </si>
  <si>
    <t>3 meses</t>
  </si>
  <si>
    <t>Jonathan Rosario Paulino</t>
  </si>
  <si>
    <t>Colinas 3 edificio 6, apato A3</t>
  </si>
  <si>
    <t>jhonattandrp@hotmail.com</t>
  </si>
  <si>
    <t>Max</t>
  </si>
  <si>
    <t>Buldog frances</t>
  </si>
  <si>
    <t>Susie</t>
  </si>
  <si>
    <t>Foxtedrr</t>
  </si>
  <si>
    <t xml:space="preserve">Angela Fermin </t>
  </si>
  <si>
    <t>Colinas del oeste. Lote 9, soto C3</t>
  </si>
  <si>
    <t>angelafermin@hotmail.com</t>
  </si>
  <si>
    <t>Nala</t>
  </si>
  <si>
    <t>Poodler mestizo</t>
  </si>
  <si>
    <t>3 años</t>
  </si>
  <si>
    <t>vacunas de la rabia al dia. Faltan fotos del resto de las vacunas</t>
  </si>
  <si>
    <t>Yohanny Ariz</t>
  </si>
  <si>
    <t>Calle quitaespuela, lote 6, Apato c3, Colinas del oeste</t>
  </si>
  <si>
    <t>0010149620-6</t>
  </si>
  <si>
    <t>809-820-9660</t>
  </si>
  <si>
    <t>y_ariz@hotmail.com</t>
  </si>
  <si>
    <t>Yaki</t>
  </si>
  <si>
    <t>Mestiza Colli</t>
  </si>
  <si>
    <t>falta tarjeta de vacunas</t>
  </si>
  <si>
    <t>Kevin Concet</t>
  </si>
  <si>
    <t>Brisas de las colinas 03</t>
  </si>
  <si>
    <t>kevinconcetcastro@gmail.com</t>
  </si>
  <si>
    <t>Tommy Concet</t>
  </si>
  <si>
    <t>chihuahua</t>
  </si>
  <si>
    <t>5 años</t>
  </si>
  <si>
    <t>Sarah Pujols</t>
  </si>
  <si>
    <t>Colinas 3, edificio 14, apartamento a2</t>
  </si>
  <si>
    <t>809-2724530</t>
  </si>
  <si>
    <t>srossoenator@gmail.com</t>
  </si>
  <si>
    <t>Noah Pujols</t>
  </si>
  <si>
    <t>Cardiacos</t>
  </si>
  <si>
    <t>Osvaldo Tatis</t>
  </si>
  <si>
    <t xml:space="preserve">Calle cordillera central #8 Colinas Oeste </t>
  </si>
  <si>
    <t>001-1229491-3</t>
  </si>
  <si>
    <t>809-871-9493</t>
  </si>
  <si>
    <t>osvaldotatis18@hotmail.com</t>
  </si>
  <si>
    <t>Alee A</t>
  </si>
  <si>
    <t>cocki spaning</t>
  </si>
  <si>
    <t>tarjeta de vacuna foto en la flota</t>
  </si>
  <si>
    <t>Alee B</t>
  </si>
  <si>
    <t>Alee C</t>
  </si>
  <si>
    <t xml:space="preserve"> Madileyde Marte</t>
  </si>
  <si>
    <t>Prologacion 27 de Febrero . LP8</t>
  </si>
  <si>
    <t>223-0087828-1</t>
  </si>
  <si>
    <t>829-916-9180</t>
  </si>
  <si>
    <t>madileydy@gmail.com</t>
  </si>
  <si>
    <t>Colyn</t>
  </si>
  <si>
    <t>7 años</t>
  </si>
  <si>
    <t>desparacitacion en junio 2025</t>
  </si>
  <si>
    <t>Jeannette Almanzar</t>
  </si>
  <si>
    <t xml:space="preserve">Calle Paseo  del Lago #8 Residencial  </t>
  </si>
  <si>
    <t>047-0015209-5</t>
  </si>
  <si>
    <t>809-519-2579</t>
  </si>
  <si>
    <t>809-763-5433</t>
  </si>
  <si>
    <t>jeannette-almanzar@gmail.com</t>
  </si>
  <si>
    <t>Tuti</t>
  </si>
  <si>
    <t>chipu</t>
  </si>
  <si>
    <t>Sandra Almonte</t>
  </si>
  <si>
    <t>manzana 6 Edificio 5 B</t>
  </si>
  <si>
    <t>224-0055412-1</t>
  </si>
  <si>
    <t>829-723-0721</t>
  </si>
  <si>
    <t>829-986-0721</t>
  </si>
  <si>
    <t>sandraap721@gmail.com</t>
  </si>
  <si>
    <t>Dohko</t>
  </si>
  <si>
    <t>shippo</t>
  </si>
  <si>
    <t>3 año</t>
  </si>
  <si>
    <t>Lia Martinez</t>
  </si>
  <si>
    <t>Colinas del Oeste ,C/ Isabel de torres #3</t>
  </si>
  <si>
    <t>849-480-1935</t>
  </si>
  <si>
    <t>809-436-7662</t>
  </si>
  <si>
    <t>lisccmsstuff@gmail.com</t>
  </si>
  <si>
    <t>Luna Arias</t>
  </si>
  <si>
    <t>Bichon Maltes</t>
  </si>
  <si>
    <t>Edith Gomez</t>
  </si>
  <si>
    <t>Calle/ Plaza 13 mirador Norte, Residencial Melissa Alexandra</t>
  </si>
  <si>
    <t>402-0076163-9</t>
  </si>
  <si>
    <t>829-883-4645</t>
  </si>
  <si>
    <t>809-530-6914</t>
  </si>
  <si>
    <t>edithmgomez95@gmail.com</t>
  </si>
  <si>
    <t>Luna GOMEZ</t>
  </si>
  <si>
    <t xml:space="preserve">canina </t>
  </si>
  <si>
    <t>yorshire</t>
  </si>
  <si>
    <t>Guerlin Plascencia</t>
  </si>
  <si>
    <t xml:space="preserve">Av. Isabela Guiar esq. Penetracion   Sur </t>
  </si>
  <si>
    <t>224-00044677-1</t>
  </si>
  <si>
    <t>809-865-6765</t>
  </si>
  <si>
    <t>829-865-6765</t>
  </si>
  <si>
    <t>guerlinplascencia@hotmail.com</t>
  </si>
  <si>
    <t>Karim PLASCENCIA</t>
  </si>
  <si>
    <t>shithzu</t>
  </si>
  <si>
    <t>Chamila  Heriquez</t>
  </si>
  <si>
    <t>Calle/ llanos, Los Rios #48</t>
  </si>
  <si>
    <t>402-0956542-9</t>
  </si>
  <si>
    <t>849-864-2412</t>
  </si>
  <si>
    <t>809-372-1001</t>
  </si>
  <si>
    <t>chamilahenrriquez@gmail.com</t>
  </si>
  <si>
    <t>Jimmy HENRIQUEZ</t>
  </si>
  <si>
    <t>felina</t>
  </si>
  <si>
    <t>Emely  Carreras</t>
  </si>
  <si>
    <t>Av. Beisbolista #133 res. residencial  colinas</t>
  </si>
  <si>
    <t>001-1632031-8</t>
  </si>
  <si>
    <t>829-587-9607</t>
  </si>
  <si>
    <t>809-608-0805</t>
  </si>
  <si>
    <t>Oliver CARRERAS</t>
  </si>
  <si>
    <t>shihpoo</t>
  </si>
  <si>
    <t>2 año</t>
  </si>
  <si>
    <t>30/11/0205</t>
  </si>
  <si>
    <t>Jatnna Santos</t>
  </si>
  <si>
    <t>Calle hermanas Mirabal #6, Bayona, SDO.</t>
  </si>
  <si>
    <t>4021183890-5</t>
  </si>
  <si>
    <t>829-557-1465</t>
  </si>
  <si>
    <t>849-883-9895</t>
  </si>
  <si>
    <t>santosaltagracia033@gmail.com</t>
  </si>
  <si>
    <t>Benji Sanchez</t>
  </si>
  <si>
    <t>Yorshire</t>
  </si>
  <si>
    <t>2 meses</t>
  </si>
  <si>
    <t>Cesar De Leon</t>
  </si>
  <si>
    <t>manzana 18, apto AB2, Las Caobas</t>
  </si>
  <si>
    <t>0010063421-1</t>
  </si>
  <si>
    <t>809-532-5766</t>
  </si>
  <si>
    <t>809-949-5666</t>
  </si>
  <si>
    <t>mr.cesardeleon@gamil.com</t>
  </si>
  <si>
    <t>Luna De Leon</t>
  </si>
  <si>
    <t>Salchicha</t>
  </si>
  <si>
    <t>Darlenis Perez Rosario</t>
  </si>
  <si>
    <t>residencial 2p9, Alameda, SDO</t>
  </si>
  <si>
    <t>2240080465-8</t>
  </si>
  <si>
    <t>829-916-8090</t>
  </si>
  <si>
    <t>darlenis0796@icloud.com</t>
  </si>
  <si>
    <t>Abril Rosario</t>
  </si>
  <si>
    <t>shih tzu</t>
  </si>
  <si>
    <t>Camelia Lisbeth Brens Montero</t>
  </si>
  <si>
    <t>calle de Dios #6, El abanico, Herrera</t>
  </si>
  <si>
    <t>4021497269-3</t>
  </si>
  <si>
    <t>809-771-0190</t>
  </si>
  <si>
    <t>829-323-3202</t>
  </si>
  <si>
    <t>brensmonterocamelia@gmail.com</t>
  </si>
  <si>
    <t>Chocolate Montero</t>
  </si>
  <si>
    <t>Chihuahua mariposa</t>
  </si>
  <si>
    <t>Caridad Mercado</t>
  </si>
  <si>
    <t>0380016036-2</t>
  </si>
  <si>
    <t>829-466-3030</t>
  </si>
  <si>
    <t>Princesa Mercado</t>
  </si>
  <si>
    <t>Shih Poo</t>
  </si>
  <si>
    <t>Felicia Mera</t>
  </si>
  <si>
    <t>residencial pinos del paraiso, calle 17, Bayona</t>
  </si>
  <si>
    <t>4021202624-5</t>
  </si>
  <si>
    <t>849-637-0790</t>
  </si>
  <si>
    <t>fmera2396@gmail.com</t>
  </si>
  <si>
    <t>Bella Mera</t>
  </si>
  <si>
    <t>blanco/negro</t>
  </si>
  <si>
    <t>Oscar Ramirez</t>
  </si>
  <si>
    <t>4022635082-1</t>
  </si>
  <si>
    <t>829-850-5483</t>
  </si>
  <si>
    <t>Toby Ramirez</t>
  </si>
  <si>
    <t>Golden Retriever</t>
  </si>
  <si>
    <t>Maidelin Villar</t>
  </si>
  <si>
    <t>maidelinvillarmontero@gmail.com</t>
  </si>
  <si>
    <t>4021535998-1</t>
  </si>
  <si>
    <t>829-329-4659</t>
  </si>
  <si>
    <t>809-353-3559</t>
  </si>
  <si>
    <t>Rochy Villar</t>
  </si>
  <si>
    <t>dorado/negro</t>
  </si>
  <si>
    <t>Mario Guerra</t>
  </si>
  <si>
    <t>829-695-1901</t>
  </si>
  <si>
    <t>maguerra@gmail.com</t>
  </si>
  <si>
    <t>Sky Guerra</t>
  </si>
  <si>
    <t>Maltes- Poodler</t>
  </si>
  <si>
    <t>Andrea Beltre</t>
  </si>
  <si>
    <t>Ruinas de engombe</t>
  </si>
  <si>
    <t>809-609-6099</t>
  </si>
  <si>
    <t>809-889-2876</t>
  </si>
  <si>
    <t>Unica Hernadez Beltre</t>
  </si>
  <si>
    <t>Gustavo Santos</t>
  </si>
  <si>
    <t>calle interior tercera, Los Restauradores</t>
  </si>
  <si>
    <t>829-505-8890</t>
  </si>
  <si>
    <t>ing.sagus@gmail.com</t>
  </si>
  <si>
    <t>Stella Santos</t>
  </si>
  <si>
    <t>cocker Spanier</t>
  </si>
  <si>
    <t>rubia</t>
  </si>
  <si>
    <t>Freddy Felipe Maldonado</t>
  </si>
  <si>
    <t>Colinas 3, Edificio 29, apto. 29b1</t>
  </si>
  <si>
    <t>4023461644-8</t>
  </si>
  <si>
    <t>849-881-5697</t>
  </si>
  <si>
    <t>809-816-4086</t>
  </si>
  <si>
    <t>ffelipemaldonado@gmail.com</t>
  </si>
  <si>
    <t>Shadow Felipe Maldonado</t>
  </si>
  <si>
    <t>Oscar Disla</t>
  </si>
  <si>
    <t>Alma Rosa, SDE</t>
  </si>
  <si>
    <t>4024043940-2</t>
  </si>
  <si>
    <t>829-728-8414</t>
  </si>
  <si>
    <t xml:space="preserve">oscardisla1422@gmail.com </t>
  </si>
  <si>
    <t>Sasha Disla</t>
  </si>
  <si>
    <t>Poodler- Maltes</t>
  </si>
  <si>
    <t>10 meses</t>
  </si>
  <si>
    <t>blanco/marron</t>
  </si>
  <si>
    <t>Erika Then</t>
  </si>
  <si>
    <t>Colinas del Oeste, L2 A4</t>
  </si>
  <si>
    <t>849-577-4920</t>
  </si>
  <si>
    <t>Toby Then</t>
  </si>
  <si>
    <t>Shih Tzu</t>
  </si>
  <si>
    <t>Williams Aquino Dia</t>
  </si>
  <si>
    <t>calle cordillera septentrional no. 3BA, Residencial Colinas del oeste</t>
  </si>
  <si>
    <t>4021473248-5</t>
  </si>
  <si>
    <t>Simba Aquino</t>
  </si>
  <si>
    <t>Joel David Cabrera</t>
  </si>
  <si>
    <t>Quita sueño cason, Bajos de Haina</t>
  </si>
  <si>
    <t>25020106833-1</t>
  </si>
  <si>
    <t>829-918-7870</t>
  </si>
  <si>
    <t>829-914-9182</t>
  </si>
  <si>
    <t>Sasha Cabrera</t>
  </si>
  <si>
    <t>Chow Chow</t>
  </si>
  <si>
    <t>5 meses</t>
  </si>
  <si>
    <t>Eunice Diaz</t>
  </si>
  <si>
    <t>calle manguanagua, no.29, Los Restauradores</t>
  </si>
  <si>
    <t>849-806-0723</t>
  </si>
  <si>
    <t>ediaz2307@gmail.com</t>
  </si>
  <si>
    <t>Lucas Diaz</t>
  </si>
  <si>
    <t>11 meses</t>
  </si>
  <si>
    <t>Rosalyn Moni Cedano</t>
  </si>
  <si>
    <t>edificio 5, apto. B3 , Brisas Colinas 3</t>
  </si>
  <si>
    <t>0290010786-9</t>
  </si>
  <si>
    <t>829-344-0343</t>
  </si>
  <si>
    <t>809-848-4012</t>
  </si>
  <si>
    <t>rosalynmoni@gmail.com</t>
  </si>
  <si>
    <t>Yukel Moni</t>
  </si>
  <si>
    <t>6 años</t>
  </si>
  <si>
    <t>crema</t>
  </si>
  <si>
    <t>Luiseliana Lara Tavarez</t>
  </si>
  <si>
    <t>Colinas del oeste</t>
  </si>
  <si>
    <t>4022211726-5</t>
  </si>
  <si>
    <t>829-808-9332</t>
  </si>
  <si>
    <t>849-860-9000</t>
  </si>
  <si>
    <t>luiselianalara@gmail.com</t>
  </si>
  <si>
    <t>Poky Cabral Lara</t>
  </si>
  <si>
    <t>Maria Fernanda Liz</t>
  </si>
  <si>
    <t>c, Orlando Martinez, esquina experimental, Urbanizable. Engombe</t>
  </si>
  <si>
    <t>402-2679984-5</t>
  </si>
  <si>
    <t>809-663-8850</t>
  </si>
  <si>
    <t>849-380-4046</t>
  </si>
  <si>
    <t>mariafliz@gmail.com</t>
  </si>
  <si>
    <t>Rocco Liz</t>
  </si>
  <si>
    <t>canino</t>
  </si>
  <si>
    <t>Gustavo Bracho</t>
  </si>
  <si>
    <t>Lp8, edificio 51, apto 102</t>
  </si>
  <si>
    <t>13914891-8</t>
  </si>
  <si>
    <t>809-602-8043</t>
  </si>
  <si>
    <t>gbracho104@gmail.com</t>
  </si>
  <si>
    <t>Bongo Bracho</t>
  </si>
  <si>
    <t>rubio</t>
  </si>
  <si>
    <t>Hector Aristy</t>
  </si>
  <si>
    <t>Colinas 3, edificio 21, apto. 2b</t>
  </si>
  <si>
    <t>402-2265698-1</t>
  </si>
  <si>
    <t>829-913-8708</t>
  </si>
  <si>
    <t>809-729-5361</t>
  </si>
  <si>
    <t>hrafaelaristy@gmaill.com</t>
  </si>
  <si>
    <t>Thor Aristy</t>
  </si>
  <si>
    <t>blanco/ crema</t>
  </si>
  <si>
    <t>Lola Aristy</t>
  </si>
  <si>
    <t>Orlando Castaño</t>
  </si>
  <si>
    <t>4020912519-0</t>
  </si>
  <si>
    <t>829-675-0600</t>
  </si>
  <si>
    <t>829-702-7717</t>
  </si>
  <si>
    <t>orlandosantana244@gmail.com</t>
  </si>
  <si>
    <t>Tommy Castaños</t>
  </si>
  <si>
    <t>Chow chow</t>
  </si>
  <si>
    <t>Luna Castaño</t>
  </si>
  <si>
    <t>9 años</t>
  </si>
  <si>
    <t>Carolina Sosa</t>
  </si>
  <si>
    <t>Calle los julios, residencial Felipe 2, Alamo</t>
  </si>
  <si>
    <t>001-1806581-2</t>
  </si>
  <si>
    <t>849-816-8217</t>
  </si>
  <si>
    <t>cse2021@gmail.com</t>
  </si>
  <si>
    <t>Lulu Sanchez</t>
  </si>
  <si>
    <t>Yorkie Terrier</t>
  </si>
  <si>
    <t>David Perez Uri</t>
  </si>
  <si>
    <t>4022133807-8</t>
  </si>
  <si>
    <t>849-203-2200</t>
  </si>
  <si>
    <t>enobe220@gmail.coim</t>
  </si>
  <si>
    <t>Kira uri</t>
  </si>
  <si>
    <t>blanco con manchas</t>
  </si>
  <si>
    <t>Marilyn Nieve</t>
  </si>
  <si>
    <t>calle 4, #5 Las palmas de herrera</t>
  </si>
  <si>
    <t>0010881816-2</t>
  </si>
  <si>
    <t>Yeri Nieve</t>
  </si>
  <si>
    <t>felino</t>
  </si>
  <si>
    <t>Baldony Lora</t>
  </si>
  <si>
    <t>colinas del oeste, L11, G2</t>
  </si>
  <si>
    <t>0010119920-6</t>
  </si>
  <si>
    <t>849-243-1226</t>
  </si>
  <si>
    <t>809-467-1265</t>
  </si>
  <si>
    <t>bmloras@hotmail.com</t>
  </si>
  <si>
    <t>Chloe Lora</t>
  </si>
  <si>
    <t>gris</t>
  </si>
  <si>
    <t>Raul De Leon</t>
  </si>
  <si>
    <t>calle los pinos #18, Engombe</t>
  </si>
  <si>
    <t>0011802655-8</t>
  </si>
  <si>
    <t>829-701-1496</t>
  </si>
  <si>
    <t>amilkar_raul@hotmail.com</t>
  </si>
  <si>
    <t>Rufo De Leon</t>
  </si>
  <si>
    <t>Poodler</t>
  </si>
  <si>
    <t>Flor Alicia Brito</t>
  </si>
  <si>
    <t>av. independencia, km 7 1/2, residencial Villas del centro</t>
  </si>
  <si>
    <t>0370078489-9</t>
  </si>
  <si>
    <t>829-263-1288</t>
  </si>
  <si>
    <t>Kiara Brito</t>
  </si>
  <si>
    <t>Cristina Perez</t>
  </si>
  <si>
    <t>calle Gaviño, Palmares del Este 4</t>
  </si>
  <si>
    <t>2230054201-0</t>
  </si>
  <si>
    <t>849-271-9282</t>
  </si>
  <si>
    <t>cristianfelipeperezbadillo@gmail.com</t>
  </si>
  <si>
    <t>Pury Perez</t>
  </si>
  <si>
    <t>blanco / gris</t>
  </si>
  <si>
    <t>Elodia Severino</t>
  </si>
  <si>
    <t>849-214-3084</t>
  </si>
  <si>
    <t>rosemary1802@hotmail.com</t>
  </si>
  <si>
    <t>Ruthy Severino</t>
  </si>
  <si>
    <t>Pomerania</t>
  </si>
  <si>
    <t>12/22/2024</t>
  </si>
  <si>
    <t>blanca</t>
  </si>
  <si>
    <t>Karlany Duran</t>
  </si>
  <si>
    <t>Av. Jacobo Majluta, Residencial Jardines del Arroyo MD.30</t>
  </si>
  <si>
    <t>4028905747-6</t>
  </si>
  <si>
    <t>829-321-1199</t>
  </si>
  <si>
    <t>809265-6443</t>
  </si>
  <si>
    <t>Cariño Duran</t>
  </si>
  <si>
    <t>Perza</t>
  </si>
  <si>
    <t>negro/ marron</t>
  </si>
  <si>
    <t>Gian Jorge Montero</t>
  </si>
  <si>
    <t>4020050788-3</t>
  </si>
  <si>
    <t>829-676-2998</t>
  </si>
  <si>
    <t>gianjorgemontero@gmail.com</t>
  </si>
  <si>
    <t>Wolfie Montero</t>
  </si>
  <si>
    <t>Jumiris Ureña Suriel</t>
  </si>
  <si>
    <t>Colinas del oeste, edificios L6 g, apto g3</t>
  </si>
  <si>
    <t>402-3028618-5</t>
  </si>
  <si>
    <t>809-486-3094</t>
  </si>
  <si>
    <t>809-354-6863</t>
  </si>
  <si>
    <t>jumirissurena@gmail.com</t>
  </si>
  <si>
    <t>Odie Cavallo Ureña</t>
  </si>
  <si>
    <t>castaño</t>
  </si>
  <si>
    <t>Edwin Mañon Lara</t>
  </si>
  <si>
    <t>Av. Rio Haina #25</t>
  </si>
  <si>
    <t>0930052098-9</t>
  </si>
  <si>
    <t>829-577-3439</t>
  </si>
  <si>
    <t>urbehomerd@gmail.com</t>
  </si>
  <si>
    <t>Oreo Mañon Molina</t>
  </si>
  <si>
    <t>Blanco/marron/negro</t>
  </si>
  <si>
    <t>Johanna Rosario</t>
  </si>
  <si>
    <t>Colinas de oeste, bloque b, 301</t>
  </si>
  <si>
    <t>0011833325-1</t>
  </si>
  <si>
    <t>829-585-8682</t>
  </si>
  <si>
    <t>809-620-8468</t>
  </si>
  <si>
    <t>Oliver Matos Rosario</t>
  </si>
  <si>
    <t>Mirbelia Peguero</t>
  </si>
  <si>
    <t>Residencial Roalva II, Manoguayabo</t>
  </si>
  <si>
    <t>4022422714-6</t>
  </si>
  <si>
    <t>809-714-3510</t>
  </si>
  <si>
    <t>809-983-5060</t>
  </si>
  <si>
    <t>mirbeliapeguero@gmail.com</t>
  </si>
  <si>
    <t>Sky Peguero</t>
  </si>
  <si>
    <t>blanca/crema</t>
  </si>
  <si>
    <t>Ross Ramirez</t>
  </si>
  <si>
    <t>residencial Don juan, Colinas del oeste</t>
  </si>
  <si>
    <t>4020957062-7</t>
  </si>
  <si>
    <t>849-330-2712</t>
  </si>
  <si>
    <t>Oreo Ramirez</t>
  </si>
  <si>
    <t xml:space="preserve">1 año </t>
  </si>
  <si>
    <t>negro/blanco</t>
  </si>
  <si>
    <t>Juana Victorino</t>
  </si>
  <si>
    <t>calle el portal #2, casa 28, Bayona, SDO</t>
  </si>
  <si>
    <t>4021349640-5</t>
  </si>
  <si>
    <t>809-855-6480</t>
  </si>
  <si>
    <t>juanamuz03@gmail.com</t>
  </si>
  <si>
    <t>Bobby Victorino</t>
  </si>
  <si>
    <t>Amarillo oscuro</t>
  </si>
  <si>
    <t>Yunibel Jimenez Pimentel</t>
  </si>
  <si>
    <t>km 11, autopista Duarte #30</t>
  </si>
  <si>
    <t>4020928420-3</t>
  </si>
  <si>
    <t>829-266-6218</t>
  </si>
  <si>
    <t>829-778-5008</t>
  </si>
  <si>
    <t>aralyjimenez17@gmail.com</t>
  </si>
  <si>
    <t>Bebe Pimentel</t>
  </si>
  <si>
    <t>Blanco</t>
  </si>
  <si>
    <t>Aylein Santiago</t>
  </si>
  <si>
    <t>4022626702-5</t>
  </si>
  <si>
    <t>809-421-5278</t>
  </si>
  <si>
    <t>wonderbiz105233124@gmail.com</t>
  </si>
  <si>
    <t>Becca Santiago</t>
  </si>
  <si>
    <t>mestizo</t>
  </si>
  <si>
    <t>amarillo/blanco</t>
  </si>
  <si>
    <t>Lia Martinez De Leon</t>
  </si>
  <si>
    <t>colinas del oeste, calle isabelina de torres #13</t>
  </si>
  <si>
    <t>liasccmsstuff@gmail.com</t>
  </si>
  <si>
    <t>Aria Luna Martinez</t>
  </si>
  <si>
    <t>Katherine Ramirez</t>
  </si>
  <si>
    <t>calle principal la pared de haina, monte largo</t>
  </si>
  <si>
    <t>4022381228-6</t>
  </si>
  <si>
    <t>809-608-5192</t>
  </si>
  <si>
    <t>809-428-0819</t>
  </si>
  <si>
    <t>katherinermo9@gmail.com</t>
  </si>
  <si>
    <t>Ares Ramirez</t>
  </si>
  <si>
    <t>Marianllely Castro</t>
  </si>
  <si>
    <t>calle primera la costa #57</t>
  </si>
  <si>
    <t>0280114419-3</t>
  </si>
  <si>
    <t>829-821-5382</t>
  </si>
  <si>
    <t>marianllely_cv_@hotmail.com</t>
  </si>
  <si>
    <t>Ali Marizan castro</t>
  </si>
  <si>
    <t>amarillo</t>
  </si>
  <si>
    <t>Annie Marizan</t>
  </si>
  <si>
    <t>mestiza</t>
  </si>
  <si>
    <t>Otto Castro</t>
  </si>
  <si>
    <t>Yedry Diaz Perez</t>
  </si>
  <si>
    <t>km 12 de la Independencia</t>
  </si>
  <si>
    <t>0020162627-2</t>
  </si>
  <si>
    <t>809-424-9498</t>
  </si>
  <si>
    <t>Doky Diaz</t>
  </si>
  <si>
    <t>Poddler</t>
  </si>
  <si>
    <t>Veinella Cosme</t>
  </si>
  <si>
    <t>colinas 3, 19 #2</t>
  </si>
  <si>
    <t>0011848432-8</t>
  </si>
  <si>
    <t>829-649-3973</t>
  </si>
  <si>
    <t>809-544-2781</t>
  </si>
  <si>
    <t>vcosmefe@gmail.com</t>
  </si>
  <si>
    <t>Bella Cosme</t>
  </si>
  <si>
    <t>pug</t>
  </si>
  <si>
    <t>Sugeiris Ramirez</t>
  </si>
  <si>
    <t>colinas 3</t>
  </si>
  <si>
    <t>2240026013-3</t>
  </si>
  <si>
    <t>829-913-5995</t>
  </si>
  <si>
    <t>829-882-6305</t>
  </si>
  <si>
    <t>sugeirisramirez15@gmail.com</t>
  </si>
  <si>
    <t>Blum Ramirez</t>
  </si>
  <si>
    <t>Chamila Hernriquez</t>
  </si>
  <si>
    <t>calle los llanos #48, los rios</t>
  </si>
  <si>
    <t>4020956542-9</t>
  </si>
  <si>
    <t>849-964-2412</t>
  </si>
  <si>
    <t>chamilahenriquez@gmail.com</t>
  </si>
  <si>
    <t>Tobias Henriquez</t>
  </si>
  <si>
    <t>12 años</t>
  </si>
  <si>
    <t>Enmanuel Hernandez</t>
  </si>
  <si>
    <t>849-258-8504</t>
  </si>
  <si>
    <t>enmanuelhernandez@hotmail.es</t>
  </si>
  <si>
    <t>Brownie Hernandez</t>
  </si>
  <si>
    <t>Yohany Ariz</t>
  </si>
  <si>
    <t>lote 6, apto. c-3, colinas del oeste</t>
  </si>
  <si>
    <t>00101499620-6</t>
  </si>
  <si>
    <t>yariz@hotmail.com</t>
  </si>
  <si>
    <t>(sin nombre) Ariz</t>
  </si>
  <si>
    <t>Carlos Hernandez Madrano</t>
  </si>
  <si>
    <t>calle #6, Res. Santo Domingo, SDO</t>
  </si>
  <si>
    <t>4022083451-5</t>
  </si>
  <si>
    <t>849-457-6423</t>
  </si>
  <si>
    <t>829-838-1048</t>
  </si>
  <si>
    <t>carlos.hdezmedrano@gmail.com</t>
  </si>
  <si>
    <t>Oreo Hernandez</t>
  </si>
  <si>
    <t>Geldy Melendez</t>
  </si>
  <si>
    <t>colinas del oeste, lote 7ab, apto 7a3</t>
  </si>
  <si>
    <t>0011294426-9</t>
  </si>
  <si>
    <t>829-972-2684</t>
  </si>
  <si>
    <t>829-282-5018</t>
  </si>
  <si>
    <t>melendezjimenez123@gmail.com</t>
  </si>
  <si>
    <t>Doky Melendez</t>
  </si>
  <si>
    <t>13 años</t>
  </si>
  <si>
    <t>Valey Acosta Paulino</t>
  </si>
  <si>
    <t>sancarlos ravelo #139</t>
  </si>
  <si>
    <t>4021262454-4</t>
  </si>
  <si>
    <t>829-534-0641</t>
  </si>
  <si>
    <t>acostavalerie.08@gmail.com</t>
  </si>
  <si>
    <t>Peso Pluma</t>
  </si>
  <si>
    <t>angora</t>
  </si>
  <si>
    <t>Jeandry Herrera</t>
  </si>
  <si>
    <t>manzana 43, #14 d, las caobas</t>
  </si>
  <si>
    <t>4022578878-1</t>
  </si>
  <si>
    <t>829-970-5786</t>
  </si>
  <si>
    <t>829-970-6603</t>
  </si>
  <si>
    <t>Rey Peludo</t>
  </si>
  <si>
    <t>Nala Herrera</t>
  </si>
  <si>
    <t>Jose Moronta</t>
  </si>
  <si>
    <t>prolongacion 27, esquina Maria trinidad sanchez</t>
  </si>
  <si>
    <t>0530035272-0</t>
  </si>
  <si>
    <t>829-328-3779</t>
  </si>
  <si>
    <t>829-380-5904</t>
  </si>
  <si>
    <t>jmoronta83@gmail.com</t>
  </si>
  <si>
    <t>Otto Moronta Romero</t>
  </si>
  <si>
    <t xml:space="preserve">10 meses </t>
  </si>
  <si>
    <t>Belkis Pimentel</t>
  </si>
  <si>
    <t>calle los pinos #30, km11 , Auto Duarte</t>
  </si>
  <si>
    <t>849-226-2408</t>
  </si>
  <si>
    <t>Niko Pimentel</t>
  </si>
  <si>
    <t>Daniela Roa</t>
  </si>
  <si>
    <t>calle las mercedes, #10, Engombe</t>
  </si>
  <si>
    <t>4023436480-6</t>
  </si>
  <si>
    <t>809-452-1155</t>
  </si>
  <si>
    <t>roa652580@gmail.com</t>
  </si>
  <si>
    <t>Mia Roa</t>
  </si>
  <si>
    <t>chihuahua mestízo</t>
  </si>
  <si>
    <t>Elizabeth Jimenez</t>
  </si>
  <si>
    <t>calle tercera #11, Ivan Guzman</t>
  </si>
  <si>
    <t>2240027372-2</t>
  </si>
  <si>
    <t>809-433-9303</t>
  </si>
  <si>
    <t>829-454-6315</t>
  </si>
  <si>
    <t>Minnie Jimenez</t>
  </si>
  <si>
    <t>balnco/marron</t>
  </si>
  <si>
    <t>Mary Geraldo</t>
  </si>
  <si>
    <t>colinas del oeste</t>
  </si>
  <si>
    <t>082-0000854-1</t>
  </si>
  <si>
    <t>809-841-1605</t>
  </si>
  <si>
    <t>Mia Geraldo</t>
  </si>
  <si>
    <t>Blaki</t>
  </si>
  <si>
    <t>Rubio</t>
  </si>
  <si>
    <t>Liz Cuevas</t>
  </si>
  <si>
    <t>manzana 6, 9b</t>
  </si>
  <si>
    <t>4021051184-2</t>
  </si>
  <si>
    <t>809-497-7580</t>
  </si>
  <si>
    <t>lizamelia19@gmail.com</t>
  </si>
  <si>
    <t>Milo Cuevas</t>
  </si>
  <si>
    <t>calle plaza 13, Mirador norte, Res. Melissa Alexandra</t>
  </si>
  <si>
    <t>4020076163-9</t>
  </si>
  <si>
    <t>edith.gomez95@gmail.com</t>
  </si>
  <si>
    <t>Luna Gomez</t>
  </si>
  <si>
    <t>Crystal De la Rosa</t>
  </si>
  <si>
    <t>prolongacion 27 de febrero, colinas 3</t>
  </si>
  <si>
    <t>4023053616--7</t>
  </si>
  <si>
    <t>849-859-6152</t>
  </si>
  <si>
    <t>829-903-4744</t>
  </si>
  <si>
    <t>lamariela77292@gmail.com</t>
  </si>
  <si>
    <t>Luna De la Rosa</t>
  </si>
  <si>
    <t>Retriever de nueva escocia</t>
  </si>
  <si>
    <t>Shantal Ramirez</t>
  </si>
  <si>
    <t>prolongacion 27, brisas de las colinas</t>
  </si>
  <si>
    <t>223-0087493-4</t>
  </si>
  <si>
    <t>849-527-0022</t>
  </si>
  <si>
    <t>Luna Maria Ramirez</t>
  </si>
  <si>
    <t>Luis Eduardo Thomas</t>
  </si>
  <si>
    <t>Rodolfo</t>
  </si>
  <si>
    <t>Jose Manuel Fulgencio</t>
  </si>
  <si>
    <t xml:space="preserve">casimiro de moya 328, </t>
  </si>
  <si>
    <t>4023808872-4</t>
  </si>
  <si>
    <t>809-237-4628</t>
  </si>
  <si>
    <t>manuelfalcantara@gmail.com</t>
  </si>
  <si>
    <t>Klaus Fulgencio</t>
  </si>
  <si>
    <t>Carolin Rojas</t>
  </si>
  <si>
    <t>av. vega real #172, nuevo arroyo hondo</t>
  </si>
  <si>
    <t>0011112259-4</t>
  </si>
  <si>
    <t>809-988-4746</t>
  </si>
  <si>
    <t>829-850-1236</t>
  </si>
  <si>
    <t>Iroh Rojas</t>
  </si>
  <si>
    <t>negro/marron</t>
  </si>
  <si>
    <t>Enmanuel Rodriguez</t>
  </si>
  <si>
    <t>829-629-9792</t>
  </si>
  <si>
    <t>Gucci</t>
  </si>
  <si>
    <t>Angelica Liriano</t>
  </si>
  <si>
    <t>residencial lp8</t>
  </si>
  <si>
    <t>809-607-6519</t>
  </si>
  <si>
    <t>Fenix Liriano</t>
  </si>
  <si>
    <t>8 años</t>
  </si>
  <si>
    <t>Jackson Cuevas</t>
  </si>
  <si>
    <t>prolongacion 27 de febrero, c/ maria trinidad sanchez, lp8 48, 102</t>
  </si>
  <si>
    <t>2250052703-6</t>
  </si>
  <si>
    <t>809-881-4942</t>
  </si>
  <si>
    <t>809-817-7044</t>
  </si>
  <si>
    <t>jacksoncuevas@hotmail.com</t>
  </si>
  <si>
    <t>Everest Cuevas</t>
  </si>
  <si>
    <t>Huskey</t>
  </si>
  <si>
    <t xml:space="preserve">Crystal Arnud </t>
  </si>
  <si>
    <t>c/ palma criolla #22, sector engombe, SDO</t>
  </si>
  <si>
    <t>4022211480-9</t>
  </si>
  <si>
    <t>849-635-1869</t>
  </si>
  <si>
    <t>829-252-9630</t>
  </si>
  <si>
    <r>
      <rPr>
        <color rgb="FF1155CC"/>
        <u/>
      </rPr>
      <t>crystalvillar.cv</t>
    </r>
    <r>
      <rPr/>
      <t>@gmail.com</t>
    </r>
  </si>
  <si>
    <t>Estrella Arnud</t>
  </si>
  <si>
    <t>manzana 6 edificio 5b</t>
  </si>
  <si>
    <t>2240055412-1</t>
  </si>
  <si>
    <t>Dohko Almonte</t>
  </si>
  <si>
    <t>3 AÑOS</t>
  </si>
  <si>
    <t>crema/marron</t>
  </si>
  <si>
    <t>Fraleiny Sanchez</t>
  </si>
  <si>
    <t>calle juan pablo duarte no. 92, quita sueño haina</t>
  </si>
  <si>
    <t>4023769493-6</t>
  </si>
  <si>
    <t>809-914-9182</t>
  </si>
  <si>
    <t>Doris Sanchez</t>
  </si>
  <si>
    <t xml:space="preserve">2 años </t>
  </si>
  <si>
    <t>Dolly Sanchez</t>
  </si>
  <si>
    <t>marron/gris</t>
  </si>
  <si>
    <t>Laura Ruiz</t>
  </si>
  <si>
    <t>lp8</t>
  </si>
  <si>
    <t>4021343594-0</t>
  </si>
  <si>
    <t>829-230-1030</t>
  </si>
  <si>
    <t>lauramariaruiz313@gmail.com</t>
  </si>
  <si>
    <t>Cookie Ruiz</t>
  </si>
  <si>
    <t>Madileydi Marte</t>
  </si>
  <si>
    <t>prolongacion 27, lp8</t>
  </si>
  <si>
    <t>2230087828-1</t>
  </si>
  <si>
    <t>maddyledy@gmail.com</t>
  </si>
  <si>
    <t>Colyn Marte</t>
  </si>
  <si>
    <t>chihuachua</t>
  </si>
  <si>
    <t>marron/rubio</t>
  </si>
  <si>
    <t>Yakery Acevedo</t>
  </si>
  <si>
    <t>colinas 3, apto. 8b1</t>
  </si>
  <si>
    <t>402-2468568-1</t>
  </si>
  <si>
    <t>849-353-3620</t>
  </si>
  <si>
    <t>829-704-1945</t>
  </si>
  <si>
    <t>yakeryacevedo@gmail.com</t>
  </si>
  <si>
    <t>Chiqui Rosario Acevedo</t>
  </si>
  <si>
    <t>negro/gris</t>
  </si>
  <si>
    <t>Luisa Martinez</t>
  </si>
  <si>
    <t>calle 2da altos de loyola</t>
  </si>
  <si>
    <t>2280001624-2</t>
  </si>
  <si>
    <t>809-902-6548</t>
  </si>
  <si>
    <t>Cofy Polanco Martinez</t>
  </si>
  <si>
    <t>Shih poo</t>
  </si>
  <si>
    <t>Carlos Gabriel</t>
  </si>
  <si>
    <t>av. anacaona Esquina Pedro Bobea</t>
  </si>
  <si>
    <t>809-307-6058</t>
  </si>
  <si>
    <t>829-566-9106</t>
  </si>
  <si>
    <t>carlosgabriel84@gmail.com</t>
  </si>
  <si>
    <t xml:space="preserve">  </t>
  </si>
  <si>
    <t>Nayeli Luna Rosario</t>
  </si>
  <si>
    <t>plaza paseo 27</t>
  </si>
  <si>
    <t>4021911429-1</t>
  </si>
  <si>
    <t>829-273-1137</t>
  </si>
  <si>
    <t>nayelilunarosario18@gmail.com</t>
  </si>
  <si>
    <t>Cocha Luna</t>
  </si>
  <si>
    <t>Paulotte Cartagena</t>
  </si>
  <si>
    <t>Residencial alameda/ calle amapola #6</t>
  </si>
  <si>
    <t>4020049840-6</t>
  </si>
  <si>
    <t>829-301-0120</t>
  </si>
  <si>
    <t>paulottecartagena@gmail.com</t>
  </si>
  <si>
    <t>Chorito Cartagena</t>
  </si>
  <si>
    <t>mestízo</t>
  </si>
  <si>
    <t>Julie Scott</t>
  </si>
  <si>
    <t>arpel 07</t>
  </si>
  <si>
    <t>809-897-5806</t>
  </si>
  <si>
    <t>jewelscott24@gmail.com</t>
  </si>
  <si>
    <t>Brayan Scott</t>
  </si>
  <si>
    <t xml:space="preserve"> m</t>
  </si>
  <si>
    <t>Perla Camilo Silverio</t>
  </si>
  <si>
    <t>c/ agueida suarez, alameda, SDO</t>
  </si>
  <si>
    <t>1360016320-1</t>
  </si>
  <si>
    <t>829-276-1012</t>
  </si>
  <si>
    <t>marcoelgrande021185@gmail.com</t>
  </si>
  <si>
    <t>Boddy Camilo</t>
  </si>
  <si>
    <t>calle el portal #2, casa 28, bayona, SDO</t>
  </si>
  <si>
    <t>Bruno Victorino</t>
  </si>
  <si>
    <t>Yassiel Diaz Lizardo</t>
  </si>
  <si>
    <t>calle orfice #12, urbanizacion Olimpo</t>
  </si>
  <si>
    <t>4022755043-7</t>
  </si>
  <si>
    <t>849-886-2266</t>
  </si>
  <si>
    <t>jassiel-11@hotmail.com</t>
  </si>
  <si>
    <t>Maya Diaz</t>
  </si>
  <si>
    <t>negra</t>
  </si>
  <si>
    <t>residencial lp8, edificio 51, apartamento 101</t>
  </si>
  <si>
    <t>Liry Liriano</t>
  </si>
  <si>
    <t>Mirtha Josefina Tineo</t>
  </si>
  <si>
    <t>las rosas calle primera, edificio 12 apto 1a</t>
  </si>
  <si>
    <t>0011091551-9</t>
  </si>
  <si>
    <t>809-219-1267</t>
  </si>
  <si>
    <t xml:space="preserve">Loly Josefina </t>
  </si>
  <si>
    <t>mestíza</t>
  </si>
  <si>
    <t>19 años</t>
  </si>
  <si>
    <t>Luis Bisonó</t>
  </si>
  <si>
    <t>colinas del oeste, apto l3 e4, herrera, SDO</t>
  </si>
  <si>
    <t>4021381369-0</t>
  </si>
  <si>
    <t>809-786-1078</t>
  </si>
  <si>
    <t>809-220-5767</t>
  </si>
  <si>
    <t>luisebisono@hotmail.com</t>
  </si>
  <si>
    <t>Mila Bisonò</t>
  </si>
  <si>
    <t>Robert Sanchez Burgos</t>
  </si>
  <si>
    <t>colinas del oeste, apto lom4</t>
  </si>
  <si>
    <t>809-603-0314</t>
  </si>
  <si>
    <t>809-315-6310</t>
  </si>
  <si>
    <t>robertsanchezburgosjr@gmail.com</t>
  </si>
  <si>
    <t>Lucky Sanchez Burgos</t>
  </si>
  <si>
    <t>Laura Coronado</t>
  </si>
  <si>
    <t>leonardo da vinci #116, Rub. Real</t>
  </si>
  <si>
    <t>809-873-0021</t>
  </si>
  <si>
    <t>coronadolaura@gmail.com</t>
  </si>
  <si>
    <t>Bruno Coronado</t>
  </si>
  <si>
    <t>Grelly Infante</t>
  </si>
  <si>
    <t>colinas del oeste, lote 11, m4</t>
  </si>
  <si>
    <t>809-431-5052</t>
  </si>
  <si>
    <t>grellyyuma@gmail.com</t>
  </si>
  <si>
    <t>Canela Infante</t>
  </si>
  <si>
    <t>Chamila Henriquez</t>
  </si>
  <si>
    <t>c. los llanos #48, los rios</t>
  </si>
  <si>
    <t>829-763-1016</t>
  </si>
  <si>
    <t>Silver Henriquez</t>
  </si>
  <si>
    <t>Laura Perez</t>
  </si>
  <si>
    <t>calle Maria Trinidad Sanchez/ LP-8</t>
  </si>
  <si>
    <t>849-287-4134</t>
  </si>
  <si>
    <t>829-403-1016</t>
  </si>
  <si>
    <t>Lali Galvez</t>
  </si>
  <si>
    <t>Lulu Galvez</t>
  </si>
  <si>
    <t>blanca/ marron</t>
  </si>
  <si>
    <t>Omar Gomez Acosta</t>
  </si>
  <si>
    <t>Buenos Aires del Mirador</t>
  </si>
  <si>
    <t>0011476070-5</t>
  </si>
  <si>
    <t>809-861-6181</t>
  </si>
  <si>
    <t>jinetteacostasanchez02@gmail.com</t>
  </si>
  <si>
    <t xml:space="preserve">Esmeralda Gomez </t>
  </si>
  <si>
    <t>Victor Aponte</t>
  </si>
  <si>
    <t>c/ Anastasio Tronil #5, Bayona</t>
  </si>
  <si>
    <t>001-0797252-4</t>
  </si>
  <si>
    <t>809-258-2443</t>
  </si>
  <si>
    <t>Melody Aponte</t>
  </si>
  <si>
    <t>Yafreisy Ramirez</t>
  </si>
  <si>
    <t>Colinas del oeste III/ Apto. 282 B</t>
  </si>
  <si>
    <t>402-254029-9</t>
  </si>
  <si>
    <t>809-719-5571</t>
  </si>
  <si>
    <t>809-803-4200</t>
  </si>
  <si>
    <t>ramirezyafreisy@gmail.com</t>
  </si>
  <si>
    <t>Luna Chervinsky</t>
  </si>
  <si>
    <t>Avril Parra Galvan</t>
  </si>
  <si>
    <t>LP-8, C/ Maria Trinidad Sanchez</t>
  </si>
  <si>
    <t>402-2949020-2</t>
  </si>
  <si>
    <t>829-851-3475</t>
  </si>
  <si>
    <t>avrilmpg@gmail.com</t>
  </si>
  <si>
    <t>Max Dali Parra</t>
  </si>
  <si>
    <t>Erwin Sabater</t>
  </si>
  <si>
    <t>LP-8, 27- 301</t>
  </si>
  <si>
    <t>402-2289598-5</t>
  </si>
  <si>
    <t>809-353-7073</t>
  </si>
  <si>
    <t>829-923-3409</t>
  </si>
  <si>
    <t>erwinsabater@gmaill.com</t>
  </si>
  <si>
    <t>Rocky Sabater</t>
  </si>
  <si>
    <t>Ramona Yvelisse Sigaran</t>
  </si>
  <si>
    <t>manzana 6, edificio 24-d, Las Caobas, Santo Domingo Oeste</t>
  </si>
  <si>
    <t>001-0943783-0</t>
  </si>
  <si>
    <t>829-810-8994</t>
  </si>
  <si>
    <t>849-802-5346</t>
  </si>
  <si>
    <t>ramona.sigaran@gmail.com</t>
  </si>
  <si>
    <t>Candy Sigaran</t>
  </si>
  <si>
    <t>ruubio</t>
  </si>
  <si>
    <t>Endy  B. Bravo</t>
  </si>
  <si>
    <t>manzana 42 #12 Las Caoba</t>
  </si>
  <si>
    <t>001-1190800-0</t>
  </si>
  <si>
    <t>849-362-9835</t>
  </si>
  <si>
    <t>849-483-0317</t>
  </si>
  <si>
    <t>Blacky Marcos</t>
  </si>
  <si>
    <t>chaw chow</t>
  </si>
  <si>
    <t>Olga Yadira Nin</t>
  </si>
  <si>
    <t>224-00551405-1</t>
  </si>
  <si>
    <t>829-493-9221</t>
  </si>
  <si>
    <t>yadira05@hotmail.com</t>
  </si>
  <si>
    <t>Mini Nin</t>
  </si>
  <si>
    <t>Bicon Maltes</t>
  </si>
  <si>
    <t>Marcella Asensio</t>
  </si>
  <si>
    <t xml:space="preserve">L11- apt B4-Colinas del Oeste </t>
  </si>
  <si>
    <t>402-13445115-4</t>
  </si>
  <si>
    <t>829-332-9758</t>
  </si>
  <si>
    <t>Chestnit Asensio</t>
  </si>
  <si>
    <t>shehpoo</t>
  </si>
  <si>
    <t xml:space="preserve">3 años </t>
  </si>
  <si>
    <t>Ramon Alis</t>
  </si>
  <si>
    <t>San Miguel de Manoguayabo</t>
  </si>
  <si>
    <t>402-4264403-3</t>
  </si>
  <si>
    <t>829-936-2894</t>
  </si>
  <si>
    <t>alispaezramon@gmail.com</t>
  </si>
  <si>
    <t xml:space="preserve">Riki Alis </t>
  </si>
  <si>
    <t>Mestiso</t>
  </si>
  <si>
    <t>Deyni Maria</t>
  </si>
  <si>
    <t xml:space="preserve">Av. 27 de febrero </t>
  </si>
  <si>
    <t>001-1798571-3</t>
  </si>
  <si>
    <t>809-880-2481</t>
  </si>
  <si>
    <t>dderissegura@gmail.com</t>
  </si>
  <si>
    <t>Cloe Romero</t>
  </si>
  <si>
    <t>Yamilex Bautista</t>
  </si>
  <si>
    <t>Herrerra  Bautista</t>
  </si>
  <si>
    <t>071-0061220-4</t>
  </si>
  <si>
    <t>829-564-2784</t>
  </si>
  <si>
    <t>Luky</t>
  </si>
  <si>
    <t>Shipoo</t>
  </si>
  <si>
    <t>blanca y negra</t>
  </si>
  <si>
    <t>Cristina Cruz</t>
  </si>
  <si>
    <t>001-1253966-3</t>
  </si>
  <si>
    <t>809-949-0544</t>
  </si>
  <si>
    <t>Hila Peluca Cruz</t>
  </si>
  <si>
    <t>Poodle</t>
  </si>
  <si>
    <t>Marianni Jisela</t>
  </si>
  <si>
    <t>Flor de Liz #12 Palma de Herrera</t>
  </si>
  <si>
    <t>402-0921042-7</t>
  </si>
  <si>
    <t>829-5526102</t>
  </si>
  <si>
    <t>marannicampos39@gmail.com</t>
  </si>
  <si>
    <t>Luna Campos</t>
  </si>
  <si>
    <t>3  meses</t>
  </si>
  <si>
    <t>Roselyn  Rodriguez</t>
  </si>
  <si>
    <t>Calle Cordillera central no, 23 Res. Colinas del Oeste</t>
  </si>
  <si>
    <t>223-0035243-6</t>
  </si>
  <si>
    <t>829-645-3177</t>
  </si>
  <si>
    <t>829-639-8656</t>
  </si>
  <si>
    <t>roselyn.roperto@gmail.com</t>
  </si>
  <si>
    <t>Rey cedeño</t>
  </si>
  <si>
    <t>Shihtzu</t>
  </si>
  <si>
    <t>Peach</t>
  </si>
  <si>
    <t>11 años</t>
  </si>
  <si>
    <t>Alanni Hernandez</t>
  </si>
  <si>
    <t>calle # 15, Villa  Aura Res. Paula C 11</t>
  </si>
  <si>
    <t>402-1347261-2</t>
  </si>
  <si>
    <t>829-468-1972</t>
  </si>
  <si>
    <t>yanibelh23@gmail.com</t>
  </si>
  <si>
    <t>Coco Hernnandez</t>
  </si>
  <si>
    <t>Meztiso</t>
  </si>
  <si>
    <t>Jonathan Ortiz</t>
  </si>
  <si>
    <t>402-0036251-1</t>
  </si>
  <si>
    <t>829-717-6287</t>
  </si>
  <si>
    <t>Kobe Ortiz</t>
  </si>
  <si>
    <t>Yorkshise</t>
  </si>
  <si>
    <t>1 año o meses</t>
  </si>
  <si>
    <t>negro y marron</t>
  </si>
  <si>
    <t>Urias Rodriguez</t>
  </si>
  <si>
    <t>C/ Semptetrional apt 702 Edif.L7ED  residencial las Colinas  del Oeste</t>
  </si>
  <si>
    <t>001-1762602-8</t>
  </si>
  <si>
    <t>809-878-3060</t>
  </si>
  <si>
    <t>829-757-7385</t>
  </si>
  <si>
    <t>dr.urvasrs@gmail.com</t>
  </si>
  <si>
    <t>Teddy Rodriguez</t>
  </si>
  <si>
    <t>Viterva  Garcia</t>
  </si>
  <si>
    <t>Manganagua calle 25#67</t>
  </si>
  <si>
    <t>402-4175996-4</t>
  </si>
  <si>
    <t>829-574-1426</t>
  </si>
  <si>
    <t>829-564-1426</t>
  </si>
  <si>
    <t>aridioalexander adames@gmail.com</t>
  </si>
  <si>
    <t>Noah Garcia</t>
  </si>
  <si>
    <t>balnca y marron</t>
  </si>
  <si>
    <t>Angelica Perez</t>
  </si>
  <si>
    <t>224-0028987-6</t>
  </si>
  <si>
    <t>829-562-5353</t>
  </si>
  <si>
    <t>angelica mps28@gmail.com</t>
  </si>
  <si>
    <t>Max Perez</t>
  </si>
  <si>
    <t>Carlos Jose Cabral</t>
  </si>
  <si>
    <t xml:space="preserve">Calle 9, Reparto Rosa,Santo Domingo Oeste </t>
  </si>
  <si>
    <t>402-0049774-0</t>
  </si>
  <si>
    <t>809-354-2778</t>
  </si>
  <si>
    <t>carlos3180@outlook.com</t>
  </si>
  <si>
    <t>Ryo Cabral</t>
  </si>
  <si>
    <t>Caroline Barett</t>
  </si>
  <si>
    <t>Colinas Oeste #12 /calle septetrional la E4</t>
  </si>
  <si>
    <t>001-1098308-7</t>
  </si>
  <si>
    <t>809-923-9595</t>
  </si>
  <si>
    <t>809-974-1735</t>
  </si>
  <si>
    <t>carolinebarett@gmail.com</t>
  </si>
  <si>
    <t>Milo Suscar Barett</t>
  </si>
  <si>
    <t>negra y marron</t>
  </si>
  <si>
    <t xml:space="preserve">Ana Rosario </t>
  </si>
  <si>
    <t>Reparto  Rosa  Calle la celus #16 SDO</t>
  </si>
  <si>
    <t>402-2622898-0</t>
  </si>
  <si>
    <t>829-933-7200</t>
  </si>
  <si>
    <t>Blue Rosario</t>
  </si>
  <si>
    <t>pomerania</t>
  </si>
  <si>
    <t xml:space="preserve">Jaboco De Jara </t>
  </si>
  <si>
    <t>calle 2da interior ,Los restaudores</t>
  </si>
  <si>
    <t>001-1797838-7</t>
  </si>
  <si>
    <t>849-406-8681</t>
  </si>
  <si>
    <t>jacobodejara@gmail.com</t>
  </si>
  <si>
    <t>Thor o Flash</t>
  </si>
  <si>
    <t>dorado</t>
  </si>
  <si>
    <t>Luisaanna Abreu</t>
  </si>
  <si>
    <t>manzana 26 duplex 17 B Las Caobas</t>
  </si>
  <si>
    <t>402-2636476-6</t>
  </si>
  <si>
    <t>829-357-6874</t>
  </si>
  <si>
    <t>809-5649194</t>
  </si>
  <si>
    <t>abreureynosoluisanna@gmail.com</t>
  </si>
  <si>
    <t>Luna Roman</t>
  </si>
  <si>
    <t>banca y marron</t>
  </si>
  <si>
    <t>Yesenia Lopez</t>
  </si>
  <si>
    <t>La galaxia, marte #9 Santo Domingo Oeste</t>
  </si>
  <si>
    <t>031-0503723-2</t>
  </si>
  <si>
    <t>829-985-8584</t>
  </si>
  <si>
    <t>yesenialpz89@gmail.com</t>
  </si>
  <si>
    <t>Blondie Lopez</t>
  </si>
  <si>
    <t>octubre</t>
  </si>
  <si>
    <t xml:space="preserve">Brownie </t>
  </si>
  <si>
    <t>canico</t>
  </si>
  <si>
    <t>Pudlee</t>
  </si>
  <si>
    <t>Naphtalie Doll</t>
  </si>
  <si>
    <t xml:space="preserve">Pantoja c/ bonauza #60 </t>
  </si>
  <si>
    <t>R11248381</t>
  </si>
  <si>
    <t>829-638-4849</t>
  </si>
  <si>
    <t>miniedoll03@gmail.com</t>
  </si>
  <si>
    <t>Kiki Doll</t>
  </si>
  <si>
    <t>1 año y 5 meses</t>
  </si>
  <si>
    <t>Lucho</t>
  </si>
  <si>
    <t xml:space="preserve"> felino</t>
  </si>
  <si>
    <t>Ragdoll</t>
  </si>
  <si>
    <t>Calle J #10 KM 18</t>
  </si>
  <si>
    <t>402-5062888-6</t>
  </si>
  <si>
    <t>849-577-7997</t>
  </si>
  <si>
    <t>Viannelly De La cruz</t>
  </si>
  <si>
    <t xml:space="preserve">Septentrional #26Colina  del Oeste </t>
  </si>
  <si>
    <t>223-00871902-2</t>
  </si>
  <si>
    <t>829-914-4071</t>
  </si>
  <si>
    <t>829-993-2635</t>
  </si>
  <si>
    <t>viannellydlc01@gmail.com</t>
  </si>
  <si>
    <t>Rocky Junior De La Cruz</t>
  </si>
  <si>
    <t>negro y blanco</t>
  </si>
  <si>
    <t>Tiara Arnaud</t>
  </si>
  <si>
    <t>Residencial Rivera de Haina- Bayona</t>
  </si>
  <si>
    <t>402-2422492-9</t>
  </si>
  <si>
    <t>809-878-5751</t>
  </si>
  <si>
    <t>829-523-5047</t>
  </si>
  <si>
    <t>arnaudtiara@gmail.com</t>
  </si>
  <si>
    <t>Tiara Aquino</t>
  </si>
  <si>
    <t>CITAS</t>
  </si>
  <si>
    <t>N#</t>
  </si>
  <si>
    <t>Fecha</t>
  </si>
  <si>
    <t>Dueño mascota</t>
  </si>
  <si>
    <t>Mascota</t>
  </si>
  <si>
    <t>Servicio</t>
  </si>
  <si>
    <t>Hora</t>
  </si>
  <si>
    <t>Estado</t>
  </si>
  <si>
    <t>AGOSTO</t>
  </si>
  <si>
    <t>Yenelis Mejia</t>
  </si>
  <si>
    <t>Bella</t>
  </si>
  <si>
    <t>baño pequeño + corte completo</t>
  </si>
  <si>
    <t>2 p.m.</t>
  </si>
  <si>
    <t>Atendido</t>
  </si>
  <si>
    <t>Jonattan David</t>
  </si>
  <si>
    <t>2 mascotas</t>
  </si>
  <si>
    <t>10 a.m.</t>
  </si>
  <si>
    <t>Cancelado</t>
  </si>
  <si>
    <t xml:space="preserve">3 p.m. </t>
  </si>
  <si>
    <t>Pamela Mella</t>
  </si>
  <si>
    <t>Nicky</t>
  </si>
  <si>
    <t>baño pequeño + corte higienico</t>
  </si>
  <si>
    <t>4 p.m.</t>
  </si>
  <si>
    <t>Shaina</t>
  </si>
  <si>
    <t>baño pequeño</t>
  </si>
  <si>
    <t>5 p.m.</t>
  </si>
  <si>
    <t xml:space="preserve">Elayni Mercedes </t>
  </si>
  <si>
    <t>ShyGuy</t>
  </si>
  <si>
    <t>Corte completo + desenrede</t>
  </si>
  <si>
    <t xml:space="preserve">2:30 p.m </t>
  </si>
  <si>
    <t>Ana Rocha</t>
  </si>
  <si>
    <t>10:30 a.m.</t>
  </si>
  <si>
    <t>11:00 a.m.</t>
  </si>
  <si>
    <t xml:space="preserve">11:00 a.m. </t>
  </si>
  <si>
    <t>Ana Tavarez</t>
  </si>
  <si>
    <t>2 (Kaki y Honey)</t>
  </si>
  <si>
    <t>baño (ambos)</t>
  </si>
  <si>
    <t xml:space="preserve">9:00 a.m. </t>
  </si>
  <si>
    <t>Samuel Hernandez</t>
  </si>
  <si>
    <t>Daiquiri</t>
  </si>
  <si>
    <t xml:space="preserve">Corte completo </t>
  </si>
  <si>
    <t>10:00 a.m.</t>
  </si>
  <si>
    <t>Jennifer Feliz</t>
  </si>
  <si>
    <t>baño mediano + corte higiénico</t>
  </si>
  <si>
    <t>12:00 p.m.</t>
  </si>
  <si>
    <t xml:space="preserve">Massiel </t>
  </si>
  <si>
    <t>Lucas Sanchez</t>
  </si>
  <si>
    <t>baño pequeño + grooming especializado</t>
  </si>
  <si>
    <t>12:30 p.m.</t>
  </si>
  <si>
    <t>July Zaira</t>
  </si>
  <si>
    <t xml:space="preserve">Luna </t>
  </si>
  <si>
    <t>9:30 a.m.</t>
  </si>
  <si>
    <t>Loki</t>
  </si>
  <si>
    <t>Corte completo+ corte higienico</t>
  </si>
  <si>
    <t>4:30 p.m.</t>
  </si>
  <si>
    <t>Klaus De La Rosa</t>
  </si>
  <si>
    <t>Klaus</t>
  </si>
  <si>
    <t xml:space="preserve">11:30 a.m. </t>
  </si>
  <si>
    <t>Leidy Vargas (es la domestica)</t>
  </si>
  <si>
    <t xml:space="preserve">12:30 p.m. </t>
  </si>
  <si>
    <t>En espera</t>
  </si>
  <si>
    <t>Jose Luis Acosta Heredia</t>
  </si>
  <si>
    <t>baño grande + corte completo</t>
  </si>
  <si>
    <t>SEPTIEMBRE</t>
  </si>
  <si>
    <t>Benyi</t>
  </si>
  <si>
    <t>11:00 p.m.</t>
  </si>
  <si>
    <t xml:space="preserve">baño pequeño </t>
  </si>
  <si>
    <t>2:30 p/m.</t>
  </si>
  <si>
    <t>Confirmado</t>
  </si>
  <si>
    <t>Linabel Perez</t>
  </si>
  <si>
    <t>Copito</t>
  </si>
  <si>
    <t>baño</t>
  </si>
  <si>
    <t>9:00 a.m.</t>
  </si>
  <si>
    <t>Agendado</t>
  </si>
  <si>
    <t>Scarlet Benzan 809-668-1429</t>
  </si>
  <si>
    <t>Lili</t>
  </si>
  <si>
    <t>baño, limpiar carita, ojitos y una forma redondita de pelaje</t>
  </si>
  <si>
    <t>15 años</t>
  </si>
  <si>
    <t>Lulu</t>
  </si>
  <si>
    <t>Sol</t>
  </si>
  <si>
    <t>baño, corte de puntas (darle forma).</t>
  </si>
  <si>
    <t>Mia Pon</t>
  </si>
  <si>
    <t>Max (Marcos)</t>
  </si>
  <si>
    <t>Jerry</t>
  </si>
  <si>
    <t>Estrella</t>
  </si>
  <si>
    <t>baño cachorro + corte completo + desenrede</t>
  </si>
  <si>
    <t xml:space="preserve">AGOSTO </t>
  </si>
  <si>
    <t>Resumen del mes</t>
  </si>
  <si>
    <t>SEMANA 1</t>
  </si>
  <si>
    <t>FECHA</t>
  </si>
  <si>
    <t>SERVICIO</t>
  </si>
  <si>
    <t>MONTO PAGADO</t>
  </si>
  <si>
    <t>FORMA DE PAGO</t>
  </si>
  <si>
    <t>RECIBIDO POR</t>
  </si>
  <si>
    <t>OBSERVACIONES</t>
  </si>
  <si>
    <t>COMISION + SUELDO DEL GROOMER</t>
  </si>
  <si>
    <t>Efectivo</t>
  </si>
  <si>
    <t>LAURA</t>
  </si>
  <si>
    <t>Precio</t>
  </si>
  <si>
    <t>Comision</t>
  </si>
  <si>
    <t>Cantidad realizada</t>
  </si>
  <si>
    <t>MONTO</t>
  </si>
  <si>
    <t>Baños pequeños</t>
  </si>
  <si>
    <t>Baños medianos</t>
  </si>
  <si>
    <t>Baños grandes</t>
  </si>
  <si>
    <t>TOTAL=</t>
  </si>
  <si>
    <t>Corte higienico</t>
  </si>
  <si>
    <t>Total en caja chica=</t>
  </si>
  <si>
    <t>Corte completo</t>
  </si>
  <si>
    <t>OBSERVACION=</t>
  </si>
  <si>
    <t xml:space="preserve">HAY $15 MAS DE DIFERENCIA DEBIDO A LA FALTA DE MENUDO PARA DEVOLVER </t>
  </si>
  <si>
    <t>Grooming</t>
  </si>
  <si>
    <t>Desenrede</t>
  </si>
  <si>
    <t>SEMANA 2</t>
  </si>
  <si>
    <t>Transferencia (ban.reserv.)</t>
  </si>
  <si>
    <t>SUELDO FIJO=</t>
  </si>
  <si>
    <t>PROPINAS=</t>
  </si>
  <si>
    <t>baño pequeño+ corte higienico+desenrede</t>
  </si>
  <si>
    <t>EFECTIVO</t>
  </si>
  <si>
    <t>TOTAL A PAGAR=</t>
  </si>
  <si>
    <t>Transferencia (ban.popular)</t>
  </si>
  <si>
    <t>Nota: Dejó $100 de propina</t>
  </si>
  <si>
    <t>MONTO TOTAL DE SERVICIOS REALIZADOS DEL MES</t>
  </si>
  <si>
    <t>Kaki TAVERAS</t>
  </si>
  <si>
    <t xml:space="preserve">Total </t>
  </si>
  <si>
    <t>baño mediano + corte higienico</t>
  </si>
  <si>
    <t>Luca Sanchez</t>
  </si>
  <si>
    <t>baño pequeño+ desenrede + corte</t>
  </si>
  <si>
    <t>Dejó $150 de propina</t>
  </si>
  <si>
    <t>TOTAL EN CAJA CHICA=</t>
  </si>
  <si>
    <t>Faltan $154</t>
  </si>
  <si>
    <t>PRODUCTOS VENDIDOS</t>
  </si>
  <si>
    <t>SEMANA 3</t>
  </si>
  <si>
    <t>Producto</t>
  </si>
  <si>
    <t>Precio de compra</t>
  </si>
  <si>
    <t>Precio de venta</t>
  </si>
  <si>
    <t>Ganancia</t>
  </si>
  <si>
    <t>Nexgard Spectra 3.6-7.5 kg</t>
  </si>
  <si>
    <t>Baño pequeño + corte higienico</t>
  </si>
  <si>
    <t>Transferencia (ban.reserv)</t>
  </si>
  <si>
    <t>Hueso para perro SPP14</t>
  </si>
  <si>
    <t>transferencia (ban.popular)</t>
  </si>
  <si>
    <t>Braulin VARGAS</t>
  </si>
  <si>
    <t>Total del mes=</t>
  </si>
  <si>
    <t>BANCO POPULAR</t>
  </si>
  <si>
    <t>BANCO RESERVAS</t>
  </si>
  <si>
    <t>Baño mediano + corte higienico</t>
  </si>
  <si>
    <t>Compró Nexgard Spectra de 7 a 16 lbs $1,581</t>
  </si>
  <si>
    <t>Compro colonia Lulu $437</t>
  </si>
  <si>
    <t>baño pequeño + corte completo + desenrede</t>
  </si>
  <si>
    <t>Se aplicó 10% de descuento por 1ra vez</t>
  </si>
  <si>
    <t>Lo pagó el 08/09/2025</t>
  </si>
  <si>
    <t>Total=</t>
  </si>
  <si>
    <t>efectivo</t>
  </si>
  <si>
    <t>Monto a pagar $1670 porque se le aplicó 200 pesos de descuento. Dejó $30 de regalo.</t>
  </si>
  <si>
    <t>Estrella CUSTODIO</t>
  </si>
  <si>
    <t>1,835.1</t>
  </si>
  <si>
    <t>baño pequeño + corte completo + collar</t>
  </si>
  <si>
    <t xml:space="preserve"> 1,528.</t>
  </si>
  <si>
    <t>Luna JULIAO</t>
  </si>
  <si>
    <t xml:space="preserve">baño pequeño + corte completo </t>
  </si>
  <si>
    <t>Compró un collar $400</t>
  </si>
  <si>
    <t>/</t>
  </si>
  <si>
    <t>Semana 3</t>
  </si>
  <si>
    <t>Ruthi Severino</t>
  </si>
  <si>
    <t>Guccy</t>
  </si>
  <si>
    <t>Gari 600</t>
  </si>
  <si>
    <t>Lia Garcia</t>
  </si>
  <si>
    <t>baño grande</t>
  </si>
  <si>
    <t>Semana 4</t>
  </si>
  <si>
    <t>baño cachorro + corte higienico</t>
  </si>
  <si>
    <t>Mia PON SANCHEZ</t>
  </si>
  <si>
    <t>Nick Ortiz</t>
  </si>
  <si>
    <t>Compró un collar $200</t>
  </si>
  <si>
    <t>Me lleve 17000 pesos de la caja chica. Deje $1700</t>
  </si>
  <si>
    <t>Semana 5</t>
  </si>
  <si>
    <t>Minie</t>
  </si>
  <si>
    <t>Benji  DIAZ</t>
  </si>
  <si>
    <t xml:space="preserve">baño mediano </t>
  </si>
  <si>
    <t xml:space="preserve">Se aplicó 10% de descuento </t>
  </si>
  <si>
    <t>Shih Tzu Massiel Ramirez</t>
  </si>
  <si>
    <t>OCTUBRE</t>
  </si>
  <si>
    <t>$</t>
  </si>
  <si>
    <t>MEL</t>
  </si>
  <si>
    <t>Baño pequeño + desenrede</t>
  </si>
  <si>
    <t>Bella VARGAS</t>
  </si>
  <si>
    <t xml:space="preserve">Benji Cabrera </t>
  </si>
  <si>
    <t>PENDIENTE $1070</t>
  </si>
  <si>
    <t>Zoé</t>
  </si>
  <si>
    <t>Honey TAVERAZ</t>
  </si>
  <si>
    <t>MAX (Marcos)</t>
  </si>
  <si>
    <t>baño pequeño + desenrede</t>
  </si>
  <si>
    <t>Semana 2</t>
  </si>
  <si>
    <t>Luna CHECO</t>
  </si>
  <si>
    <t>baño cachorro</t>
  </si>
  <si>
    <t>$300 colonia Lulu</t>
  </si>
  <si>
    <t>Zeus</t>
  </si>
  <si>
    <t>13/010/2025</t>
  </si>
  <si>
    <t>Kira</t>
  </si>
  <si>
    <t>pagó $8 pesos demas.</t>
  </si>
  <si>
    <t>baño pequeño+desenrede+corte higienico</t>
  </si>
  <si>
    <t>Caramelo</t>
  </si>
  <si>
    <t>$120 de juguete hueso</t>
  </si>
  <si>
    <t>$2000 efectivo</t>
  </si>
  <si>
    <t>Se le aplicó 15% de descuento</t>
  </si>
  <si>
    <t>Niko</t>
  </si>
  <si>
    <t>$190 transferencia popular</t>
  </si>
  <si>
    <t>baño de cachorro</t>
  </si>
  <si>
    <t>Lili Alcantara</t>
  </si>
  <si>
    <t xml:space="preserve">Guigui </t>
  </si>
  <si>
    <t>Gaga</t>
  </si>
  <si>
    <t>Mila</t>
  </si>
  <si>
    <t>Oreo (cocker spaniel)</t>
  </si>
  <si>
    <t>29/010/2025</t>
  </si>
  <si>
    <t xml:space="preserve">Tommy </t>
  </si>
  <si>
    <t>transferencia (ban.popular) Victor</t>
  </si>
  <si>
    <t>Transferencia (ban.reserv.) laura</t>
  </si>
  <si>
    <t>NOVIEMBRE</t>
  </si>
  <si>
    <t>Semana 1</t>
  </si>
  <si>
    <t>Venta de productos</t>
  </si>
  <si>
    <t>Ares  Ramos</t>
  </si>
  <si>
    <t>Compró pads de absorcion</t>
  </si>
  <si>
    <t>baño cachorro + corte completo</t>
  </si>
  <si>
    <t xml:space="preserve">dejo propina </t>
  </si>
  <si>
    <t>Popy Rodriguez</t>
  </si>
  <si>
    <t>compra pastilla Nexgard 2 4 kg + paracmectina</t>
  </si>
  <si>
    <t xml:space="preserve">compró colonia Lulu </t>
  </si>
  <si>
    <t>compro un hueso de juguete (pago en efectivo)</t>
  </si>
  <si>
    <t>Tobby</t>
  </si>
  <si>
    <t>compro un plato (200) + arnes para perro ($300)</t>
  </si>
  <si>
    <t>Chorito</t>
  </si>
  <si>
    <t>compró Bravecto 4,5 kg</t>
  </si>
  <si>
    <t>Shayna SANCHEZ</t>
  </si>
  <si>
    <t>baño pequeño + deslanado</t>
  </si>
  <si>
    <t>Laura</t>
  </si>
  <si>
    <t>Aylein</t>
  </si>
  <si>
    <t>Compró un Fibrostar SPRAY</t>
  </si>
  <si>
    <t>Luca Mejia</t>
  </si>
  <si>
    <t>Dejo $81 demas.</t>
  </si>
  <si>
    <t>Transferencia (ban.reserv.) victor</t>
  </si>
  <si>
    <t>Luna</t>
  </si>
  <si>
    <t>Rocco</t>
  </si>
  <si>
    <t>Forma de pago</t>
  </si>
  <si>
    <t>Servicio Veterinaria</t>
  </si>
  <si>
    <t>Gari  600</t>
  </si>
  <si>
    <t>Compro hueso para perro</t>
  </si>
  <si>
    <t>Cofy</t>
  </si>
  <si>
    <t>baño pequeño + grooming</t>
  </si>
  <si>
    <t>Daiky</t>
  </si>
  <si>
    <t xml:space="preserve">compro una bravecto </t>
  </si>
  <si>
    <t>Odie Cavallo</t>
  </si>
  <si>
    <t>baño pequeño + corte completo+ desenrede</t>
  </si>
  <si>
    <t>Se le aplico $238 de descuento</t>
  </si>
  <si>
    <t>Shadow</t>
  </si>
  <si>
    <t>baño mediano</t>
  </si>
  <si>
    <t>Nick</t>
  </si>
  <si>
    <t>Honey</t>
  </si>
  <si>
    <t>Kaki</t>
  </si>
  <si>
    <t xml:space="preserve">baño cachorro + corte higienico </t>
  </si>
  <si>
    <t xml:space="preserve">Compro una colonia Lulu </t>
  </si>
  <si>
    <t>Copito SANCHEZ</t>
  </si>
  <si>
    <t>Ruthi</t>
  </si>
  <si>
    <t>Chiqui</t>
  </si>
  <si>
    <t>Alie</t>
  </si>
  <si>
    <t>Area Luna</t>
  </si>
  <si>
    <t>Alee A (Morena)</t>
  </si>
  <si>
    <t>Vacuna quintuple + consulta</t>
  </si>
  <si>
    <t>Se hizo descuento</t>
  </si>
  <si>
    <t xml:space="preserve">Alee B </t>
  </si>
  <si>
    <t>Mia PON</t>
  </si>
  <si>
    <t>Compro un plato para perro</t>
  </si>
  <si>
    <t>Black</t>
  </si>
  <si>
    <t>Sasha</t>
  </si>
  <si>
    <t>Compraron 2 collares de $250</t>
  </si>
  <si>
    <t>Doris</t>
  </si>
  <si>
    <t>Dolly</t>
  </si>
  <si>
    <t>Vacuna anual (rabia + gardia)</t>
  </si>
  <si>
    <t>SEMANA 5</t>
  </si>
  <si>
    <t>Manguito</t>
  </si>
  <si>
    <t>Crema Saniderm ($611) + Kit navidad ($690)</t>
  </si>
  <si>
    <t>Vacuna quintuple</t>
  </si>
  <si>
    <t>Se hizo descuento (100% de consulta)</t>
  </si>
  <si>
    <t>baño pequeño + corte higienico + desenrede</t>
  </si>
  <si>
    <t>Pinos</t>
  </si>
  <si>
    <t>Lia  Gomez</t>
  </si>
  <si>
    <t>Simparica (desparasitante)</t>
  </si>
  <si>
    <t>Karim Plasencia</t>
  </si>
  <si>
    <t>baño pequeño - medicado</t>
  </si>
  <si>
    <t>Honey Taveras</t>
  </si>
  <si>
    <t>transferencia popular victor</t>
  </si>
  <si>
    <t>Kaki Taveras</t>
  </si>
  <si>
    <t>Nicky  De los Santos</t>
  </si>
  <si>
    <t>Oliver</t>
  </si>
  <si>
    <t>Jimmy</t>
  </si>
  <si>
    <t>Plato de comida</t>
  </si>
  <si>
    <t>Desparasitante Albendazol</t>
  </si>
  <si>
    <t>TOTAL DEL MES=</t>
  </si>
  <si>
    <t>TOTAL DEL MES (PRODUCTOS)=</t>
  </si>
  <si>
    <t>TOTAL DEL MES (VETERINARIA) =</t>
  </si>
  <si>
    <t>DICIEMBRE</t>
  </si>
  <si>
    <t>Odie</t>
  </si>
  <si>
    <t>Baño pequeño</t>
  </si>
  <si>
    <t>transferencia popular</t>
  </si>
  <si>
    <t xml:space="preserve">Laura </t>
  </si>
  <si>
    <t>Transporte</t>
  </si>
  <si>
    <t>Gary 600</t>
  </si>
  <si>
    <t xml:space="preserve">Baño pequeño + corte higiencio </t>
  </si>
  <si>
    <t>Propina Alexander</t>
  </si>
  <si>
    <t>Benji Cabrera</t>
  </si>
  <si>
    <t>Dejó menudo de mas.</t>
  </si>
  <si>
    <t>Ferxxi Rocha</t>
  </si>
  <si>
    <t>Beka Santiago</t>
  </si>
  <si>
    <t>Luna Maria Lopez</t>
  </si>
  <si>
    <t>Compró recogedor para heces ($100) + propina A. ($100)</t>
  </si>
  <si>
    <t>Cocha</t>
  </si>
  <si>
    <t xml:space="preserve">NEXGARD </t>
  </si>
  <si>
    <t>Nicky De los Santos</t>
  </si>
  <si>
    <t>Correa</t>
  </si>
  <si>
    <t>bañ mediano + corte higienico</t>
  </si>
  <si>
    <t>laura</t>
  </si>
  <si>
    <t>Luna Pola</t>
  </si>
  <si>
    <t>Oreo Molina</t>
  </si>
  <si>
    <t>Copito Sanchez</t>
  </si>
  <si>
    <t>Dejo menudo de mas.</t>
  </si>
  <si>
    <t>Bebe</t>
  </si>
  <si>
    <t xml:space="preserve">Collar dispensador </t>
  </si>
  <si>
    <t>Se hizo descuento de $89</t>
  </si>
  <si>
    <t>Esthela Santos</t>
  </si>
  <si>
    <t>Oreo  Ramirez</t>
  </si>
  <si>
    <t>Consulta</t>
  </si>
  <si>
    <t>Albendazol 10%</t>
  </si>
  <si>
    <t>Coco</t>
  </si>
  <si>
    <t xml:space="preserve">LAURA </t>
  </si>
  <si>
    <t>10% descuento</t>
  </si>
  <si>
    <t>Simba</t>
  </si>
  <si>
    <t>10% DESCUENTO</t>
  </si>
  <si>
    <t>Benji</t>
  </si>
  <si>
    <t>Bobby</t>
  </si>
  <si>
    <t>Bruno</t>
  </si>
  <si>
    <t>Rocky</t>
  </si>
  <si>
    <t>bano cachorro + corte higienico</t>
  </si>
  <si>
    <t>bano pequeno + desenrede</t>
  </si>
  <si>
    <t>Otto</t>
  </si>
  <si>
    <t>Spray Wee Wee (500)+ colonia lulu (200)+ termo de agua (275)</t>
  </si>
  <si>
    <t>Ares</t>
  </si>
  <si>
    <t xml:space="preserve">bano cachorro </t>
  </si>
  <si>
    <t>Kaki taveras</t>
  </si>
  <si>
    <t>transferencia popular Victor</t>
  </si>
  <si>
    <t xml:space="preserve">NEXGARD S </t>
  </si>
  <si>
    <t>Nexgard spectra</t>
  </si>
  <si>
    <t>Lucky</t>
  </si>
  <si>
    <t>Cookie</t>
  </si>
  <si>
    <t>Karim Plascencia</t>
  </si>
  <si>
    <t>baño medicado + corte completo</t>
  </si>
  <si>
    <t>Mineravit</t>
  </si>
  <si>
    <t xml:space="preserve">Consulta </t>
  </si>
  <si>
    <t>Saniderm (300)</t>
  </si>
  <si>
    <t>Se hizo descuento de $490</t>
  </si>
  <si>
    <t>Bravecto 10-20 kg</t>
  </si>
  <si>
    <t>Collar + correa (250 c/u)</t>
  </si>
  <si>
    <t>Hemolitan</t>
  </si>
  <si>
    <t>Blum</t>
  </si>
  <si>
    <t>Gentamicina 1,4%</t>
  </si>
  <si>
    <t>Jimmy Hernandez</t>
  </si>
  <si>
    <t>Vacuna triple (1300) + Consulta (1500)</t>
  </si>
  <si>
    <t>Tobias Hernandez</t>
  </si>
  <si>
    <t>Se le regalo un recogedor de heces (100)</t>
  </si>
  <si>
    <t xml:space="preserve">Aplicacion Saniderm </t>
  </si>
  <si>
    <t>NexGard (1105) (Propina Alexander (236)</t>
  </si>
  <si>
    <t>Consulta (1275)+ Vacuna rabia (1105)</t>
  </si>
  <si>
    <t>Sin nombre (Ariz)</t>
  </si>
  <si>
    <t>Nexgard 4kg</t>
  </si>
  <si>
    <t>Fendi</t>
  </si>
  <si>
    <t>Liry</t>
  </si>
  <si>
    <t>baño y corte completo</t>
  </si>
  <si>
    <t>Transferencia (ban.reserv.) Victor</t>
  </si>
  <si>
    <t xml:space="preserve">Annie </t>
  </si>
  <si>
    <t>Ali</t>
  </si>
  <si>
    <t>Shadow Maldonado</t>
  </si>
  <si>
    <t>Rey</t>
  </si>
  <si>
    <t>baño mediano + corte completo</t>
  </si>
  <si>
    <t xml:space="preserve">Propina Alexander </t>
  </si>
  <si>
    <t>Baño medicado</t>
  </si>
  <si>
    <t>NexGard 4-10kg</t>
  </si>
  <si>
    <t xml:space="preserve">Aplic. Saniderm </t>
  </si>
  <si>
    <t>Doky</t>
  </si>
  <si>
    <t>Peso Pluma Acosta</t>
  </si>
  <si>
    <t>PROPINA AYLEIN ($45)+ 6 pastillas omeprazol ($240) + Meloxipet (300) + Saniderm (611)</t>
  </si>
  <si>
    <t>Consulta 1500</t>
  </si>
  <si>
    <t>Aplicacion Saniderm ($300)+ Limpieza herida ($1000)</t>
  </si>
  <si>
    <t>10% descuento/  Collar largo ($180)+ Nexgard ($1,080)</t>
  </si>
  <si>
    <t>Bravecto 20kg</t>
  </si>
  <si>
    <t>Bella Mejia</t>
  </si>
  <si>
    <t>Katherine Amadita</t>
  </si>
  <si>
    <t>Meloxipet 0,15%</t>
  </si>
  <si>
    <t>Luna Zaira</t>
  </si>
  <si>
    <t>Consulta (1500)+ vacuna rabia (1500)+ vacuna quintuple (1200)</t>
  </si>
  <si>
    <t>Unica Hernandez</t>
  </si>
  <si>
    <t>Odie Ureña</t>
  </si>
  <si>
    <t>Consulta (1500)+Diagnostico (1200)+rabia (1500)+quintuple (1200)</t>
  </si>
  <si>
    <t xml:space="preserve">TOTAL= </t>
  </si>
  <si>
    <t>SEMANA 4</t>
  </si>
  <si>
    <t>Consulta (1350)+Rabia (1350)</t>
  </si>
  <si>
    <t>Aplicacion Albendazol</t>
  </si>
  <si>
    <t>Kit de higiene navidad ($815) + Cepillo de peinar ($400)</t>
  </si>
  <si>
    <t>Restan por pagar $89</t>
  </si>
  <si>
    <t>baño pequeño con linea</t>
  </si>
  <si>
    <t>Leydeli</t>
  </si>
  <si>
    <t>Harry</t>
  </si>
  <si>
    <t>Bravecto 2 a 4kg</t>
  </si>
  <si>
    <t>Consulta ($1500)+ Vacuna Rabia ($1500)+ vacuna quintuple ($1200)</t>
  </si>
  <si>
    <t>Se le aplico albendazol pero no se le cobró por mala comunicacion. Se le pagara al doctor de igual forma, por esta ocasion).</t>
  </si>
  <si>
    <t>Yukee Patricia</t>
  </si>
  <si>
    <t>Victor</t>
  </si>
  <si>
    <t>10% de descuento</t>
  </si>
  <si>
    <t>Arnes para gatito</t>
  </si>
  <si>
    <t>transferencia popular  .Se aplico 200 pesos de descuento</t>
  </si>
  <si>
    <t>Consulta ($1500)+ Test rapido Leucemia felina ($1000)+ Vacuna Leucell ($1850)+ Vacuna triple ($1300)</t>
  </si>
  <si>
    <t>Se aplico 10% de descuento.</t>
  </si>
  <si>
    <t>Gencloben 30 g</t>
  </si>
  <si>
    <t>baño pequeño con linea + corte completo</t>
  </si>
  <si>
    <t>1 bozar para perro ($650)+ 1 blister Estres/Ansiedad ($300)</t>
  </si>
  <si>
    <t xml:space="preserve">Plato de comer para perros </t>
  </si>
  <si>
    <t>baño pequeño con linea + corte higienico</t>
  </si>
  <si>
    <t>Nexgard Sepctra 7kg ($1,300)+ letrero en forma de hueso ($470)</t>
  </si>
  <si>
    <t xml:space="preserve">baño con linea + corte completo </t>
  </si>
  <si>
    <t>baño medicado</t>
  </si>
  <si>
    <t>Kira Uni</t>
  </si>
  <si>
    <t>Aparece reflejado en la cuenta como $2978, pero se compenso con el pago del monto restante ($518) realizado por Leydeli a la cuenta del banreservas</t>
  </si>
  <si>
    <t>Tommy Castaño</t>
  </si>
  <si>
    <t>baño mediano con linea + corte completo</t>
  </si>
  <si>
    <t>baño grande con linea</t>
  </si>
  <si>
    <t>Benji Diaz</t>
  </si>
  <si>
    <t>Oliver Rosario</t>
  </si>
  <si>
    <t xml:space="preserve">baño grande </t>
  </si>
  <si>
    <t xml:space="preserve">Hemolitan pet ($830) </t>
  </si>
  <si>
    <t>Consulta ($1500)  + vacuna rabia ($1500)</t>
  </si>
  <si>
    <t>Aplicacion de Albendazol</t>
  </si>
  <si>
    <t>Yeri Nieves</t>
  </si>
  <si>
    <t>Consulta ($1500)  + vacuna rabia ($1500)+ vacuna triple ($1300)</t>
  </si>
  <si>
    <t>Total diciembre</t>
  </si>
  <si>
    <t>CATEGORIA</t>
  </si>
  <si>
    <t>PROOVEDOR</t>
  </si>
  <si>
    <t>CANTIDAD EN STOCK</t>
  </si>
  <si>
    <t>PRODUCTO</t>
  </si>
  <si>
    <t>MARCA</t>
  </si>
  <si>
    <t>ESPECIE</t>
  </si>
  <si>
    <t>EDAD</t>
  </si>
  <si>
    <t>INGREDIENTES</t>
  </si>
  <si>
    <t>$ COMPRA</t>
  </si>
  <si>
    <t>$ VENTA</t>
  </si>
  <si>
    <t>Margen de ganancia (25%)</t>
  </si>
  <si>
    <t>PRECIO DE VENTA POR UNIDAD</t>
  </si>
  <si>
    <t>SANUT</t>
  </si>
  <si>
    <t>ALIMENTO</t>
  </si>
  <si>
    <t>BELCANDO</t>
  </si>
  <si>
    <t>ADULTO (3 A 6 AñOS)</t>
  </si>
  <si>
    <t>DINNER 4KG</t>
  </si>
  <si>
    <t>CACHORRO (0- 6 MESES)</t>
  </si>
  <si>
    <t>GF POULTRY 4KG</t>
  </si>
  <si>
    <t>80 % (Ave 60 %, pescado 15 %, gelatina 5 %) NO: CEREALES, SOJA, LACTEOS.</t>
  </si>
  <si>
    <t>JUNIOR (7 meses-2 años)</t>
  </si>
  <si>
    <t>LAMB &amp; RICE</t>
  </si>
  <si>
    <t>80 % (Cordero 35 %, ave 25 %, pescado 10 %, gelatina 10 %)</t>
  </si>
  <si>
    <t>1,836.25</t>
  </si>
  <si>
    <t>367.25</t>
  </si>
  <si>
    <t>GF BEEF 4 KG</t>
  </si>
  <si>
    <t>75 % (Ternera 60 %, pescado 15 %)</t>
  </si>
  <si>
    <t>2,153.75</t>
  </si>
  <si>
    <t>430.75</t>
  </si>
  <si>
    <t>ACANA</t>
  </si>
  <si>
    <t>FREE-RUN POULTRY 4,5LB</t>
  </si>
  <si>
    <t>pollo fresco, pavo libre y huevos sin jaulas con una mezcla de verduras, frutas</t>
  </si>
  <si>
    <t>2,353.75</t>
  </si>
  <si>
    <t>470.75</t>
  </si>
  <si>
    <t>PUPPY - JUNIOR</t>
  </si>
  <si>
    <t>PUPPY RECIPE 4 LB</t>
  </si>
  <si>
    <t>POLLO, PESCADO, ETC</t>
  </si>
  <si>
    <t>2,556.25</t>
  </si>
  <si>
    <t>LEONARDO</t>
  </si>
  <si>
    <t>GATO</t>
  </si>
  <si>
    <t>KITTEN HASTA 12 MESES</t>
  </si>
  <si>
    <t>KITTEN GF 300G</t>
  </si>
  <si>
    <t>POLLO</t>
  </si>
  <si>
    <t>201.29</t>
  </si>
  <si>
    <t>50.3</t>
  </si>
  <si>
    <t>FRESH SALMON 250G</t>
  </si>
  <si>
    <t>SALMON</t>
  </si>
  <si>
    <t>432.2</t>
  </si>
  <si>
    <t>540.25</t>
  </si>
  <si>
    <t>108.05</t>
  </si>
  <si>
    <t>ADULT</t>
  </si>
  <si>
    <t>GF MAXI 300G</t>
  </si>
  <si>
    <t>207.46</t>
  </si>
  <si>
    <t>51.8</t>
  </si>
  <si>
    <t>BEBIDA</t>
  </si>
  <si>
    <t>DRINK DUCK 40G</t>
  </si>
  <si>
    <t>DUCK</t>
  </si>
  <si>
    <t>1,552.61</t>
  </si>
  <si>
    <t>310.61</t>
  </si>
  <si>
    <t>67.5</t>
  </si>
  <si>
    <t>DRINK SALMON 40G</t>
  </si>
  <si>
    <t>1,388.92</t>
  </si>
  <si>
    <t>1,736.15</t>
  </si>
  <si>
    <t>347.23</t>
  </si>
  <si>
    <t>ALICAN</t>
  </si>
  <si>
    <t>CACHORRO</t>
  </si>
  <si>
    <t>FUNDA 4LBS</t>
  </si>
  <si>
    <t>507.12</t>
  </si>
  <si>
    <t>126.78</t>
  </si>
  <si>
    <t>CANOVI</t>
  </si>
  <si>
    <t>CACHORRO RAZA PEQUENA</t>
  </si>
  <si>
    <t>FUNDA 4.44 LBS</t>
  </si>
  <si>
    <t>466.1</t>
  </si>
  <si>
    <t>93.22</t>
  </si>
  <si>
    <t>POLLO Y CERDO</t>
  </si>
  <si>
    <t>Descripcion</t>
  </si>
  <si>
    <t>Cantidad</t>
  </si>
  <si>
    <t>Costo_por_unidad</t>
  </si>
  <si>
    <t>Margen</t>
  </si>
  <si>
    <t>Valor_Margen_Gananc</t>
  </si>
  <si>
    <t>Precio_Venta_Petcolinas</t>
  </si>
  <si>
    <t xml:space="preserve">       </t>
  </si>
  <si>
    <t>Nexgard Spectra M 7.6-15 kg</t>
  </si>
  <si>
    <t>Nexgard 2-4 kg</t>
  </si>
  <si>
    <t>Simparica Trio 12mg Caramel</t>
  </si>
  <si>
    <t>Simparica Trio 6mg Purple</t>
  </si>
  <si>
    <t>Bravecto 112.5 mg 2-4.5 kg</t>
  </si>
  <si>
    <t>Bravecto 1000 mg 20-40 kg</t>
  </si>
  <si>
    <t>Bravecto 250 mg 4.5-10 kg</t>
  </si>
  <si>
    <t>Bravecto 500 mg 10-20 kg</t>
  </si>
  <si>
    <t>Lulu Colonia Fragancia Bebe 4 oz</t>
  </si>
  <si>
    <t>,</t>
  </si>
  <si>
    <t>Lulu Colonia Fragancia Vainilla 4 oz</t>
  </si>
  <si>
    <t>Healthy Pet Spray Garrapaticida</t>
  </si>
  <si>
    <t>Healthy Pet Shampoo Cachorro Anti</t>
  </si>
  <si>
    <t>Healthy Pet Shampoo Cachorro 16 oz</t>
  </si>
  <si>
    <t>Healthy Pet Cachorro Shampoo 8 oz</t>
  </si>
  <si>
    <t>Shampoo Campeon 520 ml 16 oz</t>
  </si>
  <si>
    <t>Alerdrag Shampoo 100 ml</t>
  </si>
  <si>
    <t>Shampoo Canish Espuma 160 ml</t>
  </si>
  <si>
    <t>Healthy Pet Spray Garrapaticida Pu</t>
  </si>
  <si>
    <t>Minervit Jarabe 120 ml</t>
  </si>
  <si>
    <t>Bonavit Suspension 250 ml</t>
  </si>
  <si>
    <t>Antiparasitario Protek Pet Spot On</t>
  </si>
  <si>
    <t>Fiprostar Spot On Aplicador 2.68 ml</t>
  </si>
  <si>
    <t>Apetitet Jarabe 100 ml</t>
  </si>
  <si>
    <t>Fiprostar Spray 60 ml</t>
  </si>
  <si>
    <t>Oxantel Gel 10 ml</t>
  </si>
  <si>
    <t>Pramectica Caja 4 Tbs</t>
  </si>
  <si>
    <t>Pañales Comfort Nappy 1-12 pc</t>
  </si>
  <si>
    <t>Dog Chow Cachorro Extra Life Minis</t>
  </si>
  <si>
    <t>Pad absorcion mascotas (M)</t>
  </si>
  <si>
    <t>Belcando Adult Dinner 4 kg</t>
  </si>
  <si>
    <t>Belcando Puppy GF Poultry 4 kg</t>
  </si>
  <si>
    <t>Belcando Junior Lamb &amp; Rice 4 kg</t>
  </si>
  <si>
    <t>Belcando Adult GF Beef 4 kg</t>
  </si>
  <si>
    <t>Acana Free-Run Poultry 4.5 lb</t>
  </si>
  <si>
    <t>Acana Puppy Recipe Junior Dog</t>
  </si>
  <si>
    <t>Leonardo Kitten GF 300 g</t>
  </si>
  <si>
    <t>Leonardo Fresh Salmon 250 g</t>
  </si>
  <si>
    <t>Leonardo Adult GF Maxi 300 g</t>
  </si>
  <si>
    <t>Atican Cachorro Pollo 4 lbs</t>
  </si>
  <si>
    <t>Canovi Cachorro para Pequeño 4.4 lb</t>
  </si>
  <si>
    <t>Papel LBT-2</t>
  </si>
  <si>
    <t>Dulce Hogar</t>
  </si>
  <si>
    <t>Juguete para perro SPP6</t>
  </si>
  <si>
    <t>Juguete para perro SPP8</t>
  </si>
  <si>
    <t>Hueso para perro SPP17</t>
  </si>
  <si>
    <t>Cuerda de mascota SPP35</t>
  </si>
  <si>
    <t>Collar de mascota SPP47</t>
  </si>
  <si>
    <t>Arnés para perro SPP53</t>
  </si>
  <si>
    <t>Arnés para perro SPP54</t>
  </si>
  <si>
    <t>Correa mascota SPP66</t>
  </si>
  <si>
    <t>Plato para mascota SPP70</t>
  </si>
  <si>
    <t>Plato para mascota SPP71</t>
  </si>
  <si>
    <t>Bozal SPP101</t>
  </si>
  <si>
    <t>Recogedor SPP113</t>
  </si>
  <si>
    <t>Jaula SPP133</t>
  </si>
  <si>
    <t>Jaula SPP134</t>
  </si>
  <si>
    <t>Shampoo pelo largo</t>
  </si>
  <si>
    <t>Colonia para mascota</t>
  </si>
  <si>
    <t>Healthy Pet Shampoo 38208</t>
  </si>
  <si>
    <t>Healthy Pet Shampoo 38215</t>
  </si>
  <si>
    <t>Healthy Pet Shampoo 38239</t>
  </si>
  <si>
    <t>Medivet</t>
  </si>
  <si>
    <t>bandeja con grama</t>
  </si>
  <si>
    <t xml:space="preserve">        </t>
  </si>
  <si>
    <t>Almacenes tiburon</t>
  </si>
  <si>
    <t>[10044] DISPENSADOR FUNDAS P/DESECHOS Precio: RD$ 270.00 Referencia: 10381 841196103812 Precio: RD$ 130.00 Referencia: 10044</t>
  </si>
  <si>
    <t>[AT-50] REPUESTO P/DISPENSADOR FUNDAS P/DESECHOS 3/1 Precio: RD$ 100.00 Referencia: AT-50</t>
  </si>
  <si>
    <t>[SH-0556] SPRAY PREBIOTICO P/HUELLAS HPOALERGENICO 018214827986 [70535] TOALLITAS DE LIMPIEZA PARA OIDOS P/ PERROS Y GATOS 70 UDS. Precio: RD$ 700.00 Referencia: SH-0556</t>
  </si>
  <si>
    <t>[39899] CEPILLO DENTAL DOBLE Precio: RD$ 95.00 Referencia: 39899</t>
  </si>
  <si>
    <t>[NPD501P] PASTA DENTAL PERRO 2.5OZ Precio: RD$ 380.00 Referencia: NPD501P</t>
  </si>
  <si>
    <t>[EP-001] PRODUCTO PERRO POLVO LIMPIADOR DE OIDO 30GR Precio: RD$ 550.00 Referencia: EP-001</t>
  </si>
  <si>
    <t>[10452] ESTUCHE DE CINTURA PARA TREATS Precio: RD$ 600.00 
Referencia: 10452</t>
  </si>
  <si>
    <t>[90801] BOZAL PERRO (XSMALL) Precio: RD$ 190.00 Referencia: 90801</t>
  </si>
  <si>
    <t>[92672] BOZAL PERRO ALPHA (SMALL ) Precio: RD$ 850.00 Referencia: 92672</t>
  </si>
  <si>
    <t>[01614] PADS ENTRENAMIENTO WEE WEE (22" X 23", 14/1 Precio: RD$ 320.00 
Referencia: 01614</t>
  </si>
  <si>
    <t>[70597] PADS ENTRENAMIENTO (22" X 22", 100/1) Precio: RD$ 1,100.00 Referencia: 70597</t>
  </si>
  <si>
    <t>[70595] PADS ENTRENAMIENTO (22" X 22", 30/1) Precio: RD$ 360.00 Referencia: 70595</t>
  </si>
  <si>
    <t>[97077] PADS ENTRENAMIENTO CONTROL DE OLOR(22"X23" 100/1  Precio: RD$ 2,000.00 
Referencia: 97077</t>
  </si>
  <si>
    <t>[24008] ATOMIZADOR NEBLINA CONTINUA 300ML Precio: RD$ 250.00</t>
  </si>
  <si>
    <t>[00609-SM12] TREAT PERRO FRESH SMILEEZZ 12OZ (MEDIUM) Precio: RD$ 865.00</t>
  </si>
  <si>
    <t>Ultrasonido de limpieza dental</t>
  </si>
  <si>
    <t>Cepillo quita pelos</t>
  </si>
  <si>
    <t>Delantal plastico para Alexander</t>
  </si>
  <si>
    <t>Alcohol, algodon y pinza de cirugia hemostatica (de cirugia) para limpieza de oidos\</t>
  </si>
  <si>
    <t>CALDMIX (JARABE)</t>
  </si>
  <si>
    <t>RECOVERI DE ROYAL CANIN</t>
  </si>
  <si>
    <t>VACUNACIONES PERROS</t>
  </si>
  <si>
    <t>PREVENTIVOS ECTOPARASITOS</t>
  </si>
  <si>
    <t>PARASITOS</t>
  </si>
  <si>
    <t>INTESTINALES</t>
  </si>
  <si>
    <t>DEL CORAZON</t>
  </si>
  <si>
    <t>PARVOVIRUS</t>
  </si>
  <si>
    <t>DISTEMPER</t>
  </si>
  <si>
    <t>HEPATITIS ADENOVIRUS TIPO 2</t>
  </si>
  <si>
    <t>RABIA</t>
  </si>
  <si>
    <t>PARAINFLUENZA</t>
  </si>
  <si>
    <t>LEPTOSPIROSIS</t>
  </si>
  <si>
    <t>BORDETELLA</t>
  </si>
  <si>
    <t>GIARDIA</t>
  </si>
  <si>
    <t>OTROS</t>
  </si>
  <si>
    <t>VENCE</t>
  </si>
  <si>
    <t>PESO</t>
  </si>
  <si>
    <t>TRATAMIENTO PREVENTIVO</t>
  </si>
  <si>
    <t>MAX (MARCOS ARMANDO)</t>
  </si>
  <si>
    <t>Nombre:</t>
  </si>
  <si>
    <t>Alexander Ramirez Felix</t>
  </si>
  <si>
    <t>Cedula</t>
  </si>
  <si>
    <t>402-2777570-3</t>
  </si>
  <si>
    <t>Correo:</t>
  </si>
  <si>
    <t>alexanderzx889@gmail.com</t>
  </si>
  <si>
    <t>Direccion:</t>
  </si>
  <si>
    <t>Respaldo Rosa, calle 26, casa, Las Palmas</t>
  </si>
  <si>
    <t>Contacto emergencia</t>
  </si>
  <si>
    <t>829-633-2570 (Esposa Ruth Esther)</t>
  </si>
  <si>
    <t>PETCOLINAS</t>
  </si>
  <si>
    <t>GROOMING . VETERINARIA . PET SHOP .</t>
  </si>
  <si>
    <t>Av. Prolongación 27 de febrero, Plaza Las Colinas, Santo Domingo Oeste, Repùblica Dominicana.</t>
  </si>
  <si>
    <t>Reporte de pago:</t>
  </si>
  <si>
    <t>Alexander Ramírez</t>
  </si>
  <si>
    <t>Cargo:</t>
  </si>
  <si>
    <t>Groomer (peluquero)</t>
  </si>
  <si>
    <t>Período</t>
  </si>
  <si>
    <t>Agosto</t>
  </si>
  <si>
    <t xml:space="preserve">Desde fecha: </t>
  </si>
  <si>
    <t xml:space="preserve">A fecha: </t>
  </si>
  <si>
    <t>Tipo de pago:</t>
  </si>
  <si>
    <t>Sueldo base + comsión</t>
  </si>
  <si>
    <t>Cliente</t>
  </si>
  <si>
    <t>Procedimiento</t>
  </si>
  <si>
    <t>Propina</t>
  </si>
  <si>
    <t>Monto por Comisión</t>
  </si>
  <si>
    <t>Total servicio baño pequeño</t>
  </si>
  <si>
    <t>Total servicio baño mediano</t>
  </si>
  <si>
    <t>Total servicio baño grande</t>
  </si>
  <si>
    <t>Total servicio corte completo</t>
  </si>
  <si>
    <t>Total servicio corte higiénico</t>
  </si>
  <si>
    <t>Total servicio desenrede</t>
  </si>
  <si>
    <t>Total servicio grooming especializado</t>
  </si>
  <si>
    <t>Total comisión=</t>
  </si>
  <si>
    <t>Total propina=</t>
  </si>
  <si>
    <t>Sueldo fijo=</t>
  </si>
  <si>
    <t>(Por periodo trabajado)</t>
  </si>
  <si>
    <t>Total pago del mes=</t>
  </si>
  <si>
    <t>Septiembre</t>
  </si>
  <si>
    <t>Ruti</t>
  </si>
  <si>
    <t>Gari</t>
  </si>
  <si>
    <t xml:space="preserve">Mia </t>
  </si>
  <si>
    <t>Shih Tzu Massiel Rivera</t>
  </si>
  <si>
    <t>Mas del 8% de comision</t>
  </si>
  <si>
    <t>Con el 5%</t>
  </si>
  <si>
    <t>Total servicio baño cachorro</t>
  </si>
  <si>
    <t>total generado=</t>
  </si>
  <si>
    <t>comision=</t>
  </si>
  <si>
    <t>salario Alexander=</t>
  </si>
  <si>
    <t>Quincena=</t>
  </si>
  <si>
    <t>Total =</t>
  </si>
  <si>
    <t>Total pago=</t>
  </si>
  <si>
    <t>($4,744) diferencia</t>
  </si>
  <si>
    <t>VETERINARIA</t>
  </si>
  <si>
    <t>GASTO DIARIO</t>
  </si>
  <si>
    <t>Precio estimado</t>
  </si>
  <si>
    <t>GASTO X HORA</t>
  </si>
  <si>
    <t>1000-1500</t>
  </si>
  <si>
    <t>Consulta general</t>
  </si>
  <si>
    <t>900-1200</t>
  </si>
  <si>
    <t>Vacuna múltiple (cachorro)</t>
  </si>
  <si>
    <t>1,200 – 1,500</t>
  </si>
  <si>
    <t>Refuerzo anual de vacunas</t>
  </si>
  <si>
    <t xml:space="preserve"> 1,900 – 3,300</t>
  </si>
  <si>
    <t>Paquete anual (múltiple + bordetella + rabia + desparasita</t>
  </si>
  <si>
    <t>800 – 1,000</t>
  </si>
  <si>
    <t>Profilaxis dental (limpieza)</t>
  </si>
  <si>
    <t>2,000 – 3,000</t>
  </si>
  <si>
    <t>Recoleccion de muestras</t>
  </si>
  <si>
    <t>Esterilización – gato</t>
  </si>
  <si>
    <t>3,000 – 6,000</t>
  </si>
  <si>
    <t>Castración – perro macho (≤25 lb)</t>
  </si>
  <si>
    <t>9,500 – 12,000</t>
  </si>
  <si>
    <t xml:space="preserve"> Esterilización – perra (hembra)</t>
  </si>
  <si>
    <t>15,000 – 18,000</t>
  </si>
  <si>
    <t xml:space="preserve"> Cesárea</t>
  </si>
  <si>
    <t>PELUQUERIA</t>
  </si>
  <si>
    <t>IDEAL</t>
  </si>
  <si>
    <t>ACTUALMENTE</t>
  </si>
  <si>
    <t>PRECIO</t>
  </si>
  <si>
    <t>COMISION 5%</t>
  </si>
  <si>
    <t>GANANCIA 28%</t>
  </si>
  <si>
    <t>TOTAL</t>
  </si>
  <si>
    <t>COMISION mayor al 8%</t>
  </si>
  <si>
    <t>GANANCIA 21%</t>
  </si>
  <si>
    <t>Baño cachorro</t>
  </si>
  <si>
    <t>-36.5</t>
  </si>
  <si>
    <t>Medicado</t>
  </si>
  <si>
    <t>ALQUILER</t>
  </si>
  <si>
    <t>LUZ</t>
  </si>
  <si>
    <t>INTERNET</t>
  </si>
  <si>
    <t>SUELDO LAURA</t>
  </si>
  <si>
    <t>SUELDO ALEXANDER</t>
  </si>
  <si>
    <t>SUELDO AYLEIN</t>
  </si>
  <si>
    <t>SUELDO Doctora Jose</t>
  </si>
  <si>
    <t>PROVEEDOR</t>
  </si>
  <si>
    <t>Sanut</t>
  </si>
  <si>
    <t>PLAZA PROPICIO</t>
  </si>
  <si>
    <t>LAMPARA B050-020</t>
  </si>
  <si>
    <t>BATISSA</t>
  </si>
  <si>
    <t>ABONO UNIFORMES</t>
  </si>
  <si>
    <t xml:space="preserve">ISMAEL COTES </t>
  </si>
  <si>
    <t>SELLOS, STICKERS/ RECETARIOS</t>
  </si>
  <si>
    <t xml:space="preserve">Ferreteria Ochoa </t>
  </si>
  <si>
    <t>fARMACIA JOSE NEPO</t>
  </si>
  <si>
    <t>CAJA CHICA</t>
  </si>
  <si>
    <t>JC GOLDEN SUPPLY</t>
  </si>
  <si>
    <t xml:space="preserve"> DELIVERY (LAURA)</t>
  </si>
  <si>
    <t>TECNOLOGIA PORTATIL SHOP</t>
  </si>
  <si>
    <t>LISTO FERRETERIA</t>
  </si>
  <si>
    <t>TARJETA LAURA</t>
  </si>
  <si>
    <t>BARRA 27</t>
  </si>
  <si>
    <t>LIMPIEZA LOCAL</t>
  </si>
  <si>
    <t>DOÑA NELFA</t>
  </si>
  <si>
    <t>ALMACENES UNIDOS</t>
  </si>
  <si>
    <t>FARMACIA JOSE NEPO</t>
  </si>
  <si>
    <t>MEDICAMENTOS LAURA</t>
  </si>
  <si>
    <t>COLMADO</t>
  </si>
  <si>
    <t>BOTELLON DE AGUA</t>
  </si>
  <si>
    <t>01/10/2O25</t>
  </si>
  <si>
    <t>MERCA JUMBO</t>
  </si>
  <si>
    <t>SABRINA DE LA CRUZ</t>
  </si>
  <si>
    <t>DISEÑO FOLLETOS</t>
  </si>
  <si>
    <t>JUMBO</t>
  </si>
  <si>
    <t>TM COMPUTER</t>
  </si>
  <si>
    <t>TRANSFERENCIA VICTOR IVAN</t>
  </si>
  <si>
    <t>CABLE IMPRESORA</t>
  </si>
  <si>
    <t xml:space="preserve">PrintCorp </t>
  </si>
  <si>
    <t>BROCHURES</t>
  </si>
  <si>
    <t>TARJETA LEYDELI</t>
  </si>
  <si>
    <t>SHAMPOO/CONDICIONER/CREMA CICATRIZANTE</t>
  </si>
  <si>
    <t>INSUMED S.R.L</t>
  </si>
  <si>
    <t>Mueble blanco consultorio</t>
  </si>
  <si>
    <t>Octubre</t>
  </si>
  <si>
    <t>22, 000</t>
  </si>
  <si>
    <t>caja chica</t>
  </si>
  <si>
    <t>Se saco $20,000 para depositar en el banco</t>
  </si>
  <si>
    <t>Se dejó 2,000 en caja para devueltas.</t>
  </si>
  <si>
    <t>Se saco $7,550 para depositar en el banco</t>
  </si>
  <si>
    <t>Se dejó 1,650 en caja para devueltas.</t>
  </si>
  <si>
    <t>Noviembre</t>
  </si>
  <si>
    <t xml:space="preserve">SE SACO $18950 </t>
  </si>
  <si>
    <t>cajita blanca</t>
  </si>
  <si>
    <t>Diciembre</t>
  </si>
  <si>
    <t>SE SACO 23000</t>
  </si>
  <si>
    <t>SE DEJO 1,050</t>
  </si>
  <si>
    <t>DEPOSITADO 19/01/2026</t>
  </si>
  <si>
    <t xml:space="preserve">ENERO </t>
  </si>
  <si>
    <t>SE SACO $3000</t>
  </si>
  <si>
    <t>SE DEJO $1500</t>
  </si>
  <si>
    <t>DEPOSITADO 16/01/2026</t>
  </si>
  <si>
    <t>se saco 4000</t>
  </si>
  <si>
    <t>SE DEJO 1950</t>
  </si>
  <si>
    <t>se saco 10,000</t>
  </si>
  <si>
    <t>SE DEJO 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</si>
</sst>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mmm yyyy"/>
    <numFmt numFmtId="166" formatCode="d mmmm yyyy"/>
    <numFmt numFmtId="167" formatCode="d/m/yyyy"/>
    <numFmt numFmtId="168" formatCode="d/m/yy"/>
    <numFmt numFmtId="169" formatCode="mmmm yyyy"/>
    <numFmt numFmtId="170" formatCode="yyyy.mm"/>
  </numFmts>
  <fonts count="4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b/>
      <sz val="11.0"/>
      <color theme="1"/>
      <name val="Arial"/>
      <scheme val="minor"/>
    </font>
    <font>
      <sz val="9.0"/>
      <color theme="1"/>
      <name val="Arial"/>
      <scheme val="minor"/>
    </font>
    <font>
      <sz val="11.0"/>
      <color rgb="FF444746"/>
      <name val="Roboto"/>
    </font>
    <font>
      <sz val="13.0"/>
      <color rgb="FF1F1F1F"/>
      <name val="&quot;Google Sans&quot;"/>
    </font>
    <font>
      <color rgb="FFFFFF00"/>
      <name val="Arial"/>
      <scheme val="minor"/>
    </font>
    <font>
      <u/>
      <color rgb="FF0000FF"/>
    </font>
    <font>
      <b/>
      <sz val="13.0"/>
      <color rgb="FFFFFFFF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b/>
      <color rgb="FFFF0000"/>
      <name val="Arial"/>
      <scheme val="minor"/>
    </font>
    <font>
      <b/>
      <sz val="11.0"/>
      <color rgb="FF000000"/>
      <name val="Arial"/>
      <scheme val="minor"/>
    </font>
    <font>
      <sz val="7.0"/>
      <color theme="1"/>
      <name val="Arial"/>
      <scheme val="minor"/>
    </font>
    <font>
      <b/>
      <sz val="9.0"/>
      <color theme="1"/>
      <name val="Arial"/>
      <scheme val="minor"/>
    </font>
    <font>
      <sz val="11.0"/>
      <color rgb="FF000000"/>
      <name val="Calibri"/>
    </font>
    <font>
      <b/>
      <sz val="12.0"/>
      <color rgb="FF000000"/>
      <name val="Calibri"/>
    </font>
    <font>
      <b/>
      <sz val="15.0"/>
      <color theme="1"/>
      <name val="Arial"/>
      <scheme val="minor"/>
    </font>
    <font>
      <b/>
      <sz val="17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b/>
      <sz val="8.0"/>
      <color theme="1"/>
      <name val="Arial"/>
      <scheme val="minor"/>
    </font>
    <font>
      <sz val="11.0"/>
      <color rgb="FF000000"/>
      <name val="Roboto"/>
    </font>
    <font>
      <sz val="11.0"/>
      <color rgb="FF000000"/>
      <name val="Nunito"/>
    </font>
    <font>
      <sz val="12.0"/>
      <color theme="1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Georgia"/>
    </font>
    <font>
      <b/>
      <sz val="9.0"/>
      <color rgb="FF0C1E31"/>
      <name val="Arial"/>
      <scheme val="minor"/>
    </font>
    <font>
      <color theme="1"/>
      <name val="Georgia"/>
    </font>
    <font>
      <sz val="10.0"/>
      <color theme="1"/>
      <name val="Georgia"/>
    </font>
    <font>
      <b/>
      <sz val="12.0"/>
      <color rgb="FFFF0000"/>
      <name val="Georgia"/>
    </font>
    <font>
      <color rgb="FFFFFFFF"/>
      <name val="Arial"/>
      <scheme val="minor"/>
    </font>
    <font>
      <b/>
      <sz val="11.0"/>
      <color rgb="FF0000FF"/>
      <name val="Arial"/>
      <scheme val="minor"/>
    </font>
    <font>
      <b/>
      <color rgb="FF0000FF"/>
      <name val="Arial"/>
      <scheme val="minor"/>
    </font>
    <font>
      <b/>
      <sz val="25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theme="8"/>
        <bgColor theme="8"/>
      </patternFill>
    </fill>
    <fill>
      <patternFill patternType="solid">
        <fgColor rgb="FFD0E0E3"/>
        <bgColor rgb="FFD0E0E3"/>
      </patternFill>
    </fill>
    <fill>
      <patternFill patternType="solid">
        <fgColor rgb="FFF7F7F7"/>
        <bgColor rgb="FFF7F7F7"/>
      </patternFill>
    </fill>
    <fill>
      <patternFill patternType="solid">
        <fgColor rgb="FFFCE5CD"/>
        <bgColor rgb="FFFCE5CD"/>
      </patternFill>
    </fill>
    <fill>
      <patternFill patternType="solid">
        <fgColor rgb="FF46BDC6"/>
        <bgColor rgb="FF46BDC6"/>
      </patternFill>
    </fill>
    <fill>
      <patternFill patternType="solid">
        <fgColor theme="6"/>
        <bgColor theme="6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1" fillId="4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5" fontId="1" numFmtId="0" xfId="0" applyAlignment="1" applyFill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 shrinkToFit="0" wrapText="1"/>
    </xf>
    <xf borderId="0" fillId="5" fontId="6" numFmtId="0" xfId="0" applyAlignment="1" applyFont="1">
      <alignment horizontal="center" readingOrder="0" shrinkToFit="0" wrapText="1"/>
    </xf>
    <xf borderId="0" fillId="5" fontId="2" numFmtId="0" xfId="0" applyAlignment="1" applyFont="1">
      <alignment horizontal="center"/>
    </xf>
    <xf borderId="0" fillId="5" fontId="2" numFmtId="164" xfId="0" applyAlignment="1" applyFont="1" applyNumberFormat="1">
      <alignment horizontal="center" readingOrder="0"/>
    </xf>
    <xf borderId="0" fillId="5" fontId="1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vertical="center"/>
    </xf>
    <xf borderId="0" fillId="5" fontId="2" numFmtId="165" xfId="0" applyAlignment="1" applyFont="1" applyNumberFormat="1">
      <alignment horizontal="center" readingOrder="0" vertical="center"/>
    </xf>
    <xf borderId="0" fillId="5" fontId="2" numFmtId="165" xfId="0" applyAlignment="1" applyFont="1" applyNumberFormat="1">
      <alignment horizontal="center" readingOrder="0"/>
    </xf>
    <xf borderId="0" fillId="5" fontId="7" numFmtId="0" xfId="0" applyAlignment="1" applyFont="1">
      <alignment readingOrder="0" shrinkToFit="0" wrapText="0"/>
    </xf>
    <xf borderId="0" fillId="5" fontId="2" numFmtId="166" xfId="0" applyAlignment="1" applyFont="1" applyNumberFormat="1">
      <alignment horizontal="center" readingOrder="0"/>
    </xf>
    <xf borderId="0" fillId="5" fontId="8" numFmtId="0" xfId="0" applyAlignment="1" applyFont="1">
      <alignment horizontal="center" readingOrder="0" shrinkToFit="0" vertical="center" wrapText="0"/>
    </xf>
    <xf borderId="0" fillId="5" fontId="2" numFmtId="167" xfId="0" applyAlignment="1" applyFont="1" applyNumberFormat="1">
      <alignment horizontal="center" readingOrder="0" vertical="center"/>
    </xf>
    <xf borderId="0" fillId="5" fontId="2" numFmtId="164" xfId="0" applyAlignment="1" applyFont="1" applyNumberFormat="1">
      <alignment horizontal="center" readingOrder="0" vertical="center"/>
    </xf>
    <xf borderId="0" fillId="5" fontId="2" numFmtId="167" xfId="0" applyAlignment="1" applyFont="1" applyNumberForma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6" fontId="2" numFmtId="164" xfId="0" applyAlignment="1" applyFont="1" applyNumberFormat="1">
      <alignment horizontal="center" readingOrder="0"/>
    </xf>
    <xf borderId="0" fillId="6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2" numFmtId="167" xfId="0" applyAlignment="1" applyFont="1" applyNumberFormat="1">
      <alignment horizontal="center" readingOrder="0"/>
    </xf>
    <xf borderId="0" fillId="6" fontId="8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5" fontId="2" numFmtId="0" xfId="0" applyFont="1"/>
    <xf borderId="0" fillId="2" fontId="2" numFmtId="0" xfId="0" applyFont="1"/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9" numFmtId="0" xfId="0" applyAlignment="1" applyFont="1">
      <alignment horizontal="center"/>
    </xf>
    <xf borderId="0" fillId="0" fontId="2" numFmtId="168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169" xfId="0" applyAlignment="1" applyFont="1" applyNumberFormat="1">
      <alignment horizontal="center" readingOrder="0"/>
    </xf>
    <xf borderId="0" fillId="3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10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 vertical="center"/>
    </xf>
    <xf borderId="0" fillId="0" fontId="2" numFmtId="167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/>
    </xf>
    <xf borderId="0" fillId="8" fontId="11" numFmtId="0" xfId="0" applyAlignment="1" applyFill="1" applyFont="1">
      <alignment horizontal="center" readingOrder="0" vertical="center"/>
    </xf>
    <xf borderId="0" fillId="2" fontId="12" numFmtId="0" xfId="0" applyFont="1"/>
    <xf borderId="0" fillId="4" fontId="5" numFmtId="0" xfId="0" applyAlignment="1" applyFont="1">
      <alignment horizontal="center" readingOrder="0"/>
    </xf>
    <xf borderId="0" fillId="4" fontId="12" numFmtId="0" xfId="0" applyFont="1"/>
    <xf borderId="0" fillId="3" fontId="5" numFmtId="0" xfId="0" applyAlignment="1" applyFont="1">
      <alignment horizontal="center" readingOrder="0" shrinkToFit="0" vertical="center" wrapText="0"/>
    </xf>
    <xf borderId="0" fillId="6" fontId="2" numFmtId="0" xfId="0" applyAlignment="1" applyFont="1">
      <alignment horizontal="center" readingOrder="0" vertical="center"/>
    </xf>
    <xf borderId="0" fillId="6" fontId="2" numFmtId="164" xfId="0" applyAlignment="1" applyFont="1" applyNumberForma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6" fontId="2" numFmtId="0" xfId="0" applyAlignment="1" applyFont="1">
      <alignment horizontal="center" readingOrder="0" shrinkToFit="0" vertical="center" wrapText="1"/>
    </xf>
    <xf borderId="0" fillId="9" fontId="2" numFmtId="0" xfId="0" applyAlignment="1" applyFill="1" applyFont="1">
      <alignment horizontal="center" readingOrder="0" vertical="center"/>
    </xf>
    <xf borderId="0" fillId="6" fontId="2" numFmtId="0" xfId="0" applyAlignment="1" applyFont="1">
      <alignment horizontal="center" vertical="center"/>
    </xf>
    <xf borderId="0" fillId="10" fontId="2" numFmtId="0" xfId="0" applyAlignment="1" applyFill="1" applyFon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7" fontId="2" numFmtId="164" xfId="0" applyAlignment="1" applyFont="1" applyNumberFormat="1">
      <alignment horizontal="center" readingOrder="0"/>
    </xf>
    <xf borderId="0" fillId="7" fontId="1" numFmtId="0" xfId="0" applyAlignment="1" applyFont="1">
      <alignment horizontal="center" readingOrder="0"/>
    </xf>
    <xf borderId="0" fillId="7" fontId="2" numFmtId="0" xfId="0" applyAlignment="1" applyFont="1">
      <alignment horizontal="center" readingOrder="0" vertical="center"/>
    </xf>
    <xf borderId="0" fillId="7" fontId="2" numFmtId="0" xfId="0" applyAlignment="1" applyFont="1">
      <alignment horizontal="center"/>
    </xf>
    <xf borderId="0" fillId="0" fontId="2" numFmtId="20" xfId="0" applyAlignment="1" applyFont="1" applyNumberFormat="1">
      <alignment horizontal="center" readingOrder="0"/>
    </xf>
    <xf borderId="0" fillId="6" fontId="2" numFmtId="0" xfId="0" applyFont="1"/>
    <xf borderId="0" fillId="11" fontId="2" numFmtId="0" xfId="0" applyAlignment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2" fontId="2" numFmtId="164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wrapText="1"/>
    </xf>
    <xf borderId="0" fillId="6" fontId="13" numFmtId="0" xfId="0" applyAlignment="1" applyFont="1">
      <alignment horizontal="center" readingOrder="0"/>
    </xf>
    <xf borderId="0" fillId="12" fontId="14" numFmtId="0" xfId="0" applyAlignment="1" applyFill="1" applyFont="1">
      <alignment horizontal="center" readingOrder="0" vertical="center"/>
    </xf>
    <xf borderId="0" fillId="11" fontId="15" numFmtId="0" xfId="0" applyAlignment="1" applyFont="1">
      <alignment horizontal="center" readingOrder="0" vertical="center"/>
    </xf>
    <xf borderId="4" fillId="11" fontId="15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0" fillId="2" fontId="15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/>
    </xf>
    <xf borderId="7" fillId="4" fontId="3" numFmtId="0" xfId="0" applyAlignment="1" applyBorder="1" applyFont="1">
      <alignment horizontal="center" readingOrder="0"/>
    </xf>
    <xf borderId="7" fillId="4" fontId="5" numFmtId="0" xfId="0" applyAlignment="1" applyBorder="1" applyFont="1">
      <alignment horizontal="center" readingOrder="0"/>
    </xf>
    <xf borderId="8" fillId="11" fontId="15" numFmtId="0" xfId="0" applyAlignment="1" applyBorder="1" applyFont="1">
      <alignment horizontal="center" readingOrder="0" vertical="center"/>
    </xf>
    <xf borderId="9" fillId="0" fontId="4" numFmtId="0" xfId="0" applyBorder="1" applyFont="1"/>
    <xf borderId="7" fillId="13" fontId="1" numFmtId="0" xfId="0" applyAlignment="1" applyBorder="1" applyFill="1" applyFont="1">
      <alignment horizontal="center" readingOrder="0"/>
    </xf>
    <xf borderId="7" fillId="14" fontId="1" numFmtId="0" xfId="0" applyAlignment="1" applyBorder="1" applyFill="1" applyFont="1">
      <alignment horizontal="center" readingOrder="0"/>
    </xf>
    <xf borderId="7" fillId="2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/>
    </xf>
    <xf borderId="0" fillId="5" fontId="16" numFmtId="0" xfId="0" applyAlignment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5" fontId="17" numFmtId="0" xfId="0" applyAlignment="1" applyFont="1">
      <alignment horizontal="center"/>
    </xf>
    <xf borderId="0" fillId="15" fontId="1" numFmtId="0" xfId="0" applyAlignment="1" applyFont="1">
      <alignment horizontal="center" readingOrder="0"/>
    </xf>
    <xf borderId="0" fillId="15" fontId="16" numFmtId="0" xfId="0" applyAlignment="1" applyFont="1">
      <alignment horizontal="center" readingOrder="0" vertical="center"/>
    </xf>
    <xf borderId="0" fillId="15" fontId="18" numFmtId="0" xfId="0" applyAlignment="1" applyFont="1">
      <alignment horizontal="center" readingOrder="0" shrinkToFit="0" wrapText="1"/>
    </xf>
    <xf borderId="7" fillId="2" fontId="2" numFmtId="0" xfId="0" applyAlignment="1" applyBorder="1" applyFont="1">
      <alignment horizontal="center" readingOrder="0" vertical="center"/>
    </xf>
    <xf borderId="7" fillId="9" fontId="5" numFmtId="0" xfId="0" applyAlignment="1" applyBorder="1" applyFont="1">
      <alignment horizontal="center" readingOrder="0"/>
    </xf>
    <xf borderId="7" fillId="9" fontId="5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/>
    </xf>
    <xf borderId="7" fillId="3" fontId="5" numFmtId="0" xfId="0" applyAlignment="1" applyBorder="1" applyFont="1">
      <alignment horizontal="center"/>
    </xf>
    <xf borderId="4" fillId="11" fontId="5" numFmtId="0" xfId="0" applyAlignment="1" applyBorder="1" applyFont="1">
      <alignment horizontal="center" readingOrder="0" vertical="center"/>
    </xf>
    <xf borderId="10" fillId="0" fontId="4" numFmtId="0" xfId="0" applyBorder="1" applyFont="1"/>
    <xf borderId="8" fillId="0" fontId="4" numFmtId="0" xfId="0" applyBorder="1" applyFont="1"/>
    <xf borderId="11" fillId="0" fontId="4" numFmtId="0" xfId="0" applyBorder="1" applyFont="1"/>
    <xf borderId="7" fillId="16" fontId="5" numFmtId="0" xfId="0" applyAlignment="1" applyBorder="1" applyFill="1" applyFont="1">
      <alignment horizontal="center" readingOrder="0"/>
    </xf>
    <xf borderId="7" fillId="16" fontId="5" numFmtId="0" xfId="0" applyAlignment="1" applyBorder="1" applyFont="1">
      <alignment horizontal="center"/>
    </xf>
    <xf borderId="0" fillId="16" fontId="19" numFmtId="0" xfId="0" applyAlignment="1" applyFont="1">
      <alignment horizontal="center" readingOrder="0"/>
    </xf>
    <xf borderId="0" fillId="16" fontId="5" numFmtId="0" xfId="0" applyAlignment="1" applyFont="1">
      <alignment horizontal="center" readingOrder="0"/>
    </xf>
    <xf borderId="0" fillId="16" fontId="16" numFmtId="0" xfId="0" applyAlignment="1" applyFont="1">
      <alignment horizontal="center" readingOrder="0" vertical="center"/>
    </xf>
    <xf borderId="0" fillId="16" fontId="2" numFmtId="0" xfId="0" applyAlignment="1" applyFont="1">
      <alignment horizontal="center" readingOrder="0"/>
    </xf>
    <xf borderId="0" fillId="3" fontId="5" numFmtId="0" xfId="0" applyAlignment="1" applyFont="1">
      <alignment horizontal="center" readingOrder="0" vertical="center"/>
    </xf>
    <xf borderId="7" fillId="0" fontId="20" numFmtId="0" xfId="0" applyAlignment="1" applyBorder="1" applyFont="1">
      <alignment horizontal="center" readingOrder="0" shrinkToFit="0" vertical="center" wrapText="1"/>
    </xf>
    <xf borderId="7" fillId="0" fontId="20" numFmtId="0" xfId="0" applyAlignment="1" applyBorder="1" applyFont="1">
      <alignment horizontal="center" readingOrder="0" shrinkToFit="0" vertical="center" wrapText="0"/>
    </xf>
    <xf borderId="7" fillId="0" fontId="21" numFmtId="0" xfId="0" applyAlignment="1" applyBorder="1" applyFont="1">
      <alignment horizontal="center" readingOrder="0" shrinkToFit="0" vertical="center" wrapText="0"/>
    </xf>
    <xf borderId="7" fillId="0" fontId="20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22" numFmtId="0" xfId="0" applyAlignment="1" applyFont="1">
      <alignment horizontal="center" readingOrder="0" vertical="center"/>
    </xf>
    <xf borderId="0" fillId="5" fontId="22" numFmtId="0" xfId="0" applyAlignment="1" applyFont="1">
      <alignment horizontal="center" readingOrder="0" vertical="center"/>
    </xf>
    <xf borderId="0" fillId="12" fontId="23" numFmtId="0" xfId="0" applyAlignment="1" applyFont="1">
      <alignment horizontal="center" readingOrder="0" vertical="center"/>
    </xf>
    <xf borderId="7" fillId="9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7" fillId="0" fontId="13" numFmtId="0" xfId="0" applyAlignment="1" applyBorder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center"/>
    </xf>
    <xf borderId="7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/>
    </xf>
    <xf borderId="0" fillId="5" fontId="24" numFmtId="0" xfId="0" applyAlignment="1" applyFont="1">
      <alignment horizontal="center"/>
    </xf>
    <xf borderId="0" fillId="4" fontId="1" numFmtId="0" xfId="0" applyAlignment="1" applyFont="1">
      <alignment horizontal="center" readingOrder="0"/>
    </xf>
    <xf borderId="0" fillId="0" fontId="25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7" fillId="0" fontId="2" numFmtId="0" xfId="0" applyBorder="1" applyFont="1"/>
    <xf borderId="7" fillId="0" fontId="2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25" numFmtId="0" xfId="0" applyAlignment="1" applyFont="1">
      <alignment horizontal="center" vertical="center"/>
    </xf>
    <xf borderId="0" fillId="3" fontId="2" numFmtId="0" xfId="0" applyFont="1"/>
    <xf borderId="0" fillId="0" fontId="1" numFmtId="167" xfId="0" applyAlignment="1" applyFont="1" applyNumberFormat="1">
      <alignment horizontal="center" readingOrder="0"/>
    </xf>
    <xf borderId="0" fillId="0" fontId="2" numFmtId="167" xfId="0" applyAlignment="1" applyFont="1" applyNumberFormat="1">
      <alignment readingOrder="0"/>
    </xf>
    <xf borderId="0" fillId="2" fontId="3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7" fillId="4" fontId="1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/>
    </xf>
    <xf borderId="0" fillId="5" fontId="5" numFmtId="0" xfId="0" applyAlignment="1" applyFont="1">
      <alignment horizontal="center" readingOrder="0"/>
    </xf>
    <xf borderId="0" fillId="0" fontId="2" numFmtId="0" xfId="0" applyAlignment="1" applyFont="1">
      <alignment vertical="center"/>
    </xf>
    <xf borderId="0" fillId="2" fontId="2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3" numFmtId="167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/>
    </xf>
    <xf borderId="0" fillId="0" fontId="13" numFmtId="0" xfId="0" applyFont="1"/>
    <xf borderId="0" fillId="2" fontId="13" numFmtId="0" xfId="0" applyAlignment="1" applyFont="1">
      <alignment horizontal="center" readingOrder="0"/>
    </xf>
    <xf borderId="0" fillId="2" fontId="13" numFmtId="0" xfId="0" applyAlignment="1" applyFont="1">
      <alignment horizontal="center"/>
    </xf>
    <xf borderId="0" fillId="2" fontId="13" numFmtId="0" xfId="0" applyAlignment="1" applyFont="1">
      <alignment horizontal="center" readingOrder="0" vertical="center"/>
    </xf>
    <xf borderId="0" fillId="2" fontId="13" numFmtId="0" xfId="0" applyFont="1"/>
    <xf borderId="0" fillId="3" fontId="13" numFmtId="0" xfId="0" applyAlignment="1" applyFont="1">
      <alignment horizontal="center" readingOrder="0"/>
    </xf>
    <xf borderId="0" fillId="3" fontId="13" numFmtId="0" xfId="0" applyAlignment="1" applyFont="1">
      <alignment horizontal="center" readingOrder="0" vertical="center"/>
    </xf>
    <xf borderId="0" fillId="3" fontId="13" numFmtId="0" xfId="0" applyAlignment="1" applyFont="1">
      <alignment horizontal="center"/>
    </xf>
    <xf borderId="0" fillId="3" fontId="13" numFmtId="0" xfId="0" applyAlignment="1" applyFont="1">
      <alignment horizontal="center" readingOrder="0" shrinkToFit="0" vertical="center" wrapText="1"/>
    </xf>
    <xf borderId="0" fillId="2" fontId="13" numFmtId="167" xfId="0" applyAlignment="1" applyFont="1" applyNumberFormat="1">
      <alignment horizontal="center" readingOrder="0"/>
    </xf>
    <xf borderId="0" fillId="2" fontId="13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/>
    </xf>
    <xf borderId="0" fillId="3" fontId="26" numFmtId="0" xfId="0" applyAlignment="1" applyFont="1">
      <alignment horizontal="center" readingOrder="0"/>
    </xf>
    <xf borderId="0" fillId="3" fontId="26" numFmtId="0" xfId="0" applyAlignment="1" applyFont="1">
      <alignment horizontal="center"/>
    </xf>
    <xf borderId="0" fillId="2" fontId="13" numFmtId="0" xfId="0" applyAlignment="1" applyFont="1">
      <alignment horizontal="center" readingOrder="0" shrinkToFit="0" wrapText="1"/>
    </xf>
    <xf borderId="0" fillId="2" fontId="5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1"/>
    </xf>
    <xf borderId="0" fillId="17" fontId="5" numFmtId="0" xfId="0" applyAlignment="1" applyFill="1" applyFont="1">
      <alignment horizontal="center" readingOrder="0"/>
    </xf>
    <xf borderId="0" fillId="17" fontId="3" numFmtId="0" xfId="0" applyAlignment="1" applyFont="1">
      <alignment horizontal="center" readingOrder="0"/>
    </xf>
    <xf borderId="0" fillId="17" fontId="24" numFmtId="0" xfId="0" applyAlignment="1" applyFont="1">
      <alignment horizontal="center" readingOrder="0"/>
    </xf>
    <xf borderId="0" fillId="17" fontId="15" numFmtId="0" xfId="0" applyAlignment="1" applyFont="1">
      <alignment horizontal="center" readingOrder="0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shrinkToFit="0" vertical="center" wrapText="1"/>
    </xf>
    <xf borderId="0" fillId="4" fontId="27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vertical="center"/>
    </xf>
    <xf borderId="0" fillId="18" fontId="24" numFmtId="0" xfId="0" applyAlignment="1" applyFill="1" applyFont="1">
      <alignment horizontal="center" readingOrder="0" vertical="center"/>
    </xf>
    <xf borderId="7" fillId="19" fontId="2" numFmtId="0" xfId="0" applyAlignment="1" applyBorder="1" applyFill="1" applyFont="1">
      <alignment horizontal="center" readingOrder="0"/>
    </xf>
    <xf borderId="7" fillId="0" fontId="2" numFmtId="0" xfId="0" applyAlignment="1" applyBorder="1" applyFont="1">
      <alignment horizontal="center" readingOrder="0" vertical="center"/>
    </xf>
    <xf borderId="7" fillId="20" fontId="28" numFmtId="0" xfId="0" applyAlignment="1" applyBorder="1" applyFill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vertical="center"/>
    </xf>
    <xf borderId="7" fillId="20" fontId="28" numFmtId="0" xfId="0" applyAlignment="1" applyBorder="1" applyFont="1">
      <alignment horizontal="center" readingOrder="0"/>
    </xf>
    <xf borderId="7" fillId="0" fontId="29" numFmtId="0" xfId="0" applyAlignment="1" applyBorder="1" applyFont="1">
      <alignment horizontal="center" readingOrder="0" shrinkToFit="0" vertical="center" wrapText="1"/>
    </xf>
    <xf borderId="7" fillId="21" fontId="2" numFmtId="0" xfId="0" applyAlignment="1" applyBorder="1" applyFill="1" applyFont="1">
      <alignment horizontal="center" readingOrder="0"/>
    </xf>
    <xf borderId="0" fillId="4" fontId="30" numFmtId="0" xfId="0" applyAlignment="1" applyFont="1">
      <alignment horizontal="center" vertical="center"/>
    </xf>
    <xf borderId="7" fillId="22" fontId="31" numFmtId="0" xfId="0" applyAlignment="1" applyBorder="1" applyFill="1" applyFont="1">
      <alignment horizontal="center" vertical="center"/>
    </xf>
    <xf borderId="0" fillId="0" fontId="30" numFmtId="0" xfId="0" applyAlignment="1" applyFont="1">
      <alignment horizontal="center"/>
    </xf>
    <xf borderId="0" fillId="0" fontId="30" numFmtId="0" xfId="0" applyFont="1"/>
    <xf borderId="7" fillId="0" fontId="32" numFmtId="0" xfId="0" applyAlignment="1" applyBorder="1" applyFont="1">
      <alignment vertical="bottom"/>
    </xf>
    <xf borderId="7" fillId="0" fontId="32" numFmtId="0" xfId="0" applyAlignment="1" applyBorder="1" applyFont="1">
      <alignment horizontal="right" vertical="bottom"/>
    </xf>
    <xf borderId="7" fillId="0" fontId="33" numFmtId="0" xfId="0" applyAlignment="1" applyBorder="1" applyFont="1">
      <alignment horizontal="right" vertical="bottom"/>
    </xf>
    <xf borderId="7" fillId="0" fontId="32" numFmtId="0" xfId="0" applyAlignment="1" applyBorder="1" applyFont="1">
      <alignment horizontal="right" readingOrder="0" vertical="bottom"/>
    </xf>
    <xf borderId="0" fillId="23" fontId="3" numFmtId="0" xfId="0" applyAlignment="1" applyFill="1" applyFont="1">
      <alignment horizontal="center" readingOrder="0" vertical="center"/>
    </xf>
    <xf borderId="7" fillId="24" fontId="5" numFmtId="0" xfId="0" applyAlignment="1" applyBorder="1" applyFill="1" applyFont="1">
      <alignment horizontal="center" readingOrder="0"/>
    </xf>
    <xf borderId="7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right" readingOrder="0"/>
    </xf>
    <xf borderId="7" fillId="0" fontId="2" numFmtId="0" xfId="0" applyAlignment="1" applyBorder="1" applyFont="1">
      <alignment horizontal="right"/>
    </xf>
    <xf borderId="7" fillId="0" fontId="1" numFmtId="0" xfId="0" applyAlignment="1" applyBorder="1" applyFont="1">
      <alignment horizontal="right" readingOrder="0"/>
    </xf>
    <xf borderId="0" fillId="0" fontId="2" numFmtId="0" xfId="0" applyAlignment="1" applyFont="1">
      <alignment horizontal="right"/>
    </xf>
    <xf borderId="1" fillId="11" fontId="3" numFmtId="0" xfId="0" applyAlignment="1" applyBorder="1" applyFont="1">
      <alignment horizontal="center" readingOrder="0"/>
    </xf>
    <xf borderId="1" fillId="11" fontId="5" numFmtId="0" xfId="0" applyAlignment="1" applyBorder="1" applyFont="1">
      <alignment horizontal="center" readingOrder="0"/>
    </xf>
    <xf borderId="0" fillId="11" fontId="5" numFmtId="0" xfId="0" applyAlignment="1" applyFont="1">
      <alignment horizontal="center" readingOrder="0"/>
    </xf>
    <xf borderId="0" fillId="1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 vertical="center"/>
    </xf>
    <xf borderId="7" fillId="3" fontId="1" numFmtId="0" xfId="0" applyAlignment="1" applyBorder="1" applyFont="1">
      <alignment horizontal="center" readingOrder="0" vertical="center"/>
    </xf>
    <xf borderId="7" fillId="3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7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34" numFmtId="0" xfId="0" applyAlignment="1" applyFont="1">
      <alignment horizontal="center" readingOrder="0" vertical="center"/>
    </xf>
    <xf borderId="0" fillId="0" fontId="35" numFmtId="0" xfId="0" applyAlignment="1" applyFont="1">
      <alignment horizontal="center" readingOrder="0"/>
    </xf>
    <xf borderId="0" fillId="6" fontId="34" numFmtId="0" xfId="0" applyAlignment="1" applyFont="1">
      <alignment horizontal="left" readingOrder="0"/>
    </xf>
    <xf borderId="0" fillId="0" fontId="36" numFmtId="0" xfId="0" applyAlignment="1" applyFont="1">
      <alignment horizontal="center" readingOrder="0"/>
    </xf>
    <xf borderId="0" fillId="6" fontId="34" numFmtId="0" xfId="0" applyAlignment="1" applyFont="1">
      <alignment horizontal="center" readingOrder="0"/>
    </xf>
    <xf borderId="0" fillId="0" fontId="37" numFmtId="0" xfId="0" applyAlignment="1" applyFont="1">
      <alignment horizontal="center" readingOrder="0"/>
    </xf>
    <xf borderId="0" fillId="0" fontId="37" numFmtId="164" xfId="0" applyAlignment="1" applyFont="1" applyNumberFormat="1">
      <alignment horizontal="center" readingOrder="0"/>
    </xf>
    <xf borderId="7" fillId="6" fontId="34" numFmtId="0" xfId="0" applyAlignment="1" applyBorder="1" applyFont="1">
      <alignment horizontal="center" readingOrder="0" vertical="center"/>
    </xf>
    <xf borderId="1" fillId="6" fontId="34" numFmtId="0" xfId="0" applyAlignment="1" applyBorder="1" applyFont="1">
      <alignment horizontal="center" readingOrder="0" vertical="center"/>
    </xf>
    <xf borderId="7" fillId="2" fontId="36" numFmtId="0" xfId="0" applyAlignment="1" applyBorder="1" applyFont="1">
      <alignment horizontal="center" readingOrder="0"/>
    </xf>
    <xf borderId="7" fillId="2" fontId="36" numFmtId="164" xfId="0" applyAlignment="1" applyBorder="1" applyFont="1" applyNumberFormat="1">
      <alignment horizontal="center" readingOrder="0"/>
    </xf>
    <xf borderId="1" fillId="2" fontId="36" numFmtId="0" xfId="0" applyAlignment="1" applyBorder="1" applyFont="1">
      <alignment horizontal="center" readingOrder="0"/>
    </xf>
    <xf borderId="7" fillId="0" fontId="36" numFmtId="0" xfId="0" applyAlignment="1" applyBorder="1" applyFont="1">
      <alignment horizontal="center" readingOrder="0"/>
    </xf>
    <xf borderId="7" fillId="0" fontId="36" numFmtId="164" xfId="0" applyAlignment="1" applyBorder="1" applyFont="1" applyNumberFormat="1">
      <alignment horizontal="center" readingOrder="0"/>
    </xf>
    <xf borderId="1" fillId="0" fontId="36" numFmtId="0" xfId="0" applyAlignment="1" applyBorder="1" applyFont="1">
      <alignment horizontal="center" readingOrder="0"/>
    </xf>
    <xf borderId="1" fillId="0" fontId="37" numFmtId="0" xfId="0" applyAlignment="1" applyBorder="1" applyFont="1">
      <alignment horizontal="center" readingOrder="0"/>
    </xf>
    <xf borderId="1" fillId="6" fontId="2" numFmtId="0" xfId="0" applyBorder="1" applyFont="1"/>
    <xf borderId="7" fillId="6" fontId="34" numFmtId="0" xfId="0" applyAlignment="1" applyBorder="1" applyFont="1">
      <alignment horizontal="center" readingOrder="0" shrinkToFit="0" wrapText="1"/>
    </xf>
    <xf borderId="1" fillId="6" fontId="34" numFmtId="0" xfId="0" applyAlignment="1" applyBorder="1" applyFont="1">
      <alignment horizontal="left" readingOrder="0"/>
    </xf>
    <xf borderId="7" fillId="6" fontId="34" numFmtId="0" xfId="0" applyAlignment="1" applyBorder="1" applyFont="1">
      <alignment readingOrder="0"/>
    </xf>
    <xf borderId="7" fillId="0" fontId="1" numFmtId="0" xfId="0" applyAlignment="1" applyBorder="1" applyFont="1">
      <alignment horizontal="center"/>
    </xf>
    <xf borderId="7" fillId="0" fontId="38" numFmtId="0" xfId="0" applyAlignment="1" applyBorder="1" applyFont="1">
      <alignment horizontal="center"/>
    </xf>
    <xf borderId="7" fillId="0" fontId="2" numFmtId="164" xfId="0" applyAlignment="1" applyBorder="1" applyFont="1" applyNumberFormat="1">
      <alignment horizontal="center" readingOrder="0"/>
    </xf>
    <xf borderId="12" fillId="0" fontId="2" numFmtId="164" xfId="0" applyAlignment="1" applyBorder="1" applyFont="1" applyNumberFormat="1">
      <alignment horizontal="center" readingOrder="0" vertical="center"/>
    </xf>
    <xf borderId="7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2" fillId="0" fontId="36" numFmtId="0" xfId="0" applyAlignment="1" applyBorder="1" applyFont="1">
      <alignment horizontal="center" readingOrder="0"/>
    </xf>
    <xf borderId="8" fillId="6" fontId="2" numFmtId="0" xfId="0" applyBorder="1" applyFont="1"/>
    <xf borderId="13" fillId="6" fontId="34" numFmtId="0" xfId="0" applyAlignment="1" applyBorder="1" applyFont="1">
      <alignment horizontal="center" readingOrder="0" shrinkToFit="0" wrapText="1"/>
    </xf>
    <xf borderId="0" fillId="10" fontId="39" numFmtId="0" xfId="0" applyAlignment="1" applyFont="1">
      <alignment horizontal="center" readingOrder="0"/>
    </xf>
    <xf borderId="0" fillId="9" fontId="2" numFmtId="0" xfId="0" applyAlignment="1" applyFont="1">
      <alignment horizontal="center" readingOrder="0"/>
    </xf>
    <xf borderId="13" fillId="0" fontId="36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center" readingOrder="0"/>
    </xf>
    <xf borderId="0" fillId="11" fontId="2" numFmtId="0" xfId="0" applyAlignment="1" applyFont="1">
      <alignment readingOrder="0"/>
    </xf>
    <xf borderId="0" fillId="21" fontId="2" numFmtId="0" xfId="0" applyAlignment="1" applyFont="1">
      <alignment horizontal="center"/>
    </xf>
    <xf borderId="7" fillId="11" fontId="5" numFmtId="0" xfId="0" applyAlignment="1" applyBorder="1" applyFont="1">
      <alignment horizontal="right" readingOrder="0" shrinkToFit="0" wrapText="1"/>
    </xf>
    <xf borderId="7" fillId="21" fontId="40" numFmtId="0" xfId="0" applyAlignment="1" applyBorder="1" applyFont="1">
      <alignment horizontal="center"/>
    </xf>
    <xf borderId="7" fillId="5" fontId="40" numFmtId="0" xfId="0" applyAlignment="1" applyBorder="1" applyFont="1">
      <alignment horizontal="center" readingOrder="0"/>
    </xf>
    <xf borderId="7" fillId="11" fontId="1" numFmtId="0" xfId="0" applyAlignment="1" applyBorder="1" applyFont="1">
      <alignment horizontal="right" readingOrder="0"/>
    </xf>
    <xf borderId="7" fillId="21" fontId="1" numFmtId="0" xfId="0" applyAlignment="1" applyBorder="1" applyFont="1">
      <alignment horizontal="center" readingOrder="0"/>
    </xf>
    <xf borderId="7" fillId="5" fontId="1" numFmtId="0" xfId="0" applyAlignment="1" applyBorder="1" applyFont="1">
      <alignment horizontal="center" readingOrder="0"/>
    </xf>
    <xf borderId="7" fillId="11" fontId="1" numFmtId="0" xfId="0" applyAlignment="1" applyBorder="1" applyFont="1">
      <alignment horizontal="right" readingOrder="0" shrinkToFit="0" wrapText="1"/>
    </xf>
    <xf borderId="7" fillId="11" fontId="5" numFmtId="0" xfId="0" applyAlignment="1" applyBorder="1" applyFont="1">
      <alignment horizontal="right" readingOrder="0"/>
    </xf>
    <xf borderId="7" fillId="21" fontId="5" numFmtId="0" xfId="0" applyAlignment="1" applyBorder="1" applyFont="1">
      <alignment horizontal="center" readingOrder="0"/>
    </xf>
    <xf borderId="7" fillId="5" fontId="5" numFmtId="0" xfId="0" applyAlignment="1" applyBorder="1" applyFont="1">
      <alignment horizontal="center" readingOrder="0"/>
    </xf>
    <xf borderId="0" fillId="9" fontId="15" numFmtId="0" xfId="0" applyAlignment="1" applyFont="1">
      <alignment horizontal="center" readingOrder="0"/>
    </xf>
    <xf borderId="7" fillId="11" fontId="1" numFmtId="0" xfId="0" applyAlignment="1" applyBorder="1" applyFont="1">
      <alignment horizontal="center" readingOrder="0"/>
    </xf>
    <xf borderId="7" fillId="11" fontId="5" numFmtId="0" xfId="0" applyAlignment="1" applyBorder="1" applyFont="1">
      <alignment horizontal="center" readingOrder="0" vertical="center"/>
    </xf>
    <xf borderId="0" fillId="0" fontId="2" numFmtId="9" xfId="0" applyAlignment="1" applyFont="1" applyNumberFormat="1">
      <alignment readingOrder="0"/>
    </xf>
    <xf borderId="7" fillId="6" fontId="2" numFmtId="0" xfId="0" applyAlignment="1" applyBorder="1" applyFont="1">
      <alignment readingOrder="0"/>
    </xf>
    <xf borderId="7" fillId="6" fontId="2" numFmtId="0" xfId="0" applyAlignment="1" applyBorder="1" applyFont="1">
      <alignment horizontal="center" readingOrder="0"/>
    </xf>
    <xf borderId="0" fillId="9" fontId="24" numFmtId="0" xfId="0" applyAlignment="1" applyFont="1">
      <alignment horizontal="center" readingOrder="0"/>
    </xf>
    <xf borderId="0" fillId="9" fontId="24" numFmtId="0" xfId="0" applyAlignment="1" applyFont="1">
      <alignment horizontal="center"/>
    </xf>
    <xf borderId="0" fillId="11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 readingOrder="0" shrinkToFit="0" wrapText="1"/>
    </xf>
    <xf borderId="0" fillId="0" fontId="2" numFmtId="0" xfId="0" applyFont="1"/>
    <xf borderId="0" fillId="2" fontId="2" numFmtId="0" xfId="0" applyAlignment="1" applyFont="1">
      <alignment horizontal="right" readingOrder="0"/>
    </xf>
    <xf borderId="0" fillId="10" fontId="39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10" fontId="39" numFmtId="0" xfId="0" applyAlignment="1" applyFont="1">
      <alignment readingOrder="0"/>
    </xf>
    <xf borderId="7" fillId="11" fontId="41" numFmtId="0" xfId="0" applyAlignment="1" applyBorder="1" applyFont="1">
      <alignment horizontal="center" readingOrder="0"/>
    </xf>
    <xf borderId="7" fillId="11" fontId="41" numFmtId="0" xfId="0" applyAlignment="1" applyBorder="1" applyFont="1">
      <alignment horizontal="center"/>
    </xf>
    <xf borderId="12" fillId="25" fontId="5" numFmtId="169" xfId="0" applyAlignment="1" applyBorder="1" applyFill="1" applyFont="1" applyNumberFormat="1">
      <alignment horizontal="center" readingOrder="0" shrinkToFit="0" vertical="center" wrapText="1"/>
    </xf>
    <xf borderId="7" fillId="15" fontId="5" numFmtId="0" xfId="0" applyAlignment="1" applyBorder="1" applyFont="1">
      <alignment horizontal="center" readingOrder="0" vertical="center"/>
    </xf>
    <xf borderId="7" fillId="15" fontId="1" numFmtId="0" xfId="0" applyAlignment="1" applyBorder="1" applyFont="1">
      <alignment vertical="center"/>
    </xf>
    <xf borderId="7" fillId="15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4" fillId="0" fontId="4" numFmtId="0" xfId="0" applyBorder="1" applyFont="1"/>
    <xf borderId="13" fillId="0" fontId="4" numFmtId="0" xfId="0" applyBorder="1" applyFont="1"/>
    <xf borderId="7" fillId="15" fontId="2" numFmtId="0" xfId="0" applyBorder="1" applyFont="1"/>
    <xf borderId="7" fillId="15" fontId="2" numFmtId="0" xfId="0" applyAlignment="1" applyBorder="1" applyFont="1">
      <alignment horizontal="center"/>
    </xf>
    <xf borderId="7" fillId="0" fontId="2" numFmtId="167" xfId="0" applyAlignment="1" applyBorder="1" applyFont="1" applyNumberFormat="1">
      <alignment horizontal="center" readingOrder="0"/>
    </xf>
    <xf borderId="7" fillId="0" fontId="2" numFmtId="167" xfId="0" applyAlignment="1" applyBorder="1" applyFont="1" applyNumberFormat="1">
      <alignment horizontal="center" readingOrder="0" vertical="center"/>
    </xf>
    <xf borderId="7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readingOrder="0" shrinkToFit="0" vertical="center" wrapText="1"/>
    </xf>
    <xf borderId="0" fillId="0" fontId="2" numFmtId="170" xfId="0" applyAlignment="1" applyFont="1" applyNumberFormat="1">
      <alignment horizontal="center" readingOrder="0"/>
    </xf>
    <xf borderId="0" fillId="25" fontId="2" numFmtId="0" xfId="0" applyAlignment="1" applyFont="1">
      <alignment horizontal="center" readingOrder="0" vertical="center"/>
    </xf>
    <xf borderId="0" fillId="16" fontId="2" numFmtId="167" xfId="0" applyAlignment="1" applyFont="1" applyNumberFormat="1">
      <alignment horizontal="center" readingOrder="0" vertical="center"/>
    </xf>
    <xf borderId="0" fillId="16" fontId="2" numFmtId="0" xfId="0" applyAlignment="1" applyFont="1">
      <alignment horizontal="center" readingOrder="0" vertical="center"/>
    </xf>
    <xf borderId="0" fillId="17" fontId="2" numFmtId="167" xfId="0" applyAlignment="1" applyFont="1" applyNumberFormat="1">
      <alignment horizontal="center" readingOrder="0" vertical="center"/>
    </xf>
    <xf borderId="0" fillId="17" fontId="2" numFmtId="0" xfId="0" applyAlignment="1" applyFont="1">
      <alignment horizontal="center" readingOrder="0" vertical="center"/>
    </xf>
    <xf borderId="12" fillId="17" fontId="2" numFmtId="0" xfId="0" applyAlignment="1" applyBorder="1" applyFont="1">
      <alignment horizontal="center" readingOrder="0" vertical="center"/>
    </xf>
    <xf borderId="0" fillId="17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11" fontId="42" numFmtId="0" xfId="0" applyAlignment="1" applyFont="1">
      <alignment horizontal="center" readingOrder="0" vertical="center"/>
    </xf>
    <xf borderId="0" fillId="25" fontId="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0</xdr:row>
      <xdr:rowOff>-19050</xdr:rowOff>
    </xdr:from>
    <xdr:ext cx="14954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0</xdr:row>
      <xdr:rowOff>-19050</xdr:rowOff>
    </xdr:from>
    <xdr:ext cx="14954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ura De Los Santos Beltré" id="{35839b1e-cd9f-46b0-95d8-36b2fab864b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2" dT="2025-09-25T19:35:08.00" personId="{35839b1e-cd9f-46b0-95d8-36b2fab864b5}" id="{7bd3a4b8-af80-41c5-9682-faef666814bf}" done="0">
    <x18tc:text xml:space="preserve">ESte numero pertenece a Mary Carmen (mama de Harry). Es menor de edad.</x18tc:text>
  </x18tc:threadedComment>
  <x18tc:threadedComment ref="E8" dT="2025-08-18T20:25:04.00" personId="{35839b1e-cd9f-46b0-95d8-36b2fab864b5}" id="{f76870ed-0276-401b-8e06-77d48b4f6029}" done="0">
    <x18tc:text xml:space="preserve">telefono de su esposa ELAINY MERCEDES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4" dT="2025-08-18T17:52:04.00" personId="{35839b1e-cd9f-46b0-95d8-36b2fab864b5}" id="{6c172895-359c-4e19-96ae-9d0c409fa962}" done="0">
    <x18tc:text xml:space="preserve">Este precio incluye el itbis)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crystalvillar.cv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5.88"/>
    <col customWidth="1" min="3" max="3" width="55.38"/>
    <col customWidth="1" min="4" max="4" width="15.88"/>
    <col customWidth="1" min="5" max="5" width="15.38"/>
    <col customWidth="1" min="6" max="6" width="13.88"/>
    <col customWidth="1" min="7" max="7" width="28.63"/>
    <col customWidth="1" min="9" max="9" width="21.5"/>
    <col customWidth="1" min="10" max="10" width="16.0"/>
    <col customWidth="1" min="11" max="11" width="18.38"/>
    <col customWidth="1" min="12" max="12" width="9.63"/>
    <col customWidth="1" min="13" max="13" width="12.75"/>
    <col customWidth="1" min="15" max="15" width="52.0"/>
    <col customWidth="1" min="16" max="16" width="16.25"/>
    <col customWidth="1" min="17" max="17" width="36.88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1.0" customHeight="1">
      <c r="A2" s="5" t="s">
        <v>1</v>
      </c>
      <c r="B2" s="6"/>
      <c r="C2" s="6"/>
      <c r="D2" s="6"/>
      <c r="E2" s="6"/>
      <c r="F2" s="6"/>
      <c r="G2" s="7"/>
      <c r="H2" s="4"/>
      <c r="I2" s="5" t="s">
        <v>2</v>
      </c>
      <c r="J2" s="6"/>
      <c r="K2" s="6"/>
      <c r="L2" s="6"/>
      <c r="M2" s="6"/>
      <c r="N2" s="6"/>
      <c r="O2" s="6"/>
      <c r="P2" s="7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31.5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9" t="s">
        <v>8</v>
      </c>
      <c r="G3" s="10" t="s">
        <v>9</v>
      </c>
      <c r="H3" s="11"/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  <c r="O3" s="8" t="s">
        <v>16</v>
      </c>
      <c r="P3" s="8" t="s">
        <v>17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13">
        <v>1.0</v>
      </c>
      <c r="B4" s="14" t="s">
        <v>18</v>
      </c>
      <c r="C4" s="15" t="s">
        <v>19</v>
      </c>
      <c r="D4" s="15" t="s">
        <v>20</v>
      </c>
      <c r="E4" s="14" t="s">
        <v>21</v>
      </c>
      <c r="F4" s="14" t="s">
        <v>22</v>
      </c>
      <c r="G4" s="16" t="s">
        <v>23</v>
      </c>
      <c r="H4" s="17"/>
      <c r="I4" s="14" t="s">
        <v>24</v>
      </c>
      <c r="J4" s="14" t="s">
        <v>25</v>
      </c>
      <c r="K4" s="14" t="s">
        <v>26</v>
      </c>
      <c r="L4" s="14" t="s">
        <v>27</v>
      </c>
      <c r="M4" s="14">
        <v>1.0</v>
      </c>
      <c r="N4" s="18">
        <v>45520.0</v>
      </c>
      <c r="O4" s="14" t="s">
        <v>28</v>
      </c>
      <c r="P4" s="14" t="s">
        <v>29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19">
        <v>2.0</v>
      </c>
      <c r="B5" s="20" t="s">
        <v>30</v>
      </c>
      <c r="C5" s="21" t="s">
        <v>31</v>
      </c>
      <c r="D5" s="20" t="s">
        <v>32</v>
      </c>
      <c r="E5" s="20" t="s">
        <v>33</v>
      </c>
      <c r="F5" s="20" t="s">
        <v>34</v>
      </c>
      <c r="G5" s="20" t="s">
        <v>35</v>
      </c>
      <c r="H5" s="22"/>
      <c r="I5" s="20" t="s">
        <v>36</v>
      </c>
      <c r="J5" s="20" t="s">
        <v>25</v>
      </c>
      <c r="K5" s="20" t="s">
        <v>26</v>
      </c>
      <c r="L5" s="20" t="s">
        <v>27</v>
      </c>
      <c r="M5" s="20">
        <v>1.0</v>
      </c>
      <c r="N5" s="23">
        <v>45311.0</v>
      </c>
      <c r="O5" s="20" t="s">
        <v>37</v>
      </c>
      <c r="P5" s="20" t="s">
        <v>29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>
      <c r="A6" s="13">
        <v>3.0</v>
      </c>
      <c r="B6" s="14" t="s">
        <v>38</v>
      </c>
      <c r="C6" s="14" t="s">
        <v>39</v>
      </c>
      <c r="D6" s="14" t="s">
        <v>40</v>
      </c>
      <c r="E6" s="14" t="s">
        <v>41</v>
      </c>
      <c r="F6" s="14" t="s">
        <v>42</v>
      </c>
      <c r="G6" s="14" t="s">
        <v>43</v>
      </c>
      <c r="H6" s="17"/>
      <c r="I6" s="14" t="s">
        <v>44</v>
      </c>
      <c r="J6" s="14" t="s">
        <v>25</v>
      </c>
      <c r="K6" s="14" t="s">
        <v>45</v>
      </c>
      <c r="L6" s="14" t="s">
        <v>27</v>
      </c>
      <c r="M6" s="14">
        <v>5.0</v>
      </c>
      <c r="N6" s="24">
        <v>43739.0</v>
      </c>
      <c r="O6" s="17"/>
      <c r="P6" s="14" t="s">
        <v>29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13">
        <v>4.0</v>
      </c>
      <c r="B7" s="14" t="s">
        <v>46</v>
      </c>
      <c r="C7" s="14" t="s">
        <v>47</v>
      </c>
      <c r="D7" s="17"/>
      <c r="E7" s="14" t="s">
        <v>48</v>
      </c>
      <c r="F7" s="14" t="s">
        <v>49</v>
      </c>
      <c r="G7" s="25" t="s">
        <v>50</v>
      </c>
      <c r="H7" s="17"/>
      <c r="I7" s="14" t="s">
        <v>51</v>
      </c>
      <c r="J7" s="14" t="s">
        <v>25</v>
      </c>
      <c r="K7" s="14" t="s">
        <v>52</v>
      </c>
      <c r="L7" s="14" t="s">
        <v>53</v>
      </c>
      <c r="M7" s="14">
        <v>5.0</v>
      </c>
      <c r="N7" s="26">
        <v>43922.0</v>
      </c>
      <c r="O7" s="14" t="s">
        <v>54</v>
      </c>
      <c r="P7" s="14" t="s">
        <v>29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3">
        <v>5.0</v>
      </c>
      <c r="B8" s="14" t="s">
        <v>55</v>
      </c>
      <c r="C8" s="14" t="s">
        <v>56</v>
      </c>
      <c r="D8" s="14" t="s">
        <v>57</v>
      </c>
      <c r="E8" s="14" t="s">
        <v>58</v>
      </c>
      <c r="F8" s="14" t="s">
        <v>59</v>
      </c>
      <c r="G8" s="14" t="s">
        <v>60</v>
      </c>
      <c r="H8" s="17"/>
      <c r="I8" s="14" t="s">
        <v>61</v>
      </c>
      <c r="J8" s="14" t="s">
        <v>62</v>
      </c>
      <c r="K8" s="14" t="s">
        <v>63</v>
      </c>
      <c r="L8" s="14" t="s">
        <v>53</v>
      </c>
      <c r="M8" s="14">
        <v>1.0</v>
      </c>
      <c r="N8" s="18">
        <v>45162.0</v>
      </c>
      <c r="O8" s="17"/>
      <c r="P8" s="14" t="s">
        <v>29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19">
        <v>6.0</v>
      </c>
      <c r="B9" s="20" t="s">
        <v>64</v>
      </c>
      <c r="C9" s="21" t="s">
        <v>65</v>
      </c>
      <c r="D9" s="20" t="s">
        <v>66</v>
      </c>
      <c r="E9" s="20" t="s">
        <v>67</v>
      </c>
      <c r="F9" s="20">
        <v>8.494954712E9</v>
      </c>
      <c r="G9" s="20" t="s">
        <v>68</v>
      </c>
      <c r="H9" s="22"/>
      <c r="I9" s="20" t="s">
        <v>69</v>
      </c>
      <c r="J9" s="20" t="s">
        <v>62</v>
      </c>
      <c r="K9" s="27" t="s">
        <v>70</v>
      </c>
      <c r="L9" s="20" t="s">
        <v>71</v>
      </c>
      <c r="M9" s="20">
        <v>1.0</v>
      </c>
      <c r="N9" s="28">
        <v>45260.0</v>
      </c>
      <c r="O9" s="20" t="s">
        <v>72</v>
      </c>
      <c r="P9" s="20" t="s">
        <v>29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>
      <c r="A10" s="13">
        <v>7.0</v>
      </c>
      <c r="B10" s="14" t="s">
        <v>73</v>
      </c>
      <c r="C10" s="14" t="s">
        <v>74</v>
      </c>
      <c r="D10" s="14" t="s">
        <v>75</v>
      </c>
      <c r="E10" s="14" t="s">
        <v>76</v>
      </c>
      <c r="F10" s="14" t="s">
        <v>77</v>
      </c>
      <c r="G10" s="14" t="s">
        <v>78</v>
      </c>
      <c r="H10" s="17"/>
      <c r="I10" s="14" t="s">
        <v>79</v>
      </c>
      <c r="J10" s="14" t="s">
        <v>62</v>
      </c>
      <c r="K10" s="14" t="s">
        <v>80</v>
      </c>
      <c r="L10" s="14" t="s">
        <v>71</v>
      </c>
      <c r="M10" s="14">
        <v>2.0</v>
      </c>
      <c r="N10" s="14" t="s">
        <v>81</v>
      </c>
      <c r="O10" s="17"/>
      <c r="P10" s="14" t="s">
        <v>29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19">
        <v>8.0</v>
      </c>
      <c r="B11" s="20" t="s">
        <v>82</v>
      </c>
      <c r="C11" s="21" t="s">
        <v>83</v>
      </c>
      <c r="D11" s="20" t="s">
        <v>84</v>
      </c>
      <c r="E11" s="20" t="s">
        <v>85</v>
      </c>
      <c r="F11" s="20" t="s">
        <v>86</v>
      </c>
      <c r="G11" s="20" t="s">
        <v>87</v>
      </c>
      <c r="H11" s="22"/>
      <c r="I11" s="20" t="s">
        <v>88</v>
      </c>
      <c r="J11" s="20" t="s">
        <v>62</v>
      </c>
      <c r="K11" s="20" t="s">
        <v>26</v>
      </c>
      <c r="L11" s="20" t="s">
        <v>27</v>
      </c>
      <c r="M11" s="20">
        <v>1.0</v>
      </c>
      <c r="N11" s="29">
        <v>45445.0</v>
      </c>
      <c r="O11" s="20" t="s">
        <v>54</v>
      </c>
      <c r="P11" s="20" t="s">
        <v>29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>
      <c r="A12" s="19">
        <v>9.0</v>
      </c>
      <c r="B12" s="20" t="s">
        <v>89</v>
      </c>
      <c r="C12" s="20" t="s">
        <v>90</v>
      </c>
      <c r="D12" s="20">
        <v>5.300265567E9</v>
      </c>
      <c r="E12" s="20" t="s">
        <v>91</v>
      </c>
      <c r="F12" s="20" t="s">
        <v>92</v>
      </c>
      <c r="G12" s="20" t="s">
        <v>93</v>
      </c>
      <c r="H12" s="22"/>
      <c r="I12" s="20" t="s">
        <v>94</v>
      </c>
      <c r="J12" s="20" t="s">
        <v>62</v>
      </c>
      <c r="K12" s="20" t="s">
        <v>95</v>
      </c>
      <c r="L12" s="20" t="s">
        <v>71</v>
      </c>
      <c r="M12" s="20">
        <v>13.0</v>
      </c>
      <c r="N12" s="29">
        <v>41030.0</v>
      </c>
      <c r="O12" s="22"/>
      <c r="P12" s="20" t="s">
        <v>96</v>
      </c>
      <c r="Q12" s="21" t="s">
        <v>97</v>
      </c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ht="18.0" customHeight="1">
      <c r="H13" s="22"/>
      <c r="I13" s="20" t="s">
        <v>98</v>
      </c>
      <c r="J13" s="20" t="s">
        <v>62</v>
      </c>
      <c r="K13" s="20" t="s">
        <v>80</v>
      </c>
      <c r="L13" s="20" t="s">
        <v>99</v>
      </c>
      <c r="M13" s="20">
        <v>3.0</v>
      </c>
      <c r="N13" s="29">
        <v>44572.0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>
      <c r="A14" s="13">
        <v>10.0</v>
      </c>
      <c r="B14" s="14" t="s">
        <v>100</v>
      </c>
      <c r="C14" s="14" t="s">
        <v>101</v>
      </c>
      <c r="D14" s="14" t="s">
        <v>102</v>
      </c>
      <c r="E14" s="14" t="s">
        <v>103</v>
      </c>
      <c r="F14" s="14" t="s">
        <v>104</v>
      </c>
      <c r="G14" s="14" t="s">
        <v>105</v>
      </c>
      <c r="H14" s="17"/>
      <c r="I14" s="14" t="s">
        <v>106</v>
      </c>
      <c r="J14" s="14" t="s">
        <v>62</v>
      </c>
      <c r="K14" s="14" t="s">
        <v>107</v>
      </c>
      <c r="L14" s="14" t="s">
        <v>71</v>
      </c>
      <c r="M14" s="14">
        <v>4.0</v>
      </c>
      <c r="N14" s="18">
        <v>44356.0</v>
      </c>
      <c r="O14" s="17"/>
      <c r="P14" s="14" t="s">
        <v>108</v>
      </c>
      <c r="Q14" s="14" t="s">
        <v>109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>
      <c r="A15" s="19">
        <v>11.0</v>
      </c>
      <c r="B15" s="20" t="s">
        <v>110</v>
      </c>
      <c r="C15" s="21" t="s">
        <v>111</v>
      </c>
      <c r="D15" s="20" t="s">
        <v>112</v>
      </c>
      <c r="E15" s="20" t="s">
        <v>113</v>
      </c>
      <c r="F15" s="20" t="s">
        <v>114</v>
      </c>
      <c r="G15" s="20" t="s">
        <v>115</v>
      </c>
      <c r="H15" s="22"/>
      <c r="I15" s="20" t="s">
        <v>116</v>
      </c>
      <c r="J15" s="20" t="s">
        <v>62</v>
      </c>
      <c r="K15" s="22"/>
      <c r="L15" s="20" t="s">
        <v>71</v>
      </c>
      <c r="M15" s="20">
        <v>9.0</v>
      </c>
      <c r="N15" s="20" t="s">
        <v>81</v>
      </c>
      <c r="O15" s="22"/>
      <c r="P15" s="20" t="s">
        <v>117</v>
      </c>
      <c r="Q15" s="21" t="s">
        <v>118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>
      <c r="A16" s="13">
        <v>12.0</v>
      </c>
      <c r="B16" s="14" t="s">
        <v>119</v>
      </c>
      <c r="C16" s="14" t="s">
        <v>120</v>
      </c>
      <c r="D16" s="14" t="s">
        <v>121</v>
      </c>
      <c r="E16" s="14" t="s">
        <v>122</v>
      </c>
      <c r="F16" s="14" t="s">
        <v>123</v>
      </c>
      <c r="G16" s="14" t="s">
        <v>124</v>
      </c>
      <c r="H16" s="17"/>
      <c r="I16" s="14" t="s">
        <v>125</v>
      </c>
      <c r="J16" s="14" t="s">
        <v>62</v>
      </c>
      <c r="K16" s="14" t="s">
        <v>126</v>
      </c>
      <c r="L16" s="14" t="s">
        <v>99</v>
      </c>
      <c r="M16" s="14">
        <v>4.0</v>
      </c>
      <c r="N16" s="18">
        <v>44246.0</v>
      </c>
      <c r="O16" s="17"/>
      <c r="P16" s="14" t="s">
        <v>127</v>
      </c>
      <c r="Q16" s="14" t="s">
        <v>128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13">
        <v>13.0</v>
      </c>
      <c r="B17" s="14" t="s">
        <v>129</v>
      </c>
      <c r="C17" s="14" t="s">
        <v>130</v>
      </c>
      <c r="D17" s="14" t="s">
        <v>131</v>
      </c>
      <c r="E17" s="14" t="s">
        <v>132</v>
      </c>
      <c r="F17" s="14" t="s">
        <v>133</v>
      </c>
      <c r="G17" s="14" t="s">
        <v>134</v>
      </c>
      <c r="H17" s="17"/>
      <c r="I17" s="14" t="s">
        <v>135</v>
      </c>
      <c r="J17" s="14" t="s">
        <v>62</v>
      </c>
      <c r="K17" s="27" t="s">
        <v>70</v>
      </c>
      <c r="L17" s="14" t="s">
        <v>71</v>
      </c>
      <c r="M17" s="14">
        <v>4.0</v>
      </c>
      <c r="N17" s="20" t="s">
        <v>81</v>
      </c>
      <c r="O17" s="14" t="s">
        <v>136</v>
      </c>
      <c r="P17" s="14" t="s">
        <v>29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13">
        <v>14.0</v>
      </c>
      <c r="B18" s="14" t="s">
        <v>137</v>
      </c>
      <c r="C18" s="14" t="s">
        <v>138</v>
      </c>
      <c r="D18" s="14" t="s">
        <v>139</v>
      </c>
      <c r="E18" s="14" t="s">
        <v>140</v>
      </c>
      <c r="F18" s="14" t="s">
        <v>141</v>
      </c>
      <c r="G18" s="14" t="s">
        <v>142</v>
      </c>
      <c r="H18" s="17"/>
      <c r="I18" s="14" t="s">
        <v>143</v>
      </c>
      <c r="J18" s="14" t="s">
        <v>62</v>
      </c>
      <c r="K18" s="14" t="s">
        <v>144</v>
      </c>
      <c r="L18" s="14" t="s">
        <v>99</v>
      </c>
      <c r="M18" s="14">
        <v>7.0</v>
      </c>
      <c r="N18" s="18">
        <v>43238.0</v>
      </c>
      <c r="O18" s="14" t="s">
        <v>145</v>
      </c>
      <c r="P18" s="14" t="s">
        <v>29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19">
        <v>15.0</v>
      </c>
      <c r="B19" s="20" t="s">
        <v>146</v>
      </c>
      <c r="C19" s="21" t="s">
        <v>147</v>
      </c>
      <c r="D19" s="20" t="s">
        <v>148</v>
      </c>
      <c r="E19" s="20" t="s">
        <v>149</v>
      </c>
      <c r="F19" s="20" t="s">
        <v>141</v>
      </c>
      <c r="G19" s="20" t="s">
        <v>150</v>
      </c>
      <c r="H19" s="22"/>
      <c r="I19" s="20" t="s">
        <v>151</v>
      </c>
      <c r="J19" s="20" t="s">
        <v>62</v>
      </c>
      <c r="K19" s="27" t="s">
        <v>70</v>
      </c>
      <c r="L19" s="20" t="s">
        <v>71</v>
      </c>
      <c r="M19" s="20" t="s">
        <v>152</v>
      </c>
      <c r="N19" s="28">
        <v>45618.0</v>
      </c>
      <c r="O19" s="20" t="s">
        <v>153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>
      <c r="A20" s="13">
        <v>16.0</v>
      </c>
      <c r="B20" s="14" t="s">
        <v>154</v>
      </c>
      <c r="C20" s="14" t="s">
        <v>155</v>
      </c>
      <c r="D20" s="14" t="s">
        <v>156</v>
      </c>
      <c r="E20" s="14" t="s">
        <v>157</v>
      </c>
      <c r="F20" s="14" t="s">
        <v>158</v>
      </c>
      <c r="G20" s="14" t="s">
        <v>159</v>
      </c>
      <c r="H20" s="17"/>
      <c r="I20" s="14" t="s">
        <v>160</v>
      </c>
      <c r="J20" s="14" t="s">
        <v>62</v>
      </c>
      <c r="K20" s="14" t="s">
        <v>161</v>
      </c>
      <c r="L20" s="14" t="s">
        <v>71</v>
      </c>
      <c r="M20" s="14" t="s">
        <v>162</v>
      </c>
      <c r="N20" s="18">
        <v>45672.0</v>
      </c>
      <c r="O20" s="14" t="s">
        <v>163</v>
      </c>
      <c r="P20" s="14" t="s">
        <v>164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13">
        <v>17.0</v>
      </c>
      <c r="B21" s="14" t="s">
        <v>165</v>
      </c>
      <c r="C21" s="14" t="s">
        <v>166</v>
      </c>
      <c r="D21" s="14" t="s">
        <v>167</v>
      </c>
      <c r="E21" s="14" t="s">
        <v>168</v>
      </c>
      <c r="F21" s="14" t="s">
        <v>141</v>
      </c>
      <c r="G21" s="14" t="s">
        <v>169</v>
      </c>
      <c r="H21" s="17"/>
      <c r="I21" s="14" t="s">
        <v>170</v>
      </c>
      <c r="J21" s="14" t="s">
        <v>62</v>
      </c>
      <c r="K21" s="14" t="s">
        <v>171</v>
      </c>
      <c r="L21" s="14" t="s">
        <v>71</v>
      </c>
      <c r="M21" s="14">
        <v>8.0</v>
      </c>
      <c r="N21" s="14" t="s">
        <v>81</v>
      </c>
      <c r="O21" s="14" t="s">
        <v>172</v>
      </c>
      <c r="P21" s="14" t="s">
        <v>29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13">
        <v>18.0</v>
      </c>
      <c r="B22" s="14" t="s">
        <v>173</v>
      </c>
      <c r="C22" s="14" t="s">
        <v>174</v>
      </c>
      <c r="D22" s="14">
        <v>4.0200609564E10</v>
      </c>
      <c r="E22" s="14" t="s">
        <v>175</v>
      </c>
      <c r="F22" s="14">
        <v>8.093720232E9</v>
      </c>
      <c r="G22" s="14" t="s">
        <v>176</v>
      </c>
      <c r="H22" s="17"/>
      <c r="I22" s="14" t="s">
        <v>177</v>
      </c>
      <c r="J22" s="14" t="s">
        <v>62</v>
      </c>
      <c r="K22" s="14" t="s">
        <v>178</v>
      </c>
      <c r="L22" s="14" t="s">
        <v>71</v>
      </c>
      <c r="M22" s="14">
        <v>5.0</v>
      </c>
      <c r="N22" s="18">
        <v>44024.0</v>
      </c>
      <c r="O22" s="14" t="s">
        <v>179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13">
        <v>19.0</v>
      </c>
      <c r="B23" s="14" t="s">
        <v>180</v>
      </c>
      <c r="C23" s="14" t="s">
        <v>181</v>
      </c>
      <c r="D23" s="14" t="s">
        <v>182</v>
      </c>
      <c r="E23" s="14" t="s">
        <v>183</v>
      </c>
      <c r="F23" s="17"/>
      <c r="G23" s="17"/>
      <c r="H23" s="17"/>
      <c r="I23" s="14" t="s">
        <v>184</v>
      </c>
      <c r="J23" s="14" t="s">
        <v>62</v>
      </c>
      <c r="K23" s="14" t="s">
        <v>185</v>
      </c>
      <c r="L23" s="14" t="s">
        <v>71</v>
      </c>
      <c r="M23" s="14">
        <v>10.0</v>
      </c>
      <c r="N23" s="14" t="s">
        <v>81</v>
      </c>
      <c r="O23" s="14" t="s">
        <v>186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13">
        <v>20.0</v>
      </c>
      <c r="B24" s="14" t="s">
        <v>187</v>
      </c>
      <c r="C24" s="14" t="s">
        <v>188</v>
      </c>
      <c r="D24" s="14">
        <v>6.900096741E9</v>
      </c>
      <c r="E24" s="14">
        <v>8.297971862E9</v>
      </c>
      <c r="F24" s="14">
        <v>8.097013836E9</v>
      </c>
      <c r="G24" s="14" t="s">
        <v>189</v>
      </c>
      <c r="H24" s="17"/>
      <c r="I24" s="14" t="s">
        <v>190</v>
      </c>
      <c r="J24" s="14" t="s">
        <v>62</v>
      </c>
      <c r="K24" s="14" t="s">
        <v>191</v>
      </c>
      <c r="L24" s="14" t="s">
        <v>71</v>
      </c>
      <c r="M24" s="14">
        <v>4.0</v>
      </c>
      <c r="N24" s="30">
        <v>44499.0</v>
      </c>
      <c r="O24" s="17"/>
      <c r="P24" s="14" t="s">
        <v>164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19">
        <v>21.0</v>
      </c>
      <c r="B25" s="20" t="s">
        <v>192</v>
      </c>
      <c r="C25" s="21" t="s">
        <v>193</v>
      </c>
      <c r="D25" s="20">
        <v>1.18754308E8</v>
      </c>
      <c r="E25" s="20">
        <v>8.297262182E9</v>
      </c>
      <c r="F25" s="20">
        <v>8.09884519E9</v>
      </c>
      <c r="G25" s="21" t="s">
        <v>194</v>
      </c>
      <c r="H25" s="22"/>
      <c r="I25" s="20" t="s">
        <v>195</v>
      </c>
      <c r="J25" s="20" t="s">
        <v>25</v>
      </c>
      <c r="K25" s="20" t="s">
        <v>196</v>
      </c>
      <c r="L25" s="20" t="s">
        <v>53</v>
      </c>
      <c r="M25" s="20">
        <v>1.0</v>
      </c>
      <c r="N25" s="29">
        <v>45362.0</v>
      </c>
      <c r="O25" s="20" t="s">
        <v>54</v>
      </c>
      <c r="P25" s="20" t="s">
        <v>29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>
      <c r="A26" s="13">
        <v>22.0</v>
      </c>
      <c r="B26" s="14" t="s">
        <v>197</v>
      </c>
      <c r="C26" s="14" t="s">
        <v>198</v>
      </c>
      <c r="D26" s="14">
        <v>4.0233082789E10</v>
      </c>
      <c r="E26" s="14" t="s">
        <v>199</v>
      </c>
      <c r="F26" s="14" t="s">
        <v>200</v>
      </c>
      <c r="G26" s="14" t="s">
        <v>201</v>
      </c>
      <c r="H26" s="17"/>
      <c r="I26" s="14" t="s">
        <v>202</v>
      </c>
      <c r="J26" s="14" t="s">
        <v>62</v>
      </c>
      <c r="K26" s="14" t="s">
        <v>203</v>
      </c>
      <c r="L26" s="14" t="s">
        <v>99</v>
      </c>
      <c r="M26" s="14">
        <v>10.0</v>
      </c>
      <c r="N26" s="14" t="s">
        <v>81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A27" s="31">
        <v>23.0</v>
      </c>
      <c r="B27" s="32" t="s">
        <v>204</v>
      </c>
      <c r="C27" s="32" t="s">
        <v>205</v>
      </c>
      <c r="D27" s="32">
        <v>4.0232973236E10</v>
      </c>
      <c r="E27" s="32">
        <v>8.29652251E9</v>
      </c>
      <c r="F27" s="32" t="s">
        <v>141</v>
      </c>
      <c r="G27" s="32" t="s">
        <v>206</v>
      </c>
      <c r="H27" s="4"/>
      <c r="I27" s="32" t="s">
        <v>207</v>
      </c>
      <c r="J27" s="32" t="s">
        <v>62</v>
      </c>
      <c r="K27" s="32" t="s">
        <v>208</v>
      </c>
      <c r="L27" s="32" t="s">
        <v>99</v>
      </c>
      <c r="M27" s="32">
        <v>5.0</v>
      </c>
      <c r="N27" s="33">
        <v>45728.0</v>
      </c>
      <c r="O27" s="34"/>
      <c r="P27" s="32" t="s">
        <v>164</v>
      </c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>
      <c r="A28" s="1">
        <v>24.0</v>
      </c>
      <c r="B28" s="35" t="s">
        <v>209</v>
      </c>
      <c r="C28" s="35" t="s">
        <v>210</v>
      </c>
      <c r="D28" s="35">
        <v>1.73017179E8</v>
      </c>
      <c r="E28" s="35" t="s">
        <v>211</v>
      </c>
      <c r="F28" s="35" t="s">
        <v>212</v>
      </c>
      <c r="G28" s="36" t="s">
        <v>213</v>
      </c>
      <c r="H28" s="4"/>
      <c r="I28" s="35" t="s">
        <v>214</v>
      </c>
      <c r="J28" s="35" t="s">
        <v>62</v>
      </c>
      <c r="K28" s="35" t="s">
        <v>185</v>
      </c>
      <c r="L28" s="35" t="s">
        <v>71</v>
      </c>
      <c r="M28" s="35">
        <v>2.0</v>
      </c>
      <c r="N28" s="35" t="s">
        <v>81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31">
        <v>25.0</v>
      </c>
      <c r="B29" s="32" t="s">
        <v>215</v>
      </c>
      <c r="C29" s="32" t="s">
        <v>216</v>
      </c>
      <c r="D29" s="32">
        <v>4.0223191269E10</v>
      </c>
      <c r="E29" s="32" t="s">
        <v>217</v>
      </c>
      <c r="F29" s="32" t="s">
        <v>218</v>
      </c>
      <c r="G29" s="32" t="s">
        <v>219</v>
      </c>
      <c r="H29" s="4"/>
      <c r="I29" s="32" t="s">
        <v>220</v>
      </c>
      <c r="J29" s="32" t="s">
        <v>221</v>
      </c>
      <c r="K29" s="32" t="s">
        <v>208</v>
      </c>
      <c r="L29" s="32" t="s">
        <v>71</v>
      </c>
      <c r="M29" s="32">
        <v>4.0</v>
      </c>
      <c r="N29" s="37" t="s">
        <v>81</v>
      </c>
      <c r="O29" s="32" t="s">
        <v>222</v>
      </c>
      <c r="P29" s="32" t="s">
        <v>164</v>
      </c>
      <c r="Q29" s="32" t="s">
        <v>223</v>
      </c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>
      <c r="A30" s="38">
        <v>26.0</v>
      </c>
      <c r="B30" s="36" t="s">
        <v>224</v>
      </c>
      <c r="C30" s="36" t="s">
        <v>225</v>
      </c>
      <c r="D30" s="36">
        <v>4.0230094332E10</v>
      </c>
      <c r="E30" s="36" t="s">
        <v>226</v>
      </c>
      <c r="F30" s="36" t="s">
        <v>227</v>
      </c>
      <c r="G30" s="36" t="s">
        <v>228</v>
      </c>
      <c r="H30" s="4"/>
      <c r="I30" s="36" t="s">
        <v>229</v>
      </c>
      <c r="J30" s="36" t="s">
        <v>221</v>
      </c>
      <c r="K30" s="36" t="s">
        <v>208</v>
      </c>
      <c r="L30" s="36" t="s">
        <v>99</v>
      </c>
      <c r="M30" s="36">
        <v>3.0</v>
      </c>
      <c r="N30" s="39">
        <v>44527.0</v>
      </c>
      <c r="O30" s="36" t="s">
        <v>230</v>
      </c>
      <c r="P30" s="36" t="s">
        <v>164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1">
        <v>27.0</v>
      </c>
      <c r="B31" s="32" t="s">
        <v>231</v>
      </c>
      <c r="C31" s="32" t="s">
        <v>232</v>
      </c>
      <c r="D31" s="32">
        <v>2.2400071803E10</v>
      </c>
      <c r="E31" s="32">
        <v>8.097142092E9</v>
      </c>
      <c r="F31" s="32">
        <v>8.095018793E9</v>
      </c>
      <c r="G31" s="32" t="s">
        <v>233</v>
      </c>
      <c r="H31" s="4"/>
      <c r="I31" s="32" t="s">
        <v>0</v>
      </c>
      <c r="J31" s="32" t="s">
        <v>221</v>
      </c>
      <c r="K31" s="40" t="s">
        <v>70</v>
      </c>
      <c r="L31" s="32" t="s">
        <v>71</v>
      </c>
      <c r="M31" s="32">
        <v>5.0</v>
      </c>
      <c r="N31" s="33">
        <v>43876.0</v>
      </c>
      <c r="O31" s="34"/>
      <c r="P31" s="32" t="s">
        <v>164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>
      <c r="A32" s="1">
        <v>28.0</v>
      </c>
      <c r="B32" s="35" t="s">
        <v>234</v>
      </c>
      <c r="C32" s="2"/>
      <c r="D32" s="2"/>
      <c r="E32" s="35" t="s">
        <v>235</v>
      </c>
      <c r="F32" s="2"/>
      <c r="G32" s="3"/>
      <c r="H32" s="4"/>
      <c r="I32" s="35" t="s">
        <v>236</v>
      </c>
      <c r="J32" s="36" t="s">
        <v>221</v>
      </c>
      <c r="K32" s="36" t="s">
        <v>208</v>
      </c>
      <c r="L32" s="35" t="s">
        <v>71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31">
        <v>29.0</v>
      </c>
      <c r="B33" s="32" t="s">
        <v>237</v>
      </c>
      <c r="C33" s="32" t="s">
        <v>238</v>
      </c>
      <c r="D33" s="32">
        <v>4.0222114809E10</v>
      </c>
      <c r="E33" s="32">
        <v>8.29252963E9</v>
      </c>
      <c r="F33" s="32" t="s">
        <v>239</v>
      </c>
      <c r="G33" s="32" t="s">
        <v>240</v>
      </c>
      <c r="H33" s="4"/>
      <c r="I33" s="32" t="s">
        <v>241</v>
      </c>
      <c r="J33" s="32" t="s">
        <v>221</v>
      </c>
      <c r="K33" s="32" t="s">
        <v>52</v>
      </c>
      <c r="L33" s="32" t="s">
        <v>99</v>
      </c>
      <c r="M33" s="32" t="s">
        <v>242</v>
      </c>
      <c r="N33" s="33">
        <v>45901.0</v>
      </c>
      <c r="O33" s="34"/>
      <c r="P33" s="32" t="s">
        <v>164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>
      <c r="A34" s="1">
        <v>30.0</v>
      </c>
      <c r="B34" s="35" t="s">
        <v>243</v>
      </c>
      <c r="C34" s="35" t="s">
        <v>244</v>
      </c>
      <c r="D34" s="35">
        <v>5.96098669E8</v>
      </c>
      <c r="E34" s="35">
        <v>9.395290726E9</v>
      </c>
      <c r="F34" s="2"/>
      <c r="G34" s="36" t="s">
        <v>245</v>
      </c>
      <c r="H34" s="4"/>
      <c r="I34" s="35" t="s">
        <v>246</v>
      </c>
      <c r="J34" s="35" t="s">
        <v>221</v>
      </c>
      <c r="K34" s="35" t="s">
        <v>247</v>
      </c>
      <c r="L34" s="35" t="s">
        <v>71</v>
      </c>
      <c r="M34" s="35" t="s">
        <v>248</v>
      </c>
      <c r="N34" s="41">
        <v>45713.0</v>
      </c>
      <c r="O34" s="2"/>
      <c r="P34" s="35" t="s">
        <v>249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31">
        <v>31.0</v>
      </c>
      <c r="B35" s="32" t="s">
        <v>250</v>
      </c>
      <c r="C35" s="32" t="s">
        <v>251</v>
      </c>
      <c r="D35" s="32">
        <v>4.0223156882E10</v>
      </c>
      <c r="E35" s="32" t="s">
        <v>252</v>
      </c>
      <c r="F35" s="32" t="s">
        <v>253</v>
      </c>
      <c r="G35" s="32" t="s">
        <v>254</v>
      </c>
      <c r="H35" s="4"/>
      <c r="I35" s="32" t="s">
        <v>255</v>
      </c>
      <c r="J35" s="32" t="s">
        <v>221</v>
      </c>
      <c r="K35" s="32" t="s">
        <v>256</v>
      </c>
      <c r="L35" s="32" t="s">
        <v>99</v>
      </c>
      <c r="M35" s="32" t="s">
        <v>242</v>
      </c>
      <c r="N35" s="32" t="s">
        <v>81</v>
      </c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>
      <c r="A36" s="13">
        <v>32.0</v>
      </c>
      <c r="B36" s="14" t="s">
        <v>257</v>
      </c>
      <c r="C36" s="17"/>
      <c r="D36" s="17"/>
      <c r="E36" s="14">
        <v>8.492143084E9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31">
        <v>33.0</v>
      </c>
      <c r="B37" s="32" t="s">
        <v>258</v>
      </c>
      <c r="C37" s="32" t="s">
        <v>259</v>
      </c>
      <c r="D37" s="32">
        <v>4.0211423062E10</v>
      </c>
      <c r="E37" s="32" t="s">
        <v>260</v>
      </c>
      <c r="F37" s="32">
        <v>8.097069011E9</v>
      </c>
      <c r="G37" s="32" t="s">
        <v>261</v>
      </c>
      <c r="H37" s="4"/>
      <c r="I37" s="32" t="s">
        <v>262</v>
      </c>
      <c r="J37" s="32" t="s">
        <v>221</v>
      </c>
      <c r="K37" s="32" t="s">
        <v>208</v>
      </c>
      <c r="L37" s="32" t="s">
        <v>71</v>
      </c>
      <c r="M37" s="32" t="s">
        <v>81</v>
      </c>
      <c r="N37" s="32" t="s">
        <v>81</v>
      </c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>
      <c r="A38" s="1">
        <v>34.0</v>
      </c>
      <c r="B38" s="35" t="s">
        <v>263</v>
      </c>
      <c r="C38" s="35" t="s">
        <v>264</v>
      </c>
      <c r="D38" s="2"/>
      <c r="E38" s="35" t="s">
        <v>265</v>
      </c>
      <c r="F38" s="2"/>
      <c r="G38" s="3"/>
      <c r="H38" s="4"/>
      <c r="I38" s="35" t="s">
        <v>266</v>
      </c>
      <c r="J38" s="35" t="s">
        <v>221</v>
      </c>
      <c r="K38" s="35" t="s">
        <v>267</v>
      </c>
      <c r="L38" s="35" t="s">
        <v>99</v>
      </c>
      <c r="M38" s="42">
        <v>4.0</v>
      </c>
      <c r="N38" s="41">
        <v>44254.0</v>
      </c>
      <c r="O38" s="32" t="s">
        <v>172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31">
        <v>35.0</v>
      </c>
      <c r="B39" s="32" t="s">
        <v>268</v>
      </c>
      <c r="C39" s="32" t="s">
        <v>269</v>
      </c>
      <c r="D39" s="32">
        <v>1.15384825E8</v>
      </c>
      <c r="E39" s="32">
        <v>8.293403146E9</v>
      </c>
      <c r="F39" s="34"/>
      <c r="G39" s="32" t="s">
        <v>270</v>
      </c>
      <c r="H39" s="4"/>
      <c r="I39" s="32" t="s">
        <v>271</v>
      </c>
      <c r="J39" s="32" t="s">
        <v>221</v>
      </c>
      <c r="K39" s="32" t="s">
        <v>80</v>
      </c>
      <c r="L39" s="32" t="s">
        <v>99</v>
      </c>
      <c r="M39" s="32" t="s">
        <v>272</v>
      </c>
      <c r="N39" s="32" t="s">
        <v>273</v>
      </c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>
      <c r="A40" s="43">
        <v>36.0</v>
      </c>
      <c r="B40" s="44" t="s">
        <v>274</v>
      </c>
      <c r="C40" s="44" t="s">
        <v>275</v>
      </c>
      <c r="D40" s="44">
        <v>1.13847867E8</v>
      </c>
      <c r="E40" s="44">
        <v>9.14320477E9</v>
      </c>
      <c r="F40" s="44">
        <v>8.49536477E9</v>
      </c>
      <c r="G40" s="44" t="s">
        <v>276</v>
      </c>
      <c r="H40" s="4"/>
      <c r="I40" s="36" t="s">
        <v>277</v>
      </c>
      <c r="J40" s="36" t="s">
        <v>221</v>
      </c>
      <c r="K40" s="36" t="s">
        <v>278</v>
      </c>
      <c r="L40" s="36" t="s">
        <v>99</v>
      </c>
      <c r="M40" s="36">
        <v>2.0</v>
      </c>
      <c r="N40" s="36" t="s">
        <v>279</v>
      </c>
      <c r="O40" s="36" t="s">
        <v>280</v>
      </c>
      <c r="P40" s="36" t="s">
        <v>164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H41" s="4"/>
      <c r="I41" s="36" t="s">
        <v>281</v>
      </c>
      <c r="J41" s="36" t="s">
        <v>221</v>
      </c>
      <c r="K41" s="36" t="s">
        <v>185</v>
      </c>
      <c r="L41" s="36" t="s">
        <v>99</v>
      </c>
      <c r="M41" s="36">
        <v>9.0</v>
      </c>
      <c r="N41" s="36" t="s">
        <v>182</v>
      </c>
      <c r="O41" s="36" t="s">
        <v>186</v>
      </c>
      <c r="P41" s="36" t="s">
        <v>164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1">
        <v>37.0</v>
      </c>
      <c r="B42" s="32" t="s">
        <v>282</v>
      </c>
      <c r="C42" s="32" t="s">
        <v>283</v>
      </c>
      <c r="D42" s="32">
        <v>1.800294488E9</v>
      </c>
      <c r="E42" s="32" t="s">
        <v>284</v>
      </c>
      <c r="F42" s="32" t="s">
        <v>285</v>
      </c>
      <c r="G42" s="32" t="s">
        <v>286</v>
      </c>
      <c r="H42" s="4"/>
      <c r="I42" s="32" t="s">
        <v>287</v>
      </c>
      <c r="J42" s="32" t="s">
        <v>221</v>
      </c>
      <c r="K42" s="32" t="s">
        <v>288</v>
      </c>
      <c r="L42" s="32" t="s">
        <v>71</v>
      </c>
      <c r="M42" s="32">
        <v>1.0</v>
      </c>
      <c r="N42" s="32" t="s">
        <v>182</v>
      </c>
      <c r="O42" s="32" t="s">
        <v>179</v>
      </c>
      <c r="P42" s="32" t="s">
        <v>164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>
      <c r="A43" s="1">
        <v>38.0</v>
      </c>
      <c r="B43" s="35" t="s">
        <v>289</v>
      </c>
      <c r="C43" s="36" t="s">
        <v>290</v>
      </c>
      <c r="D43" s="35">
        <v>2.2300103532E10</v>
      </c>
      <c r="E43" s="35">
        <v>8.099093145E9</v>
      </c>
      <c r="F43" s="2"/>
      <c r="G43" s="36" t="s">
        <v>291</v>
      </c>
      <c r="H43" s="4"/>
      <c r="I43" s="35" t="s">
        <v>292</v>
      </c>
      <c r="J43" s="36" t="s">
        <v>221</v>
      </c>
      <c r="K43" s="35" t="s">
        <v>293</v>
      </c>
      <c r="L43" s="35" t="s">
        <v>71</v>
      </c>
      <c r="M43" s="35">
        <v>1.0</v>
      </c>
      <c r="N43" s="41">
        <v>45391.0</v>
      </c>
      <c r="O43" s="35" t="s">
        <v>294</v>
      </c>
      <c r="P43" s="35" t="s">
        <v>164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31">
        <v>39.0</v>
      </c>
      <c r="B44" s="17"/>
      <c r="C44" s="17"/>
      <c r="D44" s="17"/>
      <c r="E44" s="17"/>
      <c r="F44" s="17"/>
      <c r="G44" s="17"/>
      <c r="H44" s="4"/>
      <c r="I44" s="32" t="s">
        <v>295</v>
      </c>
      <c r="J44" s="32" t="s">
        <v>221</v>
      </c>
      <c r="K44" s="32" t="s">
        <v>296</v>
      </c>
      <c r="L44" s="32" t="s">
        <v>71</v>
      </c>
      <c r="M44" s="32" t="s">
        <v>297</v>
      </c>
      <c r="N44" s="33">
        <v>44308.0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>
      <c r="A45" s="1">
        <v>40.0</v>
      </c>
      <c r="B45" s="35" t="s">
        <v>298</v>
      </c>
      <c r="C45" s="35" t="s">
        <v>299</v>
      </c>
      <c r="D45" s="35">
        <v>1.15847311E8</v>
      </c>
      <c r="E45" s="35" t="s">
        <v>300</v>
      </c>
      <c r="F45" s="35" t="s">
        <v>301</v>
      </c>
      <c r="G45" s="36" t="s">
        <v>302</v>
      </c>
      <c r="H45" s="4"/>
      <c r="I45" s="35" t="s">
        <v>303</v>
      </c>
      <c r="J45" s="35" t="s">
        <v>221</v>
      </c>
      <c r="K45" s="36" t="s">
        <v>208</v>
      </c>
      <c r="L45" s="35" t="s">
        <v>99</v>
      </c>
      <c r="M45" s="35" t="s">
        <v>304</v>
      </c>
      <c r="N45" s="41">
        <v>45689.0</v>
      </c>
      <c r="O45" s="35" t="s">
        <v>305</v>
      </c>
      <c r="P45" s="35" t="s">
        <v>164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3">
        <v>41.0</v>
      </c>
      <c r="B46" s="14" t="s">
        <v>306</v>
      </c>
      <c r="C46" s="14"/>
      <c r="D46" s="14"/>
      <c r="E46" s="14"/>
      <c r="F46" s="14"/>
      <c r="G46" s="14"/>
      <c r="H46" s="17"/>
      <c r="I46" s="14"/>
      <c r="J46" s="14"/>
      <c r="K46" s="14"/>
      <c r="L46" s="14"/>
      <c r="M46" s="45"/>
      <c r="N46" s="30"/>
      <c r="O46" s="17"/>
      <c r="P46" s="14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38">
        <v>42.0</v>
      </c>
      <c r="B47" s="36" t="s">
        <v>307</v>
      </c>
      <c r="C47" s="36" t="s">
        <v>308</v>
      </c>
      <c r="D47" s="36">
        <v>2.2400638726E10</v>
      </c>
      <c r="E47" s="36">
        <v>8.296842984E9</v>
      </c>
      <c r="F47" s="36">
        <v>8.494954712E9</v>
      </c>
      <c r="G47" s="36" t="s">
        <v>309</v>
      </c>
      <c r="H47" s="4"/>
      <c r="I47" s="36" t="s">
        <v>310</v>
      </c>
      <c r="J47" s="36" t="s">
        <v>221</v>
      </c>
      <c r="K47" s="36" t="s">
        <v>80</v>
      </c>
      <c r="L47" s="36" t="s">
        <v>71</v>
      </c>
      <c r="M47" s="46"/>
      <c r="N47" s="39">
        <v>44540.0</v>
      </c>
      <c r="O47" s="3"/>
      <c r="P47" s="36" t="s">
        <v>164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1">
        <v>43.0</v>
      </c>
      <c r="B48" s="32" t="s">
        <v>311</v>
      </c>
      <c r="C48" s="32" t="s">
        <v>312</v>
      </c>
      <c r="D48" s="32">
        <v>1.17722595E8</v>
      </c>
      <c r="E48" s="32">
        <v>8.493527198E9</v>
      </c>
      <c r="F48" s="34"/>
      <c r="G48" s="32" t="s">
        <v>313</v>
      </c>
      <c r="H48" s="4"/>
      <c r="I48" s="32" t="s">
        <v>314</v>
      </c>
      <c r="J48" s="32" t="s">
        <v>221</v>
      </c>
      <c r="K48" s="32" t="s">
        <v>80</v>
      </c>
      <c r="L48" s="32" t="s">
        <v>71</v>
      </c>
      <c r="M48" s="32">
        <v>7.0</v>
      </c>
      <c r="N48" s="33">
        <v>45731.0</v>
      </c>
      <c r="O48" s="34"/>
      <c r="P48" s="32" t="s">
        <v>164</v>
      </c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>
      <c r="A49" s="1">
        <v>44.0</v>
      </c>
      <c r="B49" s="35" t="s">
        <v>315</v>
      </c>
      <c r="C49" s="35" t="s">
        <v>316</v>
      </c>
      <c r="D49" s="35">
        <v>5.800258187E9</v>
      </c>
      <c r="E49" s="35">
        <v>8.298895252E9</v>
      </c>
      <c r="F49" s="2"/>
      <c r="G49" s="36" t="s">
        <v>317</v>
      </c>
      <c r="H49" s="4"/>
      <c r="I49" s="35" t="s">
        <v>318</v>
      </c>
      <c r="J49" s="35" t="s">
        <v>221</v>
      </c>
      <c r="K49" s="35" t="s">
        <v>208</v>
      </c>
      <c r="L49" s="35" t="s">
        <v>99</v>
      </c>
      <c r="M49" s="35" t="s">
        <v>319</v>
      </c>
      <c r="N49" s="41">
        <v>45883.0</v>
      </c>
      <c r="O49" s="35" t="s">
        <v>320</v>
      </c>
      <c r="P49" s="35" t="s">
        <v>164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31">
        <v>45.0</v>
      </c>
      <c r="B50" s="32" t="s">
        <v>321</v>
      </c>
      <c r="C50" s="32" t="s">
        <v>322</v>
      </c>
      <c r="D50" s="32">
        <v>2.2301412171E10</v>
      </c>
      <c r="E50" s="32">
        <v>8.299212592E9</v>
      </c>
      <c r="F50" s="32">
        <v>8.294794236E9</v>
      </c>
      <c r="G50" s="32" t="s">
        <v>323</v>
      </c>
      <c r="H50" s="4"/>
      <c r="I50" s="32" t="s">
        <v>324</v>
      </c>
      <c r="J50" s="32" t="s">
        <v>221</v>
      </c>
      <c r="K50" s="32" t="s">
        <v>208</v>
      </c>
      <c r="L50" s="32" t="s">
        <v>71</v>
      </c>
      <c r="M50" s="32" t="s">
        <v>325</v>
      </c>
      <c r="N50" s="33">
        <v>45852.0</v>
      </c>
      <c r="O50" s="34"/>
      <c r="P50" s="32" t="s">
        <v>164</v>
      </c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>
      <c r="A51" s="47">
        <v>46.0</v>
      </c>
      <c r="B51" s="48" t="s">
        <v>326</v>
      </c>
      <c r="C51" s="48" t="s">
        <v>327</v>
      </c>
      <c r="D51" s="48">
        <v>1.14767973E8</v>
      </c>
      <c r="E51" s="48">
        <v>8.0939734E9</v>
      </c>
      <c r="F51" s="48">
        <v>8.0953721E9</v>
      </c>
      <c r="G51" s="44" t="s">
        <v>328</v>
      </c>
      <c r="H51" s="4"/>
      <c r="I51" s="35" t="s">
        <v>329</v>
      </c>
      <c r="J51" s="36" t="s">
        <v>221</v>
      </c>
      <c r="K51" s="35" t="s">
        <v>330</v>
      </c>
      <c r="L51" s="35" t="s">
        <v>71</v>
      </c>
      <c r="M51" s="35" t="s">
        <v>319</v>
      </c>
      <c r="N51" s="41">
        <v>45858.0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H52" s="4"/>
      <c r="I52" s="35" t="s">
        <v>331</v>
      </c>
      <c r="J52" s="36" t="s">
        <v>221</v>
      </c>
      <c r="K52" s="35" t="s">
        <v>332</v>
      </c>
      <c r="L52" s="35" t="s">
        <v>99</v>
      </c>
      <c r="M52" s="35">
        <v>6.0</v>
      </c>
      <c r="N52" s="41">
        <v>43538.0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31">
        <v>47.0</v>
      </c>
      <c r="B53" s="32" t="s">
        <v>333</v>
      </c>
      <c r="C53" s="32" t="s">
        <v>334</v>
      </c>
      <c r="D53" s="32">
        <v>2.2301143339E10</v>
      </c>
      <c r="E53" s="32">
        <v>8.09530786E9</v>
      </c>
      <c r="F53" s="32">
        <v>8.097010085E9</v>
      </c>
      <c r="G53" s="32" t="s">
        <v>335</v>
      </c>
      <c r="H53" s="4"/>
      <c r="I53" s="32" t="s">
        <v>336</v>
      </c>
      <c r="J53" s="32" t="s">
        <v>221</v>
      </c>
      <c r="K53" s="32" t="s">
        <v>337</v>
      </c>
      <c r="L53" s="32" t="s">
        <v>99</v>
      </c>
      <c r="M53" s="32" t="s">
        <v>338</v>
      </c>
      <c r="N53" s="33">
        <v>44814.0</v>
      </c>
      <c r="O53" s="32" t="s">
        <v>339</v>
      </c>
      <c r="P53" s="32" t="s">
        <v>164</v>
      </c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>
      <c r="A54" s="1">
        <v>48.0</v>
      </c>
      <c r="B54" s="35" t="s">
        <v>340</v>
      </c>
      <c r="C54" s="35" t="s">
        <v>341</v>
      </c>
      <c r="D54" s="35" t="s">
        <v>342</v>
      </c>
      <c r="E54" s="35" t="s">
        <v>343</v>
      </c>
      <c r="F54" s="2"/>
      <c r="G54" s="36" t="s">
        <v>344</v>
      </c>
      <c r="H54" s="4"/>
      <c r="I54" s="35" t="s">
        <v>345</v>
      </c>
      <c r="J54" s="36" t="s">
        <v>221</v>
      </c>
      <c r="K54" s="35" t="s">
        <v>346</v>
      </c>
      <c r="L54" s="35" t="s">
        <v>99</v>
      </c>
      <c r="M54" s="36" t="s">
        <v>338</v>
      </c>
      <c r="N54" s="41">
        <v>44790.0</v>
      </c>
      <c r="O54" s="35" t="s">
        <v>347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">
        <v>49.0</v>
      </c>
      <c r="B55" s="35" t="s">
        <v>348</v>
      </c>
      <c r="C55" s="35" t="s">
        <v>349</v>
      </c>
      <c r="D55" s="35">
        <v>4.0215177661E10</v>
      </c>
      <c r="E55" s="35">
        <v>8.297876603E9</v>
      </c>
      <c r="F55" s="35">
        <v>8.099233273E9</v>
      </c>
      <c r="G55" s="36" t="s">
        <v>350</v>
      </c>
      <c r="H55" s="4"/>
      <c r="I55" s="35" t="s">
        <v>351</v>
      </c>
      <c r="J55" s="36" t="s">
        <v>221</v>
      </c>
      <c r="K55" s="35" t="s">
        <v>352</v>
      </c>
      <c r="L55" s="35" t="s">
        <v>71</v>
      </c>
      <c r="M55" s="35" t="s">
        <v>353</v>
      </c>
      <c r="N55" s="41">
        <v>43968.0</v>
      </c>
      <c r="O55" s="2"/>
      <c r="P55" s="35" t="s">
        <v>164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38"/>
      <c r="B56" s="14"/>
      <c r="C56" s="17"/>
      <c r="D56" s="17"/>
      <c r="E56" s="17"/>
      <c r="F56" s="17"/>
      <c r="G56" s="17"/>
      <c r="H56" s="4"/>
      <c r="I56" s="35"/>
      <c r="J56" s="36"/>
      <c r="K56" s="35"/>
      <c r="L56" s="35"/>
      <c r="M56" s="35"/>
      <c r="N56" s="17"/>
      <c r="O56" s="2"/>
      <c r="P56" s="35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">
        <v>51.0</v>
      </c>
      <c r="B57" s="35" t="s">
        <v>354</v>
      </c>
      <c r="C57" s="35" t="s">
        <v>355</v>
      </c>
      <c r="D57" s="35">
        <v>4.0209059258E10</v>
      </c>
      <c r="E57" s="35" t="s">
        <v>356</v>
      </c>
      <c r="F57" s="35">
        <v>8.097524638E9</v>
      </c>
      <c r="G57" s="36" t="s">
        <v>357</v>
      </c>
      <c r="H57" s="4"/>
      <c r="I57" s="35" t="s">
        <v>358</v>
      </c>
      <c r="J57" s="36" t="s">
        <v>221</v>
      </c>
      <c r="K57" s="35" t="s">
        <v>208</v>
      </c>
      <c r="L57" s="35" t="s">
        <v>71</v>
      </c>
      <c r="M57" s="17"/>
      <c r="N57" s="17"/>
      <c r="O57" s="2"/>
      <c r="P57" s="35" t="s">
        <v>359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">
        <v>52.0</v>
      </c>
      <c r="B58" s="48" t="s">
        <v>360</v>
      </c>
      <c r="C58" s="48" t="s">
        <v>361</v>
      </c>
      <c r="D58" s="48" t="s">
        <v>362</v>
      </c>
      <c r="E58" s="48" t="s">
        <v>363</v>
      </c>
      <c r="F58" s="2"/>
      <c r="G58" s="44" t="s">
        <v>364</v>
      </c>
      <c r="H58" s="4"/>
      <c r="I58" s="35" t="s">
        <v>365</v>
      </c>
      <c r="J58" s="35" t="s">
        <v>221</v>
      </c>
      <c r="K58" s="35" t="s">
        <v>366</v>
      </c>
      <c r="L58" s="35" t="s">
        <v>99</v>
      </c>
      <c r="M58" s="49"/>
      <c r="N58" s="50">
        <v>45980.0</v>
      </c>
      <c r="O58" s="35" t="s">
        <v>367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">
        <v>53.0</v>
      </c>
      <c r="H59" s="4"/>
      <c r="I59" s="35" t="s">
        <v>368</v>
      </c>
      <c r="J59" s="35" t="s">
        <v>221</v>
      </c>
      <c r="K59" s="35" t="s">
        <v>366</v>
      </c>
      <c r="L59" s="35" t="s">
        <v>71</v>
      </c>
      <c r="M59" s="2"/>
      <c r="N59" s="50">
        <v>45980.0</v>
      </c>
      <c r="O59" s="35" t="s">
        <v>367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">
        <v>54.0</v>
      </c>
      <c r="H60" s="4"/>
      <c r="I60" s="35" t="s">
        <v>369</v>
      </c>
      <c r="J60" s="35" t="s">
        <v>221</v>
      </c>
      <c r="K60" s="35" t="s">
        <v>366</v>
      </c>
      <c r="L60" s="35" t="s">
        <v>71</v>
      </c>
      <c r="M60" s="2"/>
      <c r="N60" s="50">
        <v>45980.0</v>
      </c>
      <c r="O60" s="35" t="s">
        <v>367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">
        <v>55.0</v>
      </c>
      <c r="B61" s="35" t="s">
        <v>370</v>
      </c>
      <c r="C61" s="35" t="s">
        <v>371</v>
      </c>
      <c r="D61" s="35" t="s">
        <v>372</v>
      </c>
      <c r="E61" s="35" t="s">
        <v>373</v>
      </c>
      <c r="F61" s="2"/>
      <c r="G61" s="36" t="s">
        <v>374</v>
      </c>
      <c r="H61" s="4"/>
      <c r="I61" s="35" t="s">
        <v>375</v>
      </c>
      <c r="J61" s="35" t="s">
        <v>221</v>
      </c>
      <c r="K61" s="35" t="s">
        <v>352</v>
      </c>
      <c r="L61" s="35" t="s">
        <v>53</v>
      </c>
      <c r="M61" s="35" t="s">
        <v>376</v>
      </c>
      <c r="N61" s="50">
        <v>45989.0</v>
      </c>
      <c r="O61" s="35" t="s">
        <v>377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">
        <v>56.0</v>
      </c>
      <c r="B62" s="35" t="s">
        <v>378</v>
      </c>
      <c r="C62" s="35" t="s">
        <v>379</v>
      </c>
      <c r="D62" s="35" t="s">
        <v>380</v>
      </c>
      <c r="E62" s="35" t="s">
        <v>381</v>
      </c>
      <c r="F62" s="35" t="s">
        <v>382</v>
      </c>
      <c r="G62" s="36" t="s">
        <v>383</v>
      </c>
      <c r="H62" s="4"/>
      <c r="I62" s="35" t="s">
        <v>384</v>
      </c>
      <c r="J62" s="35" t="s">
        <v>221</v>
      </c>
      <c r="K62" s="35" t="s">
        <v>385</v>
      </c>
      <c r="L62" s="35" t="s">
        <v>99</v>
      </c>
      <c r="M62" s="35" t="s">
        <v>242</v>
      </c>
      <c r="N62" s="50">
        <v>45973.0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">
        <v>57.0</v>
      </c>
      <c r="B63" s="35" t="s">
        <v>386</v>
      </c>
      <c r="C63" s="35" t="s">
        <v>387</v>
      </c>
      <c r="D63" s="35" t="s">
        <v>388</v>
      </c>
      <c r="E63" s="35" t="s">
        <v>389</v>
      </c>
      <c r="F63" s="35" t="s">
        <v>390</v>
      </c>
      <c r="G63" s="36" t="s">
        <v>391</v>
      </c>
      <c r="H63" s="4"/>
      <c r="I63" s="35" t="s">
        <v>392</v>
      </c>
      <c r="J63" s="35" t="s">
        <v>221</v>
      </c>
      <c r="K63" s="35" t="s">
        <v>393</v>
      </c>
      <c r="L63" s="35" t="s">
        <v>71</v>
      </c>
      <c r="M63" s="35" t="s">
        <v>394</v>
      </c>
      <c r="N63" s="50">
        <v>45981.0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">
        <v>58.0</v>
      </c>
      <c r="B64" s="35" t="s">
        <v>395</v>
      </c>
      <c r="C64" s="35" t="s">
        <v>396</v>
      </c>
      <c r="D64" s="2"/>
      <c r="E64" s="35" t="s">
        <v>397</v>
      </c>
      <c r="F64" s="35" t="s">
        <v>398</v>
      </c>
      <c r="G64" s="36" t="s">
        <v>399</v>
      </c>
      <c r="H64" s="4"/>
      <c r="I64" s="35" t="s">
        <v>400</v>
      </c>
      <c r="J64" s="35" t="s">
        <v>221</v>
      </c>
      <c r="K64" s="35" t="s">
        <v>401</v>
      </c>
      <c r="L64" s="35" t="s">
        <v>99</v>
      </c>
      <c r="M64" s="35" t="s">
        <v>325</v>
      </c>
      <c r="N64" s="50">
        <v>45979.0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">
        <v>59.0</v>
      </c>
      <c r="B65" s="35" t="s">
        <v>402</v>
      </c>
      <c r="C65" s="35" t="s">
        <v>403</v>
      </c>
      <c r="D65" s="35" t="s">
        <v>404</v>
      </c>
      <c r="E65" s="35" t="s">
        <v>405</v>
      </c>
      <c r="F65" s="35" t="s">
        <v>406</v>
      </c>
      <c r="G65" s="36" t="s">
        <v>407</v>
      </c>
      <c r="H65" s="4"/>
      <c r="I65" s="35" t="s">
        <v>408</v>
      </c>
      <c r="J65" s="35" t="s">
        <v>409</v>
      </c>
      <c r="K65" s="35" t="s">
        <v>410</v>
      </c>
      <c r="L65" s="35" t="s">
        <v>99</v>
      </c>
      <c r="M65" s="35" t="s">
        <v>319</v>
      </c>
      <c r="N65" s="50">
        <v>45989.0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">
        <v>60.0</v>
      </c>
      <c r="B66" s="35" t="s">
        <v>402</v>
      </c>
      <c r="C66" s="35" t="s">
        <v>403</v>
      </c>
      <c r="D66" s="35" t="s">
        <v>404</v>
      </c>
      <c r="E66" s="35" t="s">
        <v>405</v>
      </c>
      <c r="F66" s="35" t="s">
        <v>406</v>
      </c>
      <c r="G66" s="36" t="s">
        <v>407</v>
      </c>
      <c r="H66" s="4"/>
      <c r="I66" s="35" t="s">
        <v>266</v>
      </c>
      <c r="J66" s="35" t="s">
        <v>221</v>
      </c>
      <c r="K66" s="35" t="s">
        <v>410</v>
      </c>
      <c r="L66" s="35" t="s">
        <v>99</v>
      </c>
      <c r="M66" s="35" t="s">
        <v>353</v>
      </c>
      <c r="N66" s="50">
        <v>45989.0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">
        <v>61.0</v>
      </c>
      <c r="B67" s="35" t="s">
        <v>411</v>
      </c>
      <c r="C67" s="35" t="s">
        <v>412</v>
      </c>
      <c r="D67" s="35" t="s">
        <v>413</v>
      </c>
      <c r="E67" s="35" t="s">
        <v>414</v>
      </c>
      <c r="F67" s="35" t="s">
        <v>415</v>
      </c>
      <c r="G67" s="36" t="s">
        <v>416</v>
      </c>
      <c r="H67" s="4"/>
      <c r="I67" s="35" t="s">
        <v>417</v>
      </c>
      <c r="J67" s="35" t="s">
        <v>221</v>
      </c>
      <c r="K67" s="35" t="s">
        <v>418</v>
      </c>
      <c r="L67" s="35" t="s">
        <v>71</v>
      </c>
      <c r="M67" s="35" t="s">
        <v>297</v>
      </c>
      <c r="N67" s="50">
        <v>45990.0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">
        <v>62.0</v>
      </c>
      <c r="B68" s="35" t="s">
        <v>419</v>
      </c>
      <c r="C68" s="35" t="s">
        <v>420</v>
      </c>
      <c r="D68" s="35" t="s">
        <v>421</v>
      </c>
      <c r="E68" s="35" t="s">
        <v>422</v>
      </c>
      <c r="F68" s="35" t="s">
        <v>423</v>
      </c>
      <c r="G68" s="36" t="s">
        <v>424</v>
      </c>
      <c r="H68" s="4"/>
      <c r="I68" s="35" t="s">
        <v>425</v>
      </c>
      <c r="J68" s="35" t="s">
        <v>426</v>
      </c>
      <c r="K68" s="2"/>
      <c r="L68" s="35" t="s">
        <v>71</v>
      </c>
      <c r="M68" s="2"/>
      <c r="N68" s="50">
        <v>45991.0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">
        <v>63.0</v>
      </c>
      <c r="B69" s="35" t="s">
        <v>427</v>
      </c>
      <c r="C69" s="35" t="s">
        <v>428</v>
      </c>
      <c r="D69" s="35" t="s">
        <v>429</v>
      </c>
      <c r="E69" s="35" t="s">
        <v>430</v>
      </c>
      <c r="F69" s="35" t="s">
        <v>431</v>
      </c>
      <c r="G69" s="3"/>
      <c r="H69" s="4"/>
      <c r="I69" s="35" t="s">
        <v>432</v>
      </c>
      <c r="J69" s="35" t="s">
        <v>221</v>
      </c>
      <c r="K69" s="35" t="s">
        <v>433</v>
      </c>
      <c r="L69" s="35" t="s">
        <v>71</v>
      </c>
      <c r="M69" s="35" t="s">
        <v>434</v>
      </c>
      <c r="N69" s="51" t="s">
        <v>435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">
        <v>64.0</v>
      </c>
      <c r="B70" s="35" t="s">
        <v>436</v>
      </c>
      <c r="C70" s="35" t="s">
        <v>437</v>
      </c>
      <c r="D70" s="35" t="s">
        <v>438</v>
      </c>
      <c r="E70" s="35" t="s">
        <v>439</v>
      </c>
      <c r="F70" s="35" t="s">
        <v>440</v>
      </c>
      <c r="G70" s="36" t="s">
        <v>441</v>
      </c>
      <c r="H70" s="4"/>
      <c r="I70" s="35" t="s">
        <v>442</v>
      </c>
      <c r="J70" s="35" t="s">
        <v>221</v>
      </c>
      <c r="K70" s="35" t="s">
        <v>443</v>
      </c>
      <c r="L70" s="35" t="s">
        <v>71</v>
      </c>
      <c r="M70" s="35" t="s">
        <v>444</v>
      </c>
      <c r="N70" s="51">
        <v>45964.0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">
        <v>65.0</v>
      </c>
      <c r="B71" s="35" t="s">
        <v>445</v>
      </c>
      <c r="C71" s="35" t="s">
        <v>446</v>
      </c>
      <c r="D71" s="35" t="s">
        <v>447</v>
      </c>
      <c r="E71" s="35" t="s">
        <v>448</v>
      </c>
      <c r="F71" s="35" t="s">
        <v>449</v>
      </c>
      <c r="G71" s="35" t="s">
        <v>450</v>
      </c>
      <c r="H71" s="4"/>
      <c r="I71" s="35" t="s">
        <v>451</v>
      </c>
      <c r="J71" s="35" t="s">
        <v>221</v>
      </c>
      <c r="K71" s="35" t="s">
        <v>452</v>
      </c>
      <c r="L71" s="35" t="s">
        <v>99</v>
      </c>
      <c r="M71" s="35" t="s">
        <v>444</v>
      </c>
      <c r="N71" s="51">
        <v>45952.0</v>
      </c>
      <c r="O71" s="35" t="s">
        <v>179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">
        <v>66.0</v>
      </c>
      <c r="B72" s="35" t="s">
        <v>453</v>
      </c>
      <c r="C72" s="35" t="s">
        <v>454</v>
      </c>
      <c r="D72" s="35" t="s">
        <v>455</v>
      </c>
      <c r="E72" s="35" t="s">
        <v>456</v>
      </c>
      <c r="F72" s="35" t="s">
        <v>141</v>
      </c>
      <c r="G72" s="36" t="s">
        <v>457</v>
      </c>
      <c r="H72" s="4"/>
      <c r="I72" s="35" t="s">
        <v>458</v>
      </c>
      <c r="J72" s="35" t="s">
        <v>221</v>
      </c>
      <c r="K72" s="35" t="s">
        <v>459</v>
      </c>
      <c r="L72" s="35" t="s">
        <v>99</v>
      </c>
      <c r="M72" s="35" t="s">
        <v>325</v>
      </c>
      <c r="N72" s="41">
        <v>45908.0</v>
      </c>
      <c r="O72" s="35" t="s">
        <v>179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">
        <v>67.0</v>
      </c>
      <c r="B73" s="35" t="s">
        <v>460</v>
      </c>
      <c r="C73" s="35" t="s">
        <v>461</v>
      </c>
      <c r="D73" s="35" t="s">
        <v>462</v>
      </c>
      <c r="E73" s="35" t="s">
        <v>463</v>
      </c>
      <c r="F73" s="35" t="s">
        <v>464</v>
      </c>
      <c r="G73" s="36" t="s">
        <v>465</v>
      </c>
      <c r="H73" s="4"/>
      <c r="I73" s="35" t="s">
        <v>466</v>
      </c>
      <c r="J73" s="42" t="s">
        <v>221</v>
      </c>
      <c r="K73" s="35" t="s">
        <v>467</v>
      </c>
      <c r="L73" s="35" t="s">
        <v>71</v>
      </c>
      <c r="M73" s="35" t="s">
        <v>376</v>
      </c>
      <c r="N73" s="35" t="s">
        <v>141</v>
      </c>
      <c r="O73" s="35" t="s">
        <v>186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">
        <v>68.0</v>
      </c>
      <c r="B74" s="35" t="s">
        <v>468</v>
      </c>
      <c r="C74" s="35" t="s">
        <v>141</v>
      </c>
      <c r="D74" s="35" t="s">
        <v>469</v>
      </c>
      <c r="E74" s="35" t="s">
        <v>470</v>
      </c>
      <c r="F74" s="35" t="s">
        <v>141</v>
      </c>
      <c r="G74" s="3"/>
      <c r="H74" s="4"/>
      <c r="I74" s="35" t="s">
        <v>471</v>
      </c>
      <c r="J74" s="35" t="s">
        <v>221</v>
      </c>
      <c r="K74" s="35" t="s">
        <v>472</v>
      </c>
      <c r="L74" s="35" t="s">
        <v>99</v>
      </c>
      <c r="M74" s="35" t="s">
        <v>248</v>
      </c>
      <c r="N74" s="35" t="s">
        <v>141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">
        <v>69.0</v>
      </c>
      <c r="B75" s="35" t="s">
        <v>473</v>
      </c>
      <c r="C75" s="35" t="s">
        <v>474</v>
      </c>
      <c r="D75" s="35" t="s">
        <v>475</v>
      </c>
      <c r="E75" s="35" t="s">
        <v>476</v>
      </c>
      <c r="F75" s="35" t="s">
        <v>141</v>
      </c>
      <c r="G75" s="36" t="s">
        <v>477</v>
      </c>
      <c r="H75" s="4"/>
      <c r="I75" s="35" t="s">
        <v>478</v>
      </c>
      <c r="J75" s="35" t="s">
        <v>221</v>
      </c>
      <c r="K75" s="35" t="s">
        <v>472</v>
      </c>
      <c r="L75" s="35" t="s">
        <v>99</v>
      </c>
      <c r="M75" s="35" t="s">
        <v>162</v>
      </c>
      <c r="N75" s="41">
        <v>45772.0</v>
      </c>
      <c r="O75" s="35" t="s">
        <v>479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">
        <v>70.0</v>
      </c>
      <c r="B76" s="35" t="s">
        <v>480</v>
      </c>
      <c r="C76" s="35" t="s">
        <v>141</v>
      </c>
      <c r="D76" s="35" t="s">
        <v>481</v>
      </c>
      <c r="E76" s="35" t="s">
        <v>482</v>
      </c>
      <c r="F76" s="35" t="s">
        <v>141</v>
      </c>
      <c r="G76" s="36" t="s">
        <v>141</v>
      </c>
      <c r="H76" s="4"/>
      <c r="I76" s="35" t="s">
        <v>483</v>
      </c>
      <c r="J76" s="35" t="s">
        <v>221</v>
      </c>
      <c r="K76" s="35" t="s">
        <v>484</v>
      </c>
      <c r="L76" s="35" t="s">
        <v>71</v>
      </c>
      <c r="M76" s="35" t="s">
        <v>304</v>
      </c>
      <c r="N76" s="41">
        <v>45766.0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">
        <v>71.0</v>
      </c>
      <c r="B77" s="35" t="s">
        <v>485</v>
      </c>
      <c r="C77" s="35" t="s">
        <v>486</v>
      </c>
      <c r="D77" s="35" t="s">
        <v>487</v>
      </c>
      <c r="E77" s="35" t="s">
        <v>488</v>
      </c>
      <c r="F77" s="35" t="s">
        <v>489</v>
      </c>
      <c r="G77" s="36" t="s">
        <v>486</v>
      </c>
      <c r="H77" s="4"/>
      <c r="I77" s="35" t="s">
        <v>490</v>
      </c>
      <c r="J77" s="35" t="s">
        <v>221</v>
      </c>
      <c r="K77" s="35" t="s">
        <v>443</v>
      </c>
      <c r="L77" s="35" t="s">
        <v>71</v>
      </c>
      <c r="M77" s="35" t="s">
        <v>325</v>
      </c>
      <c r="N77" s="35" t="s">
        <v>141</v>
      </c>
      <c r="O77" s="35" t="s">
        <v>491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">
        <v>72.0</v>
      </c>
      <c r="B78" s="35" t="s">
        <v>492</v>
      </c>
      <c r="C78" s="35" t="s">
        <v>141</v>
      </c>
      <c r="D78" s="35" t="s">
        <v>141</v>
      </c>
      <c r="E78" s="35" t="s">
        <v>493</v>
      </c>
      <c r="F78" s="35" t="s">
        <v>141</v>
      </c>
      <c r="G78" s="35" t="s">
        <v>494</v>
      </c>
      <c r="H78" s="4"/>
      <c r="I78" s="35" t="s">
        <v>495</v>
      </c>
      <c r="J78" s="35" t="s">
        <v>221</v>
      </c>
      <c r="K78" s="35" t="s">
        <v>496</v>
      </c>
      <c r="L78" s="35" t="s">
        <v>71</v>
      </c>
      <c r="M78" s="35" t="s">
        <v>353</v>
      </c>
      <c r="N78" s="51">
        <v>44107.0</v>
      </c>
      <c r="O78" s="35" t="s">
        <v>163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">
        <v>73.0</v>
      </c>
      <c r="B79" s="35" t="s">
        <v>497</v>
      </c>
      <c r="C79" s="35" t="s">
        <v>498</v>
      </c>
      <c r="D79" s="35" t="s">
        <v>141</v>
      </c>
      <c r="E79" s="35" t="s">
        <v>499</v>
      </c>
      <c r="F79" s="35" t="s">
        <v>500</v>
      </c>
      <c r="G79" s="36" t="s">
        <v>141</v>
      </c>
      <c r="H79" s="4"/>
      <c r="I79" s="35" t="s">
        <v>501</v>
      </c>
      <c r="J79" s="35" t="s">
        <v>221</v>
      </c>
      <c r="K79" s="35" t="s">
        <v>95</v>
      </c>
      <c r="L79" s="35" t="s">
        <v>99</v>
      </c>
      <c r="M79" s="35" t="s">
        <v>141</v>
      </c>
      <c r="N79" s="35" t="s">
        <v>141</v>
      </c>
      <c r="O79" s="35" t="s">
        <v>479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">
        <v>74.0</v>
      </c>
      <c r="B80" s="35" t="s">
        <v>502</v>
      </c>
      <c r="C80" s="35" t="s">
        <v>503</v>
      </c>
      <c r="D80" s="35" t="s">
        <v>141</v>
      </c>
      <c r="E80" s="35" t="s">
        <v>504</v>
      </c>
      <c r="F80" s="35" t="s">
        <v>141</v>
      </c>
      <c r="G80" s="35" t="s">
        <v>505</v>
      </c>
      <c r="H80" s="4"/>
      <c r="I80" s="35" t="s">
        <v>506</v>
      </c>
      <c r="J80" s="35" t="s">
        <v>221</v>
      </c>
      <c r="K80" s="35" t="s">
        <v>507</v>
      </c>
      <c r="L80" s="35" t="s">
        <v>99</v>
      </c>
      <c r="M80" s="35" t="s">
        <v>242</v>
      </c>
      <c r="N80" s="51">
        <v>45639.0</v>
      </c>
      <c r="O80" s="35" t="s">
        <v>508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">
        <v>75.0</v>
      </c>
      <c r="B81" s="35" t="s">
        <v>509</v>
      </c>
      <c r="C81" s="35" t="s">
        <v>510</v>
      </c>
      <c r="D81" s="35" t="s">
        <v>511</v>
      </c>
      <c r="E81" s="35" t="s">
        <v>512</v>
      </c>
      <c r="F81" s="35" t="s">
        <v>513</v>
      </c>
      <c r="G81" s="36" t="s">
        <v>514</v>
      </c>
      <c r="H81" s="4"/>
      <c r="I81" s="35" t="s">
        <v>515</v>
      </c>
      <c r="J81" s="35" t="s">
        <v>221</v>
      </c>
      <c r="K81" s="35" t="s">
        <v>484</v>
      </c>
      <c r="L81" s="35" t="s">
        <v>71</v>
      </c>
      <c r="M81" s="35" t="s">
        <v>248</v>
      </c>
      <c r="N81" s="41">
        <v>45841.0</v>
      </c>
      <c r="O81" s="35" t="s">
        <v>179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">
        <v>76.0</v>
      </c>
      <c r="B82" s="35" t="s">
        <v>516</v>
      </c>
      <c r="C82" s="35" t="s">
        <v>517</v>
      </c>
      <c r="D82" s="35" t="s">
        <v>518</v>
      </c>
      <c r="E82" s="35" t="s">
        <v>519</v>
      </c>
      <c r="F82" s="35" t="s">
        <v>141</v>
      </c>
      <c r="G82" s="36" t="s">
        <v>520</v>
      </c>
      <c r="H82" s="4"/>
      <c r="I82" s="35" t="s">
        <v>521</v>
      </c>
      <c r="J82" s="35" t="s">
        <v>221</v>
      </c>
      <c r="K82" s="35" t="s">
        <v>522</v>
      </c>
      <c r="L82" s="35" t="s">
        <v>99</v>
      </c>
      <c r="M82" s="35" t="s">
        <v>523</v>
      </c>
      <c r="N82" s="41">
        <v>45740.0</v>
      </c>
      <c r="O82" s="35" t="s">
        <v>524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">
        <v>77.0</v>
      </c>
      <c r="B83" s="35" t="s">
        <v>525</v>
      </c>
      <c r="C83" s="35" t="s">
        <v>526</v>
      </c>
      <c r="D83" s="35" t="s">
        <v>141</v>
      </c>
      <c r="E83" s="35" t="s">
        <v>527</v>
      </c>
      <c r="F83" s="35" t="s">
        <v>141</v>
      </c>
      <c r="G83" s="36" t="s">
        <v>141</v>
      </c>
      <c r="H83" s="4"/>
      <c r="I83" s="35" t="s">
        <v>528</v>
      </c>
      <c r="J83" s="35" t="s">
        <v>221</v>
      </c>
      <c r="K83" s="35" t="s">
        <v>529</v>
      </c>
      <c r="L83" s="35" t="s">
        <v>71</v>
      </c>
      <c r="M83" s="35" t="s">
        <v>319</v>
      </c>
      <c r="N83" s="35" t="s">
        <v>141</v>
      </c>
      <c r="O83" s="35" t="s">
        <v>524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">
        <v>78.0</v>
      </c>
      <c r="B84" s="35" t="s">
        <v>530</v>
      </c>
      <c r="C84" s="35" t="s">
        <v>531</v>
      </c>
      <c r="D84" s="35" t="s">
        <v>532</v>
      </c>
      <c r="E84" s="35" t="s">
        <v>168</v>
      </c>
      <c r="F84" s="35" t="s">
        <v>141</v>
      </c>
      <c r="G84" s="36" t="s">
        <v>169</v>
      </c>
      <c r="H84" s="4"/>
      <c r="I84" s="35" t="s">
        <v>533</v>
      </c>
      <c r="J84" s="35" t="s">
        <v>221</v>
      </c>
      <c r="K84" s="35" t="s">
        <v>95</v>
      </c>
      <c r="L84" s="35" t="s">
        <v>99</v>
      </c>
      <c r="M84" s="35" t="s">
        <v>272</v>
      </c>
      <c r="N84" s="41">
        <v>45909.0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">
        <v>79.0</v>
      </c>
      <c r="B85" s="35" t="s">
        <v>534</v>
      </c>
      <c r="C85" s="35" t="s">
        <v>535</v>
      </c>
      <c r="D85" s="35" t="s">
        <v>536</v>
      </c>
      <c r="E85" s="35" t="s">
        <v>537</v>
      </c>
      <c r="F85" s="35" t="s">
        <v>538</v>
      </c>
      <c r="G85" s="36" t="s">
        <v>141</v>
      </c>
      <c r="H85" s="4"/>
      <c r="I85" s="35" t="s">
        <v>539</v>
      </c>
      <c r="J85" s="35" t="s">
        <v>221</v>
      </c>
      <c r="K85" s="35" t="s">
        <v>540</v>
      </c>
      <c r="L85" s="35" t="s">
        <v>99</v>
      </c>
      <c r="M85" s="35" t="s">
        <v>541</v>
      </c>
      <c r="N85" s="41">
        <v>45879.0</v>
      </c>
      <c r="O85" s="35" t="s">
        <v>508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">
        <v>80.0</v>
      </c>
      <c r="B86" s="35" t="s">
        <v>542</v>
      </c>
      <c r="C86" s="35" t="s">
        <v>543</v>
      </c>
      <c r="D86" s="35">
        <v>2.2300221409E10</v>
      </c>
      <c r="E86" s="35" t="s">
        <v>544</v>
      </c>
      <c r="F86" s="35" t="s">
        <v>141</v>
      </c>
      <c r="G86" s="36" t="s">
        <v>545</v>
      </c>
      <c r="H86" s="4"/>
      <c r="I86" s="35" t="s">
        <v>546</v>
      </c>
      <c r="J86" s="35" t="s">
        <v>221</v>
      </c>
      <c r="K86" s="35" t="s">
        <v>529</v>
      </c>
      <c r="L86" s="35" t="s">
        <v>71</v>
      </c>
      <c r="M86" s="35" t="s">
        <v>547</v>
      </c>
      <c r="N86" s="41">
        <v>45696.0</v>
      </c>
      <c r="O86" s="35" t="s">
        <v>179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">
        <v>81.0</v>
      </c>
      <c r="B87" s="35" t="s">
        <v>548</v>
      </c>
      <c r="C87" s="35" t="s">
        <v>549</v>
      </c>
      <c r="D87" s="35" t="s">
        <v>550</v>
      </c>
      <c r="E87" s="35" t="s">
        <v>551</v>
      </c>
      <c r="F87" s="35" t="s">
        <v>552</v>
      </c>
      <c r="G87" s="36" t="s">
        <v>553</v>
      </c>
      <c r="H87" s="4"/>
      <c r="I87" s="35" t="s">
        <v>554</v>
      </c>
      <c r="J87" s="35" t="s">
        <v>221</v>
      </c>
      <c r="K87" s="35" t="s">
        <v>185</v>
      </c>
      <c r="L87" s="35" t="s">
        <v>99</v>
      </c>
      <c r="M87" s="35" t="s">
        <v>555</v>
      </c>
      <c r="N87" s="41">
        <v>43572.0</v>
      </c>
      <c r="O87" s="35" t="s">
        <v>556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">
        <v>82.0</v>
      </c>
      <c r="B88" s="35" t="s">
        <v>557</v>
      </c>
      <c r="C88" s="35" t="s">
        <v>558</v>
      </c>
      <c r="D88" s="35" t="s">
        <v>559</v>
      </c>
      <c r="E88" s="35" t="s">
        <v>560</v>
      </c>
      <c r="F88" s="35" t="s">
        <v>561</v>
      </c>
      <c r="G88" s="36" t="s">
        <v>562</v>
      </c>
      <c r="H88" s="4"/>
      <c r="I88" s="35" t="s">
        <v>563</v>
      </c>
      <c r="J88" s="35" t="s">
        <v>221</v>
      </c>
      <c r="K88" s="35" t="s">
        <v>185</v>
      </c>
      <c r="L88" s="35" t="s">
        <v>99</v>
      </c>
      <c r="M88" s="35" t="s">
        <v>242</v>
      </c>
      <c r="N88" s="35" t="s">
        <v>141</v>
      </c>
      <c r="O88" s="35" t="s">
        <v>508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">
        <v>83.0</v>
      </c>
      <c r="B89" s="35" t="s">
        <v>564</v>
      </c>
      <c r="C89" s="35" t="s">
        <v>565</v>
      </c>
      <c r="D89" s="35" t="s">
        <v>566</v>
      </c>
      <c r="E89" s="35" t="s">
        <v>567</v>
      </c>
      <c r="F89" s="35" t="s">
        <v>568</v>
      </c>
      <c r="G89" s="36" t="s">
        <v>569</v>
      </c>
      <c r="H89" s="4"/>
      <c r="I89" s="35" t="s">
        <v>570</v>
      </c>
      <c r="J89" s="35" t="s">
        <v>571</v>
      </c>
      <c r="K89" s="35" t="s">
        <v>472</v>
      </c>
      <c r="L89" s="35" t="s">
        <v>71</v>
      </c>
      <c r="M89" s="35" t="s">
        <v>319</v>
      </c>
      <c r="N89" s="41">
        <v>45081.0</v>
      </c>
      <c r="O89" s="35" t="s">
        <v>163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">
        <v>84.0</v>
      </c>
      <c r="B90" s="35" t="s">
        <v>572</v>
      </c>
      <c r="C90" s="35" t="s">
        <v>573</v>
      </c>
      <c r="D90" s="35" t="s">
        <v>574</v>
      </c>
      <c r="E90" s="35" t="s">
        <v>575</v>
      </c>
      <c r="F90" s="35" t="s">
        <v>141</v>
      </c>
      <c r="G90" s="36" t="s">
        <v>576</v>
      </c>
      <c r="H90" s="4"/>
      <c r="I90" s="35" t="s">
        <v>577</v>
      </c>
      <c r="J90" s="35" t="s">
        <v>571</v>
      </c>
      <c r="K90" s="35" t="s">
        <v>484</v>
      </c>
      <c r="L90" s="35" t="s">
        <v>71</v>
      </c>
      <c r="M90" s="35" t="s">
        <v>304</v>
      </c>
      <c r="N90" s="35" t="s">
        <v>141</v>
      </c>
      <c r="O90" s="35" t="s">
        <v>578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47">
        <v>85.0</v>
      </c>
      <c r="B91" s="48" t="s">
        <v>579</v>
      </c>
      <c r="C91" s="48" t="s">
        <v>580</v>
      </c>
      <c r="D91" s="48" t="s">
        <v>581</v>
      </c>
      <c r="E91" s="48" t="s">
        <v>582</v>
      </c>
      <c r="F91" s="48" t="s">
        <v>583</v>
      </c>
      <c r="G91" s="44" t="s">
        <v>584</v>
      </c>
      <c r="H91" s="4"/>
      <c r="I91" s="35" t="s">
        <v>585</v>
      </c>
      <c r="J91" s="35" t="s">
        <v>571</v>
      </c>
      <c r="K91" s="35" t="s">
        <v>529</v>
      </c>
      <c r="L91" s="35" t="s">
        <v>71</v>
      </c>
      <c r="M91" s="35">
        <v>6.0</v>
      </c>
      <c r="N91" s="35" t="s">
        <v>141</v>
      </c>
      <c r="O91" s="35" t="s">
        <v>586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H92" s="4"/>
      <c r="I92" s="35" t="s">
        <v>587</v>
      </c>
      <c r="J92" s="35" t="s">
        <v>571</v>
      </c>
      <c r="K92" s="35" t="s">
        <v>529</v>
      </c>
      <c r="L92" s="35" t="s">
        <v>99</v>
      </c>
      <c r="M92" s="35" t="s">
        <v>162</v>
      </c>
      <c r="N92" s="35" t="s">
        <v>141</v>
      </c>
      <c r="O92" s="35" t="s">
        <v>479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47">
        <v>86.0</v>
      </c>
      <c r="B93" s="48" t="s">
        <v>588</v>
      </c>
      <c r="C93" s="48" t="s">
        <v>141</v>
      </c>
      <c r="D93" s="48" t="s">
        <v>589</v>
      </c>
      <c r="E93" s="48" t="s">
        <v>590</v>
      </c>
      <c r="F93" s="48" t="s">
        <v>591</v>
      </c>
      <c r="G93" s="44" t="s">
        <v>592</v>
      </c>
      <c r="H93" s="4"/>
      <c r="I93" s="35" t="s">
        <v>593</v>
      </c>
      <c r="J93" s="35" t="s">
        <v>571</v>
      </c>
      <c r="K93" s="35" t="s">
        <v>594</v>
      </c>
      <c r="L93" s="35" t="s">
        <v>71</v>
      </c>
      <c r="M93" s="35" t="s">
        <v>353</v>
      </c>
      <c r="N93" s="35" t="s">
        <v>141</v>
      </c>
      <c r="O93" s="35" t="s">
        <v>141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H94" s="4"/>
      <c r="I94" s="35" t="s">
        <v>595</v>
      </c>
      <c r="J94" s="35" t="s">
        <v>571</v>
      </c>
      <c r="K94" s="35" t="s">
        <v>80</v>
      </c>
      <c r="L94" s="35" t="s">
        <v>99</v>
      </c>
      <c r="M94" s="35" t="s">
        <v>596</v>
      </c>
      <c r="N94" s="35" t="s">
        <v>141</v>
      </c>
      <c r="O94" s="35" t="s">
        <v>141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">
        <v>87.0</v>
      </c>
      <c r="B95" s="35" t="s">
        <v>597</v>
      </c>
      <c r="C95" s="35" t="s">
        <v>598</v>
      </c>
      <c r="D95" s="35" t="s">
        <v>599</v>
      </c>
      <c r="E95" s="35" t="s">
        <v>600</v>
      </c>
      <c r="F95" s="35" t="s">
        <v>141</v>
      </c>
      <c r="G95" s="36" t="s">
        <v>601</v>
      </c>
      <c r="H95" s="4"/>
      <c r="I95" s="35" t="s">
        <v>602</v>
      </c>
      <c r="J95" s="35" t="s">
        <v>571</v>
      </c>
      <c r="K95" s="35" t="s">
        <v>603</v>
      </c>
      <c r="L95" s="35" t="s">
        <v>99</v>
      </c>
      <c r="M95" s="35" t="s">
        <v>297</v>
      </c>
      <c r="N95" s="51">
        <v>44521.0</v>
      </c>
      <c r="O95" s="35" t="s">
        <v>141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">
        <v>88.0</v>
      </c>
      <c r="B96" s="35" t="s">
        <v>604</v>
      </c>
      <c r="C96" s="35" t="s">
        <v>141</v>
      </c>
      <c r="D96" s="35" t="s">
        <v>605</v>
      </c>
      <c r="E96" s="35" t="s">
        <v>606</v>
      </c>
      <c r="F96" s="35" t="s">
        <v>141</v>
      </c>
      <c r="G96" s="36" t="s">
        <v>607</v>
      </c>
      <c r="H96" s="4"/>
      <c r="I96" s="35" t="s">
        <v>608</v>
      </c>
      <c r="J96" s="35" t="s">
        <v>571</v>
      </c>
      <c r="K96" s="35" t="s">
        <v>529</v>
      </c>
      <c r="L96" s="35" t="s">
        <v>99</v>
      </c>
      <c r="M96" s="35" t="s">
        <v>325</v>
      </c>
      <c r="N96" s="51">
        <v>45972.0</v>
      </c>
      <c r="O96" s="35" t="s">
        <v>609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">
        <v>89.0</v>
      </c>
      <c r="B97" s="35" t="s">
        <v>610</v>
      </c>
      <c r="C97" s="35" t="s">
        <v>611</v>
      </c>
      <c r="D97" s="35" t="s">
        <v>612</v>
      </c>
      <c r="E97" s="35" t="s">
        <v>141</v>
      </c>
      <c r="F97" s="35" t="s">
        <v>141</v>
      </c>
      <c r="G97" s="36" t="s">
        <v>141</v>
      </c>
      <c r="H97" s="4"/>
      <c r="I97" s="35" t="s">
        <v>613</v>
      </c>
      <c r="J97" s="35" t="s">
        <v>614</v>
      </c>
      <c r="K97" s="35" t="s">
        <v>141</v>
      </c>
      <c r="L97" s="35" t="s">
        <v>71</v>
      </c>
      <c r="M97" s="35" t="s">
        <v>141</v>
      </c>
      <c r="N97" s="35" t="s">
        <v>141</v>
      </c>
      <c r="O97" s="35" t="s">
        <v>479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">
        <v>90.0</v>
      </c>
      <c r="B98" s="35" t="s">
        <v>615</v>
      </c>
      <c r="C98" s="35" t="s">
        <v>616</v>
      </c>
      <c r="D98" s="35" t="s">
        <v>617</v>
      </c>
      <c r="E98" s="35" t="s">
        <v>618</v>
      </c>
      <c r="F98" s="35" t="s">
        <v>619</v>
      </c>
      <c r="G98" s="36" t="s">
        <v>620</v>
      </c>
      <c r="H98" s="4"/>
      <c r="I98" s="35" t="s">
        <v>621</v>
      </c>
      <c r="J98" s="35" t="s">
        <v>571</v>
      </c>
      <c r="K98" s="35" t="s">
        <v>472</v>
      </c>
      <c r="L98" s="35" t="s">
        <v>99</v>
      </c>
      <c r="M98" s="35" t="s">
        <v>297</v>
      </c>
      <c r="N98" s="41">
        <v>44317.0</v>
      </c>
      <c r="O98" s="35" t="s">
        <v>622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">
        <v>91.0</v>
      </c>
      <c r="B99" s="35" t="s">
        <v>623</v>
      </c>
      <c r="C99" s="35" t="s">
        <v>624</v>
      </c>
      <c r="D99" s="35" t="s">
        <v>625</v>
      </c>
      <c r="E99" s="35" t="s">
        <v>626</v>
      </c>
      <c r="F99" s="35" t="s">
        <v>141</v>
      </c>
      <c r="G99" s="36" t="s">
        <v>627</v>
      </c>
      <c r="H99" s="4"/>
      <c r="I99" s="35" t="s">
        <v>628</v>
      </c>
      <c r="J99" s="35" t="s">
        <v>571</v>
      </c>
      <c r="K99" s="35" t="s">
        <v>629</v>
      </c>
      <c r="L99" s="35" t="s">
        <v>71</v>
      </c>
      <c r="M99" s="35" t="s">
        <v>242</v>
      </c>
      <c r="N99" s="52">
        <v>45292.0</v>
      </c>
      <c r="O99" s="35" t="s">
        <v>163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">
        <v>92.0</v>
      </c>
      <c r="B100" s="35" t="s">
        <v>630</v>
      </c>
      <c r="C100" s="35" t="s">
        <v>631</v>
      </c>
      <c r="D100" s="35" t="s">
        <v>632</v>
      </c>
      <c r="E100" s="35" t="s">
        <v>633</v>
      </c>
      <c r="F100" s="35" t="s">
        <v>141</v>
      </c>
      <c r="G100" s="36" t="s">
        <v>141</v>
      </c>
      <c r="H100" s="4"/>
      <c r="I100" s="35" t="s">
        <v>634</v>
      </c>
      <c r="J100" s="35" t="s">
        <v>571</v>
      </c>
      <c r="K100" s="35" t="s">
        <v>529</v>
      </c>
      <c r="L100" s="35" t="s">
        <v>99</v>
      </c>
      <c r="M100" s="35" t="s">
        <v>141</v>
      </c>
      <c r="N100" s="35" t="s">
        <v>141</v>
      </c>
      <c r="O100" s="35" t="s">
        <v>163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">
        <v>93.0</v>
      </c>
      <c r="B101" s="35" t="s">
        <v>635</v>
      </c>
      <c r="C101" s="35" t="s">
        <v>636</v>
      </c>
      <c r="D101" s="35" t="s">
        <v>637</v>
      </c>
      <c r="E101" s="35" t="s">
        <v>638</v>
      </c>
      <c r="F101" s="35" t="s">
        <v>141</v>
      </c>
      <c r="G101" s="36" t="s">
        <v>639</v>
      </c>
      <c r="H101" s="4"/>
      <c r="I101" s="35" t="s">
        <v>640</v>
      </c>
      <c r="J101" s="35" t="s">
        <v>571</v>
      </c>
      <c r="K101" s="35" t="s">
        <v>529</v>
      </c>
      <c r="L101" s="35" t="s">
        <v>141</v>
      </c>
      <c r="M101" s="35" t="s">
        <v>272</v>
      </c>
      <c r="N101" s="2"/>
      <c r="O101" s="35" t="s">
        <v>641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">
        <v>94.0</v>
      </c>
      <c r="B102" s="35" t="s">
        <v>642</v>
      </c>
      <c r="C102" s="35" t="s">
        <v>141</v>
      </c>
      <c r="D102" s="35" t="s">
        <v>141</v>
      </c>
      <c r="E102" s="35" t="s">
        <v>643</v>
      </c>
      <c r="F102" s="35" t="s">
        <v>141</v>
      </c>
      <c r="G102" s="36" t="s">
        <v>644</v>
      </c>
      <c r="H102" s="4"/>
      <c r="I102" s="35" t="s">
        <v>645</v>
      </c>
      <c r="J102" s="35" t="s">
        <v>571</v>
      </c>
      <c r="K102" s="35" t="s">
        <v>646</v>
      </c>
      <c r="L102" s="35" t="s">
        <v>99</v>
      </c>
      <c r="M102" s="35" t="s">
        <v>242</v>
      </c>
      <c r="N102" s="35" t="s">
        <v>647</v>
      </c>
      <c r="O102" s="35" t="s">
        <v>648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">
        <v>95.0</v>
      </c>
      <c r="B103" s="35" t="s">
        <v>649</v>
      </c>
      <c r="C103" s="35" t="s">
        <v>650</v>
      </c>
      <c r="D103" s="35" t="s">
        <v>651</v>
      </c>
      <c r="E103" s="35" t="s">
        <v>652</v>
      </c>
      <c r="F103" s="35" t="s">
        <v>653</v>
      </c>
      <c r="G103" s="36" t="s">
        <v>141</v>
      </c>
      <c r="H103" s="4"/>
      <c r="I103" s="35" t="s">
        <v>654</v>
      </c>
      <c r="J103" s="35" t="s">
        <v>614</v>
      </c>
      <c r="K103" s="35" t="s">
        <v>655</v>
      </c>
      <c r="L103" s="35" t="s">
        <v>99</v>
      </c>
      <c r="M103" s="35" t="s">
        <v>325</v>
      </c>
      <c r="N103" s="51">
        <v>45954.0</v>
      </c>
      <c r="O103" s="35" t="s">
        <v>656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">
        <v>96.0</v>
      </c>
      <c r="B104" s="35" t="s">
        <v>657</v>
      </c>
      <c r="C104" s="35" t="s">
        <v>558</v>
      </c>
      <c r="D104" s="35" t="s">
        <v>658</v>
      </c>
      <c r="E104" s="35" t="s">
        <v>659</v>
      </c>
      <c r="F104" s="35" t="s">
        <v>141</v>
      </c>
      <c r="G104" s="36" t="s">
        <v>660</v>
      </c>
      <c r="H104" s="4"/>
      <c r="I104" s="35" t="s">
        <v>661</v>
      </c>
      <c r="J104" s="35" t="s">
        <v>571</v>
      </c>
      <c r="K104" s="35" t="s">
        <v>95</v>
      </c>
      <c r="L104" s="35" t="s">
        <v>71</v>
      </c>
      <c r="M104" s="35" t="s">
        <v>242</v>
      </c>
      <c r="N104" s="35" t="s">
        <v>141</v>
      </c>
      <c r="O104" s="35" t="s">
        <v>578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">
        <v>97.0</v>
      </c>
      <c r="B105" s="35" t="s">
        <v>662</v>
      </c>
      <c r="C105" s="35" t="s">
        <v>663</v>
      </c>
      <c r="D105" s="35" t="s">
        <v>664</v>
      </c>
      <c r="E105" s="35" t="s">
        <v>665</v>
      </c>
      <c r="F105" s="35" t="s">
        <v>666</v>
      </c>
      <c r="G105" s="36" t="s">
        <v>667</v>
      </c>
      <c r="H105" s="4"/>
      <c r="I105" s="35" t="s">
        <v>668</v>
      </c>
      <c r="J105" s="35" t="s">
        <v>571</v>
      </c>
      <c r="K105" s="35" t="s">
        <v>80</v>
      </c>
      <c r="L105" s="35" t="s">
        <v>71</v>
      </c>
      <c r="M105" s="35" t="s">
        <v>242</v>
      </c>
      <c r="N105" s="41">
        <v>45429.0</v>
      </c>
      <c r="O105" s="35" t="s">
        <v>669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">
        <v>98.0</v>
      </c>
      <c r="B106" s="35" t="s">
        <v>670</v>
      </c>
      <c r="C106" s="35" t="s">
        <v>671</v>
      </c>
      <c r="D106" s="35" t="s">
        <v>672</v>
      </c>
      <c r="E106" s="35" t="s">
        <v>673</v>
      </c>
      <c r="F106" s="35" t="s">
        <v>141</v>
      </c>
      <c r="G106" s="36" t="s">
        <v>674</v>
      </c>
      <c r="H106" s="4"/>
      <c r="I106" s="35" t="s">
        <v>675</v>
      </c>
      <c r="J106" s="35" t="s">
        <v>571</v>
      </c>
      <c r="K106" s="35" t="s">
        <v>529</v>
      </c>
      <c r="L106" s="35" t="s">
        <v>71</v>
      </c>
      <c r="M106" s="35" t="s">
        <v>141</v>
      </c>
      <c r="N106" s="35" t="s">
        <v>141</v>
      </c>
      <c r="O106" s="35" t="s">
        <v>676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">
        <v>99.0</v>
      </c>
      <c r="B107" s="35" t="s">
        <v>677</v>
      </c>
      <c r="C107" s="35" t="s">
        <v>678</v>
      </c>
      <c r="D107" s="35" t="s">
        <v>679</v>
      </c>
      <c r="E107" s="35" t="s">
        <v>680</v>
      </c>
      <c r="F107" s="35" t="s">
        <v>681</v>
      </c>
      <c r="G107" s="36" t="s">
        <v>141</v>
      </c>
      <c r="H107" s="4"/>
      <c r="I107" s="35" t="s">
        <v>682</v>
      </c>
      <c r="J107" s="35" t="s">
        <v>571</v>
      </c>
      <c r="K107" s="35" t="s">
        <v>529</v>
      </c>
      <c r="L107" s="35" t="s">
        <v>71</v>
      </c>
      <c r="M107" s="35" t="s">
        <v>152</v>
      </c>
      <c r="N107" s="41">
        <v>45759.0</v>
      </c>
      <c r="O107" s="35" t="s">
        <v>163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">
        <v>100.0</v>
      </c>
      <c r="B108" s="35" t="s">
        <v>683</v>
      </c>
      <c r="C108" s="35" t="s">
        <v>684</v>
      </c>
      <c r="D108" s="35" t="s">
        <v>685</v>
      </c>
      <c r="E108" s="35" t="s">
        <v>686</v>
      </c>
      <c r="F108" s="35" t="s">
        <v>687</v>
      </c>
      <c r="G108" s="36" t="s">
        <v>688</v>
      </c>
      <c r="H108" s="4"/>
      <c r="I108" s="35" t="s">
        <v>689</v>
      </c>
      <c r="J108" s="35" t="s">
        <v>571</v>
      </c>
      <c r="K108" s="35" t="s">
        <v>141</v>
      </c>
      <c r="L108" s="35" t="s">
        <v>99</v>
      </c>
      <c r="M108" s="35" t="s">
        <v>547</v>
      </c>
      <c r="N108" s="41">
        <v>45689.0</v>
      </c>
      <c r="O108" s="35" t="s">
        <v>690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">
        <v>101.0</v>
      </c>
      <c r="B109" s="35" t="s">
        <v>691</v>
      </c>
      <c r="C109" s="35" t="s">
        <v>692</v>
      </c>
      <c r="D109" s="35" t="s">
        <v>693</v>
      </c>
      <c r="E109" s="35" t="s">
        <v>694</v>
      </c>
      <c r="F109" s="35" t="s">
        <v>141</v>
      </c>
      <c r="G109" s="36" t="s">
        <v>141</v>
      </c>
      <c r="H109" s="4"/>
      <c r="I109" s="35" t="s">
        <v>695</v>
      </c>
      <c r="J109" s="35" t="s">
        <v>571</v>
      </c>
      <c r="K109" s="35" t="s">
        <v>529</v>
      </c>
      <c r="L109" s="35" t="s">
        <v>71</v>
      </c>
      <c r="M109" s="35" t="s">
        <v>696</v>
      </c>
      <c r="N109" s="41">
        <v>45529.0</v>
      </c>
      <c r="O109" s="35" t="s">
        <v>697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">
        <v>102.0</v>
      </c>
      <c r="B110" s="35" t="s">
        <v>698</v>
      </c>
      <c r="C110" s="35" t="s">
        <v>699</v>
      </c>
      <c r="D110" s="35" t="s">
        <v>700</v>
      </c>
      <c r="E110" s="35" t="s">
        <v>701</v>
      </c>
      <c r="F110" s="35" t="s">
        <v>141</v>
      </c>
      <c r="G110" s="36" t="s">
        <v>702</v>
      </c>
      <c r="H110" s="4"/>
      <c r="I110" s="35" t="s">
        <v>703</v>
      </c>
      <c r="J110" s="35" t="s">
        <v>571</v>
      </c>
      <c r="K110" s="35" t="s">
        <v>185</v>
      </c>
      <c r="L110" s="35" t="s">
        <v>71</v>
      </c>
      <c r="M110" s="35" t="s">
        <v>242</v>
      </c>
      <c r="N110" s="51">
        <v>45576.0</v>
      </c>
      <c r="O110" s="35" t="s">
        <v>704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">
        <v>103.0</v>
      </c>
      <c r="B111" s="35" t="s">
        <v>705</v>
      </c>
      <c r="C111" s="35" t="s">
        <v>706</v>
      </c>
      <c r="D111" s="35" t="s">
        <v>707</v>
      </c>
      <c r="E111" s="35" t="s">
        <v>708</v>
      </c>
      <c r="F111" s="35" t="s">
        <v>709</v>
      </c>
      <c r="G111" s="36" t="s">
        <v>710</v>
      </c>
      <c r="H111" s="4"/>
      <c r="I111" s="35" t="s">
        <v>711</v>
      </c>
      <c r="J111" s="35" t="s">
        <v>571</v>
      </c>
      <c r="K111" s="35" t="s">
        <v>95</v>
      </c>
      <c r="L111" s="35" t="s">
        <v>71</v>
      </c>
      <c r="M111" s="35" t="s">
        <v>319</v>
      </c>
      <c r="N111" s="41">
        <v>45047.0</v>
      </c>
      <c r="O111" s="35" t="s">
        <v>712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">
        <v>104.0</v>
      </c>
      <c r="B112" s="35" t="s">
        <v>713</v>
      </c>
      <c r="C112" s="35" t="s">
        <v>141</v>
      </c>
      <c r="D112" s="35" t="s">
        <v>714</v>
      </c>
      <c r="E112" s="35" t="s">
        <v>715</v>
      </c>
      <c r="F112" s="35" t="s">
        <v>141</v>
      </c>
      <c r="G112" s="36" t="s">
        <v>716</v>
      </c>
      <c r="H112" s="4"/>
      <c r="I112" s="35" t="s">
        <v>717</v>
      </c>
      <c r="J112" s="35" t="s">
        <v>571</v>
      </c>
      <c r="K112" s="35" t="s">
        <v>718</v>
      </c>
      <c r="L112" s="35" t="s">
        <v>99</v>
      </c>
      <c r="M112" s="35" t="s">
        <v>353</v>
      </c>
      <c r="N112" s="52">
        <v>43831.0</v>
      </c>
      <c r="O112" s="35" t="s">
        <v>719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">
        <v>105.0</v>
      </c>
      <c r="B113" s="35" t="s">
        <v>720</v>
      </c>
      <c r="C113" s="35" t="s">
        <v>721</v>
      </c>
      <c r="D113" s="35" t="s">
        <v>141</v>
      </c>
      <c r="E113" s="35" t="s">
        <v>397</v>
      </c>
      <c r="F113" s="35" t="s">
        <v>398</v>
      </c>
      <c r="G113" s="36" t="s">
        <v>722</v>
      </c>
      <c r="H113" s="4"/>
      <c r="I113" s="35" t="s">
        <v>723</v>
      </c>
      <c r="J113" s="35" t="s">
        <v>571</v>
      </c>
      <c r="K113" s="35" t="s">
        <v>401</v>
      </c>
      <c r="L113" s="35" t="s">
        <v>99</v>
      </c>
      <c r="M113" s="35" t="s">
        <v>325</v>
      </c>
      <c r="N113" s="41">
        <v>45861.0</v>
      </c>
      <c r="O113" s="35" t="s">
        <v>163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">
        <v>106.0</v>
      </c>
      <c r="B114" s="35" t="s">
        <v>724</v>
      </c>
      <c r="C114" s="35" t="s">
        <v>725</v>
      </c>
      <c r="D114" s="35" t="s">
        <v>726</v>
      </c>
      <c r="E114" s="35" t="s">
        <v>727</v>
      </c>
      <c r="F114" s="35" t="s">
        <v>728</v>
      </c>
      <c r="G114" s="36" t="s">
        <v>729</v>
      </c>
      <c r="H114" s="4"/>
      <c r="I114" s="35" t="s">
        <v>730</v>
      </c>
      <c r="J114" s="35" t="s">
        <v>571</v>
      </c>
      <c r="K114" s="35" t="s">
        <v>646</v>
      </c>
      <c r="L114" s="35" t="s">
        <v>71</v>
      </c>
      <c r="M114" s="35" t="s">
        <v>325</v>
      </c>
      <c r="N114" s="41">
        <v>45868.0</v>
      </c>
      <c r="O114" s="35" t="s">
        <v>163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">
        <v>107.0</v>
      </c>
      <c r="B115" s="48" t="s">
        <v>731</v>
      </c>
      <c r="C115" s="48" t="s">
        <v>732</v>
      </c>
      <c r="D115" s="48" t="s">
        <v>733</v>
      </c>
      <c r="E115" s="48" t="s">
        <v>734</v>
      </c>
      <c r="F115" s="48" t="s">
        <v>141</v>
      </c>
      <c r="G115" s="44" t="s">
        <v>735</v>
      </c>
      <c r="H115" s="4"/>
      <c r="I115" s="35" t="s">
        <v>736</v>
      </c>
      <c r="J115" s="35" t="s">
        <v>571</v>
      </c>
      <c r="K115" s="35" t="s">
        <v>352</v>
      </c>
      <c r="L115" s="35" t="s">
        <v>99</v>
      </c>
      <c r="M115" s="35" t="s">
        <v>319</v>
      </c>
      <c r="N115" s="50">
        <v>46009.0</v>
      </c>
      <c r="O115" s="35" t="s">
        <v>737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">
        <v>108.0</v>
      </c>
      <c r="H116" s="4"/>
      <c r="I116" s="35" t="s">
        <v>738</v>
      </c>
      <c r="J116" s="35" t="s">
        <v>571</v>
      </c>
      <c r="K116" s="35" t="s">
        <v>739</v>
      </c>
      <c r="L116" s="35" t="s">
        <v>99</v>
      </c>
      <c r="M116" s="35" t="s">
        <v>353</v>
      </c>
      <c r="N116" s="41">
        <v>43904.0</v>
      </c>
      <c r="O116" s="35" t="s">
        <v>524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">
        <v>109.0</v>
      </c>
      <c r="H117" s="4"/>
      <c r="I117" s="35" t="s">
        <v>740</v>
      </c>
      <c r="J117" s="35" t="s">
        <v>571</v>
      </c>
      <c r="K117" s="35" t="s">
        <v>352</v>
      </c>
      <c r="L117" s="35" t="s">
        <v>71</v>
      </c>
      <c r="M117" s="35" t="s">
        <v>297</v>
      </c>
      <c r="N117" s="41">
        <v>44317.0</v>
      </c>
      <c r="O117" s="35" t="s">
        <v>737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">
        <v>110.0</v>
      </c>
      <c r="B118" s="35" t="s">
        <v>741</v>
      </c>
      <c r="C118" s="35" t="s">
        <v>742</v>
      </c>
      <c r="D118" s="35" t="s">
        <v>743</v>
      </c>
      <c r="E118" s="35" t="s">
        <v>744</v>
      </c>
      <c r="F118" s="35" t="s">
        <v>141</v>
      </c>
      <c r="G118" s="36" t="s">
        <v>141</v>
      </c>
      <c r="H118" s="4"/>
      <c r="I118" s="35" t="s">
        <v>745</v>
      </c>
      <c r="J118" s="35" t="s">
        <v>571</v>
      </c>
      <c r="K118" s="35" t="s">
        <v>746</v>
      </c>
      <c r="L118" s="35" t="s">
        <v>71</v>
      </c>
      <c r="M118" s="35" t="s">
        <v>376</v>
      </c>
      <c r="N118" s="35" t="s">
        <v>141</v>
      </c>
      <c r="O118" s="35" t="s">
        <v>622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">
        <v>111.0</v>
      </c>
      <c r="B119" s="35" t="s">
        <v>747</v>
      </c>
      <c r="C119" s="35" t="s">
        <v>748</v>
      </c>
      <c r="D119" s="35" t="s">
        <v>749</v>
      </c>
      <c r="E119" s="35" t="s">
        <v>750</v>
      </c>
      <c r="F119" s="35" t="s">
        <v>751</v>
      </c>
      <c r="G119" s="36" t="s">
        <v>752</v>
      </c>
      <c r="H119" s="4"/>
      <c r="I119" s="35" t="s">
        <v>753</v>
      </c>
      <c r="J119" s="35" t="s">
        <v>571</v>
      </c>
      <c r="K119" s="35" t="s">
        <v>754</v>
      </c>
      <c r="L119" s="35" t="s">
        <v>99</v>
      </c>
      <c r="M119" s="35" t="s">
        <v>353</v>
      </c>
      <c r="N119" s="41">
        <v>43936.0</v>
      </c>
      <c r="O119" s="35" t="s">
        <v>556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">
        <v>112.0</v>
      </c>
      <c r="B120" s="35" t="s">
        <v>755</v>
      </c>
      <c r="C120" s="35" t="s">
        <v>756</v>
      </c>
      <c r="D120" s="35" t="s">
        <v>757</v>
      </c>
      <c r="E120" s="35" t="s">
        <v>758</v>
      </c>
      <c r="F120" s="35" t="s">
        <v>759</v>
      </c>
      <c r="G120" s="36" t="s">
        <v>760</v>
      </c>
      <c r="H120" s="4"/>
      <c r="I120" s="35" t="s">
        <v>761</v>
      </c>
      <c r="J120" s="35" t="s">
        <v>426</v>
      </c>
      <c r="K120" s="35" t="s">
        <v>141</v>
      </c>
      <c r="L120" s="35" t="s">
        <v>99</v>
      </c>
      <c r="M120" s="35" t="s">
        <v>325</v>
      </c>
      <c r="N120" s="51">
        <v>45947.0</v>
      </c>
      <c r="O120" s="35" t="s">
        <v>737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">
        <v>113.0</v>
      </c>
      <c r="B121" s="35" t="s">
        <v>762</v>
      </c>
      <c r="C121" s="35" t="s">
        <v>763</v>
      </c>
      <c r="D121" s="35" t="s">
        <v>764</v>
      </c>
      <c r="E121" s="35" t="s">
        <v>765</v>
      </c>
      <c r="F121" s="35" t="s">
        <v>423</v>
      </c>
      <c r="G121" s="36" t="s">
        <v>766</v>
      </c>
      <c r="H121" s="4"/>
      <c r="I121" s="35" t="s">
        <v>767</v>
      </c>
      <c r="J121" s="35" t="s">
        <v>571</v>
      </c>
      <c r="K121" s="35" t="s">
        <v>746</v>
      </c>
      <c r="L121" s="35" t="s">
        <v>71</v>
      </c>
      <c r="M121" s="35" t="s">
        <v>768</v>
      </c>
      <c r="N121" s="41">
        <v>41514.0</v>
      </c>
      <c r="O121" s="35" t="s">
        <v>141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">
        <v>114.0</v>
      </c>
      <c r="B122" s="35" t="s">
        <v>769</v>
      </c>
      <c r="C122" s="35" t="s">
        <v>141</v>
      </c>
      <c r="D122" s="35" t="s">
        <v>141</v>
      </c>
      <c r="E122" s="35" t="s">
        <v>114</v>
      </c>
      <c r="F122" s="35" t="s">
        <v>770</v>
      </c>
      <c r="G122" s="36" t="s">
        <v>771</v>
      </c>
      <c r="H122" s="4"/>
      <c r="I122" s="35" t="s">
        <v>772</v>
      </c>
      <c r="J122" s="35" t="s">
        <v>571</v>
      </c>
      <c r="K122" s="35" t="s">
        <v>141</v>
      </c>
      <c r="L122" s="35" t="s">
        <v>99</v>
      </c>
      <c r="M122" s="35" t="s">
        <v>272</v>
      </c>
      <c r="N122" s="41">
        <v>45890.0</v>
      </c>
      <c r="O122" s="35" t="s">
        <v>186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1">
        <v>115.0</v>
      </c>
      <c r="B123" s="35" t="s">
        <v>773</v>
      </c>
      <c r="C123" s="35" t="s">
        <v>774</v>
      </c>
      <c r="D123" s="35" t="s">
        <v>775</v>
      </c>
      <c r="E123" s="35" t="s">
        <v>343</v>
      </c>
      <c r="F123" s="35" t="s">
        <v>141</v>
      </c>
      <c r="G123" s="36" t="s">
        <v>776</v>
      </c>
      <c r="H123" s="4"/>
      <c r="I123" s="35" t="s">
        <v>777</v>
      </c>
      <c r="J123" s="35" t="s">
        <v>571</v>
      </c>
      <c r="K123" s="35" t="s">
        <v>141</v>
      </c>
      <c r="L123" s="35" t="s">
        <v>71</v>
      </c>
      <c r="M123" s="35" t="s">
        <v>141</v>
      </c>
      <c r="N123" s="35" t="s">
        <v>141</v>
      </c>
      <c r="O123" s="35" t="s">
        <v>479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1">
        <v>116.0</v>
      </c>
      <c r="B124" s="35" t="s">
        <v>778</v>
      </c>
      <c r="C124" s="35" t="s">
        <v>779</v>
      </c>
      <c r="D124" s="35" t="s">
        <v>780</v>
      </c>
      <c r="E124" s="35" t="s">
        <v>781</v>
      </c>
      <c r="F124" s="35" t="s">
        <v>782</v>
      </c>
      <c r="G124" s="36" t="s">
        <v>783</v>
      </c>
      <c r="H124" s="4"/>
      <c r="I124" s="35" t="s">
        <v>784</v>
      </c>
      <c r="J124" s="35" t="s">
        <v>571</v>
      </c>
      <c r="K124" s="35" t="s">
        <v>352</v>
      </c>
      <c r="L124" s="35" t="s">
        <v>99</v>
      </c>
      <c r="M124" s="35" t="s">
        <v>555</v>
      </c>
      <c r="N124" s="52">
        <v>43586.0</v>
      </c>
      <c r="O124" s="35" t="s">
        <v>179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1">
        <v>117.0</v>
      </c>
      <c r="B125" s="35" t="s">
        <v>785</v>
      </c>
      <c r="C125" s="35" t="s">
        <v>786</v>
      </c>
      <c r="D125" s="35" t="s">
        <v>787</v>
      </c>
      <c r="E125" s="35" t="s">
        <v>788</v>
      </c>
      <c r="F125" s="35" t="s">
        <v>789</v>
      </c>
      <c r="G125" s="36" t="s">
        <v>790</v>
      </c>
      <c r="H125" s="4"/>
      <c r="I125" s="35" t="s">
        <v>791</v>
      </c>
      <c r="J125" s="35" t="s">
        <v>571</v>
      </c>
      <c r="K125" s="35" t="s">
        <v>293</v>
      </c>
      <c r="L125" s="35" t="s">
        <v>71</v>
      </c>
      <c r="M125" s="35" t="s">
        <v>792</v>
      </c>
      <c r="N125" s="41">
        <v>40941.0</v>
      </c>
      <c r="O125" s="35" t="s">
        <v>163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1">
        <v>118.0</v>
      </c>
      <c r="B126" s="35" t="s">
        <v>793</v>
      </c>
      <c r="C126" s="35" t="s">
        <v>794</v>
      </c>
      <c r="D126" s="35" t="s">
        <v>795</v>
      </c>
      <c r="E126" s="35" t="s">
        <v>796</v>
      </c>
      <c r="F126" s="35" t="s">
        <v>141</v>
      </c>
      <c r="G126" s="36" t="s">
        <v>797</v>
      </c>
      <c r="H126" s="4"/>
      <c r="I126" s="35" t="s">
        <v>798</v>
      </c>
      <c r="J126" s="35" t="s">
        <v>426</v>
      </c>
      <c r="K126" s="35" t="s">
        <v>799</v>
      </c>
      <c r="L126" s="35" t="s">
        <v>71</v>
      </c>
      <c r="M126" s="35" t="s">
        <v>242</v>
      </c>
      <c r="N126" s="41">
        <v>45390.0</v>
      </c>
      <c r="O126" s="35" t="s">
        <v>141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47">
        <v>119.0</v>
      </c>
      <c r="B127" s="48" t="s">
        <v>800</v>
      </c>
      <c r="C127" s="48" t="s">
        <v>801</v>
      </c>
      <c r="D127" s="48" t="s">
        <v>802</v>
      </c>
      <c r="E127" s="48" t="s">
        <v>803</v>
      </c>
      <c r="F127" s="48" t="s">
        <v>804</v>
      </c>
      <c r="G127" s="44" t="s">
        <v>141</v>
      </c>
      <c r="H127" s="53"/>
      <c r="I127" s="48" t="s">
        <v>805</v>
      </c>
      <c r="J127" s="48" t="s">
        <v>221</v>
      </c>
      <c r="K127" s="48" t="s">
        <v>746</v>
      </c>
      <c r="L127" s="48" t="s">
        <v>71</v>
      </c>
      <c r="M127" s="48" t="s">
        <v>141</v>
      </c>
      <c r="N127" s="48" t="s">
        <v>141</v>
      </c>
      <c r="O127" s="48" t="s">
        <v>179</v>
      </c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>
      <c r="A128" s="47">
        <v>120.0</v>
      </c>
      <c r="H128" s="53"/>
      <c r="I128" s="48" t="s">
        <v>806</v>
      </c>
      <c r="J128" s="48" t="s">
        <v>221</v>
      </c>
      <c r="K128" s="48" t="s">
        <v>141</v>
      </c>
      <c r="L128" s="48" t="s">
        <v>99</v>
      </c>
      <c r="M128" s="48" t="s">
        <v>141</v>
      </c>
      <c r="N128" s="48" t="s">
        <v>141</v>
      </c>
      <c r="O128" s="48" t="s">
        <v>141</v>
      </c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>
      <c r="A129" s="1">
        <v>121.0</v>
      </c>
      <c r="B129" s="35" t="s">
        <v>807</v>
      </c>
      <c r="C129" s="35" t="s">
        <v>808</v>
      </c>
      <c r="D129" s="35" t="s">
        <v>809</v>
      </c>
      <c r="E129" s="35" t="s">
        <v>810</v>
      </c>
      <c r="F129" s="35" t="s">
        <v>811</v>
      </c>
      <c r="G129" s="36" t="s">
        <v>812</v>
      </c>
      <c r="H129" s="4"/>
      <c r="I129" s="35" t="s">
        <v>813</v>
      </c>
      <c r="J129" s="35" t="s">
        <v>221</v>
      </c>
      <c r="K129" s="35" t="s">
        <v>208</v>
      </c>
      <c r="L129" s="35" t="s">
        <v>71</v>
      </c>
      <c r="M129" s="35" t="s">
        <v>814</v>
      </c>
      <c r="N129" s="41">
        <v>45677.0</v>
      </c>
      <c r="O129" s="35" t="s">
        <v>524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1">
        <v>122.0</v>
      </c>
      <c r="B130" s="35" t="s">
        <v>815</v>
      </c>
      <c r="C130" s="35" t="s">
        <v>816</v>
      </c>
      <c r="D130" s="35" t="s">
        <v>141</v>
      </c>
      <c r="E130" s="35" t="s">
        <v>709</v>
      </c>
      <c r="F130" s="35" t="s">
        <v>817</v>
      </c>
      <c r="G130" s="36" t="s">
        <v>710</v>
      </c>
      <c r="H130" s="4"/>
      <c r="I130" s="35" t="s">
        <v>818</v>
      </c>
      <c r="J130" s="35" t="s">
        <v>571</v>
      </c>
      <c r="K130" s="35" t="s">
        <v>95</v>
      </c>
      <c r="L130" s="35" t="s">
        <v>71</v>
      </c>
      <c r="M130" s="35" t="s">
        <v>141</v>
      </c>
      <c r="N130" s="35" t="s">
        <v>141</v>
      </c>
      <c r="O130" s="35" t="s">
        <v>737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1">
        <v>123.0</v>
      </c>
      <c r="B131" s="35" t="s">
        <v>819</v>
      </c>
      <c r="C131" s="35" t="s">
        <v>820</v>
      </c>
      <c r="D131" s="35" t="s">
        <v>821</v>
      </c>
      <c r="E131" s="35" t="s">
        <v>822</v>
      </c>
      <c r="F131" s="35" t="s">
        <v>141</v>
      </c>
      <c r="G131" s="36" t="s">
        <v>823</v>
      </c>
      <c r="H131" s="4"/>
      <c r="I131" s="35" t="s">
        <v>824</v>
      </c>
      <c r="J131" s="35" t="s">
        <v>571</v>
      </c>
      <c r="K131" s="35" t="s">
        <v>825</v>
      </c>
      <c r="L131" s="35" t="s">
        <v>99</v>
      </c>
      <c r="M131" s="35" t="s">
        <v>541</v>
      </c>
      <c r="N131" s="41">
        <v>45170.0</v>
      </c>
      <c r="O131" s="35" t="s">
        <v>141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1">
        <v>124.0</v>
      </c>
      <c r="B132" s="35" t="s">
        <v>826</v>
      </c>
      <c r="C132" s="35" t="s">
        <v>827</v>
      </c>
      <c r="D132" s="35" t="s">
        <v>828</v>
      </c>
      <c r="E132" s="35" t="s">
        <v>829</v>
      </c>
      <c r="F132" s="35" t="s">
        <v>830</v>
      </c>
      <c r="G132" s="36" t="s">
        <v>141</v>
      </c>
      <c r="H132" s="4"/>
      <c r="I132" s="35" t="s">
        <v>831</v>
      </c>
      <c r="J132" s="35" t="s">
        <v>571</v>
      </c>
      <c r="K132" s="35" t="s">
        <v>529</v>
      </c>
      <c r="L132" s="35" t="s">
        <v>99</v>
      </c>
      <c r="M132" s="35" t="s">
        <v>248</v>
      </c>
      <c r="N132" s="41">
        <v>45860.0</v>
      </c>
      <c r="O132" s="35" t="s">
        <v>832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47">
        <v>125.0</v>
      </c>
      <c r="B133" s="48" t="s">
        <v>833</v>
      </c>
      <c r="C133" s="48" t="s">
        <v>834</v>
      </c>
      <c r="D133" s="48" t="s">
        <v>835</v>
      </c>
      <c r="E133" s="48" t="s">
        <v>836</v>
      </c>
      <c r="F133" s="48" t="s">
        <v>141</v>
      </c>
      <c r="G133" s="44" t="s">
        <v>141</v>
      </c>
      <c r="H133" s="53"/>
      <c r="I133" s="48" t="s">
        <v>837</v>
      </c>
      <c r="J133" s="48" t="s">
        <v>571</v>
      </c>
      <c r="K133" s="48" t="s">
        <v>646</v>
      </c>
      <c r="L133" s="48" t="s">
        <v>99</v>
      </c>
      <c r="M133" s="48" t="s">
        <v>162</v>
      </c>
      <c r="N133" s="48" t="s">
        <v>141</v>
      </c>
      <c r="O133" s="48" t="s">
        <v>163</v>
      </c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>
      <c r="A134" s="47">
        <v>126.0</v>
      </c>
      <c r="H134" s="53"/>
      <c r="I134" s="48" t="s">
        <v>838</v>
      </c>
      <c r="J134" s="48" t="s">
        <v>571</v>
      </c>
      <c r="K134" s="48" t="s">
        <v>646</v>
      </c>
      <c r="L134" s="48" t="s">
        <v>71</v>
      </c>
      <c r="M134" s="48" t="s">
        <v>541</v>
      </c>
      <c r="N134" s="48" t="s">
        <v>141</v>
      </c>
      <c r="O134" s="48" t="s">
        <v>839</v>
      </c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>
      <c r="A135" s="1">
        <v>127.0</v>
      </c>
      <c r="B135" s="35" t="s">
        <v>840</v>
      </c>
      <c r="C135" s="35" t="s">
        <v>841</v>
      </c>
      <c r="D135" s="35" t="s">
        <v>842</v>
      </c>
      <c r="E135" s="35" t="s">
        <v>843</v>
      </c>
      <c r="F135" s="35" t="s">
        <v>141</v>
      </c>
      <c r="G135" s="36" t="s">
        <v>844</v>
      </c>
      <c r="H135" s="4"/>
      <c r="I135" s="35" t="s">
        <v>845</v>
      </c>
      <c r="J135" s="35" t="s">
        <v>571</v>
      </c>
      <c r="K135" s="35" t="s">
        <v>459</v>
      </c>
      <c r="L135" s="35" t="s">
        <v>71</v>
      </c>
      <c r="M135" s="35" t="s">
        <v>152</v>
      </c>
      <c r="N135" s="41">
        <v>45730.0</v>
      </c>
      <c r="O135" s="35" t="s">
        <v>141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1">
        <v>128.0</v>
      </c>
      <c r="B136" s="35" t="s">
        <v>402</v>
      </c>
      <c r="C136" s="35" t="s">
        <v>846</v>
      </c>
      <c r="D136" s="35" t="s">
        <v>847</v>
      </c>
      <c r="E136" s="35" t="s">
        <v>405</v>
      </c>
      <c r="F136" s="35" t="s">
        <v>406</v>
      </c>
      <c r="G136" s="36" t="s">
        <v>848</v>
      </c>
      <c r="H136" s="4"/>
      <c r="I136" s="35" t="s">
        <v>849</v>
      </c>
      <c r="J136" s="35" t="s">
        <v>571</v>
      </c>
      <c r="K136" s="35" t="s">
        <v>443</v>
      </c>
      <c r="L136" s="35" t="s">
        <v>99</v>
      </c>
      <c r="M136" s="35" t="s">
        <v>319</v>
      </c>
      <c r="N136" s="41">
        <v>45811.0</v>
      </c>
      <c r="O136" s="35" t="s">
        <v>622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1">
        <v>129.0</v>
      </c>
      <c r="B137" s="35" t="s">
        <v>850</v>
      </c>
      <c r="C137" s="35" t="s">
        <v>851</v>
      </c>
      <c r="D137" s="35" t="s">
        <v>852</v>
      </c>
      <c r="E137" s="35" t="s">
        <v>853</v>
      </c>
      <c r="F137" s="35" t="s">
        <v>854</v>
      </c>
      <c r="G137" s="36" t="s">
        <v>855</v>
      </c>
      <c r="H137" s="4"/>
      <c r="I137" s="35" t="s">
        <v>856</v>
      </c>
      <c r="J137" s="35" t="s">
        <v>571</v>
      </c>
      <c r="K137" s="35" t="s">
        <v>857</v>
      </c>
      <c r="L137" s="35" t="s">
        <v>99</v>
      </c>
      <c r="M137" s="35" t="s">
        <v>338</v>
      </c>
      <c r="N137" s="51">
        <v>45221.0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1">
        <v>130.0</v>
      </c>
      <c r="B138" s="35" t="s">
        <v>858</v>
      </c>
      <c r="C138" s="35" t="s">
        <v>859</v>
      </c>
      <c r="D138" s="35" t="s">
        <v>860</v>
      </c>
      <c r="E138" s="35" t="s">
        <v>861</v>
      </c>
      <c r="F138" s="35" t="s">
        <v>141</v>
      </c>
      <c r="G138" s="36" t="s">
        <v>141</v>
      </c>
      <c r="H138" s="4"/>
      <c r="I138" s="35" t="s">
        <v>862</v>
      </c>
      <c r="J138" s="35" t="s">
        <v>571</v>
      </c>
      <c r="K138" s="35" t="s">
        <v>330</v>
      </c>
      <c r="L138" s="35" t="s">
        <v>99</v>
      </c>
      <c r="M138" s="35" t="s">
        <v>141</v>
      </c>
      <c r="N138" s="35" t="s">
        <v>141</v>
      </c>
      <c r="O138" s="35" t="s">
        <v>141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1">
        <v>131.0</v>
      </c>
      <c r="B139" s="35" t="s">
        <v>863</v>
      </c>
      <c r="C139" s="35" t="s">
        <v>141</v>
      </c>
      <c r="D139" s="35" t="s">
        <v>141</v>
      </c>
      <c r="E139" s="35" t="s">
        <v>141</v>
      </c>
      <c r="F139" s="35" t="s">
        <v>141</v>
      </c>
      <c r="G139" s="36" t="s">
        <v>141</v>
      </c>
      <c r="H139" s="4"/>
      <c r="I139" s="35" t="s">
        <v>864</v>
      </c>
      <c r="J139" s="35" t="s">
        <v>571</v>
      </c>
      <c r="K139" s="35" t="s">
        <v>141</v>
      </c>
      <c r="L139" s="35" t="s">
        <v>71</v>
      </c>
      <c r="M139" s="35" t="s">
        <v>141</v>
      </c>
      <c r="N139" s="35" t="s">
        <v>141</v>
      </c>
      <c r="O139" s="35" t="s">
        <v>141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1">
        <v>132.0</v>
      </c>
      <c r="B140" s="35" t="s">
        <v>865</v>
      </c>
      <c r="C140" s="35" t="s">
        <v>866</v>
      </c>
      <c r="D140" s="35" t="s">
        <v>867</v>
      </c>
      <c r="E140" s="35" t="s">
        <v>868</v>
      </c>
      <c r="F140" s="35" t="s">
        <v>141</v>
      </c>
      <c r="G140" s="36" t="s">
        <v>869</v>
      </c>
      <c r="H140" s="4"/>
      <c r="I140" s="35" t="s">
        <v>870</v>
      </c>
      <c r="J140" s="35" t="s">
        <v>571</v>
      </c>
      <c r="K140" s="35" t="s">
        <v>459</v>
      </c>
      <c r="L140" s="35" t="s">
        <v>71</v>
      </c>
      <c r="M140" s="35" t="s">
        <v>319</v>
      </c>
      <c r="N140" s="41">
        <v>45088.0</v>
      </c>
      <c r="O140" s="35" t="s">
        <v>163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1">
        <v>133.0</v>
      </c>
      <c r="B141" s="35" t="s">
        <v>871</v>
      </c>
      <c r="C141" s="35" t="s">
        <v>872</v>
      </c>
      <c r="D141" s="35" t="s">
        <v>873</v>
      </c>
      <c r="E141" s="35" t="s">
        <v>874</v>
      </c>
      <c r="F141" s="35" t="s">
        <v>875</v>
      </c>
      <c r="G141" s="36" t="s">
        <v>141</v>
      </c>
      <c r="H141" s="4"/>
      <c r="I141" s="35" t="s">
        <v>876</v>
      </c>
      <c r="J141" s="35" t="s">
        <v>571</v>
      </c>
      <c r="K141" s="35" t="s">
        <v>80</v>
      </c>
      <c r="L141" s="35" t="s">
        <v>71</v>
      </c>
      <c r="M141" s="35" t="s">
        <v>272</v>
      </c>
      <c r="N141" s="41">
        <v>45901.0</v>
      </c>
      <c r="O141" s="35" t="s">
        <v>877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1">
        <v>134.0</v>
      </c>
      <c r="B142" s="35" t="s">
        <v>878</v>
      </c>
      <c r="C142" s="35" t="s">
        <v>141</v>
      </c>
      <c r="D142" s="35" t="s">
        <v>141</v>
      </c>
      <c r="E142" s="35" t="s">
        <v>879</v>
      </c>
      <c r="F142" s="35" t="s">
        <v>141</v>
      </c>
      <c r="G142" s="36" t="s">
        <v>141</v>
      </c>
      <c r="H142" s="4"/>
      <c r="I142" s="35" t="s">
        <v>880</v>
      </c>
      <c r="J142" s="35" t="s">
        <v>571</v>
      </c>
      <c r="K142" s="35" t="s">
        <v>496</v>
      </c>
      <c r="L142" s="35" t="s">
        <v>71</v>
      </c>
      <c r="M142" s="35" t="s">
        <v>338</v>
      </c>
      <c r="N142" s="41">
        <v>44820.0</v>
      </c>
      <c r="O142" s="35" t="s">
        <v>141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1">
        <v>135.0</v>
      </c>
      <c r="B143" s="35" t="s">
        <v>881</v>
      </c>
      <c r="C143" s="35" t="s">
        <v>882</v>
      </c>
      <c r="D143" s="35" t="s">
        <v>141</v>
      </c>
      <c r="E143" s="35" t="s">
        <v>883</v>
      </c>
      <c r="F143" s="35" t="s">
        <v>141</v>
      </c>
      <c r="G143" s="36" t="s">
        <v>141</v>
      </c>
      <c r="H143" s="4"/>
      <c r="I143" s="35" t="s">
        <v>884</v>
      </c>
      <c r="J143" s="35" t="s">
        <v>571</v>
      </c>
      <c r="K143" s="35" t="s">
        <v>746</v>
      </c>
      <c r="L143" s="35" t="s">
        <v>71</v>
      </c>
      <c r="M143" s="35" t="s">
        <v>885</v>
      </c>
      <c r="N143" s="35" t="s">
        <v>141</v>
      </c>
      <c r="O143" s="35" t="s">
        <v>163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1">
        <v>136.0</v>
      </c>
      <c r="B144" s="35" t="s">
        <v>886</v>
      </c>
      <c r="C144" s="35" t="s">
        <v>887</v>
      </c>
      <c r="D144" s="35" t="s">
        <v>888</v>
      </c>
      <c r="E144" s="35" t="s">
        <v>889</v>
      </c>
      <c r="F144" s="35" t="s">
        <v>890</v>
      </c>
      <c r="G144" s="36" t="s">
        <v>891</v>
      </c>
      <c r="H144" s="4"/>
      <c r="I144" s="35" t="s">
        <v>892</v>
      </c>
      <c r="J144" s="35" t="s">
        <v>571</v>
      </c>
      <c r="K144" s="35" t="s">
        <v>893</v>
      </c>
      <c r="L144" s="35" t="s">
        <v>99</v>
      </c>
      <c r="M144" s="35" t="s">
        <v>242</v>
      </c>
      <c r="N144" s="41">
        <v>45325.0</v>
      </c>
      <c r="O144" s="35" t="s">
        <v>179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1">
        <v>137.0</v>
      </c>
      <c r="B145" s="35" t="s">
        <v>894</v>
      </c>
      <c r="C145" s="35" t="s">
        <v>895</v>
      </c>
      <c r="D145" s="35" t="s">
        <v>896</v>
      </c>
      <c r="E145" s="35" t="s">
        <v>897</v>
      </c>
      <c r="F145" s="35" t="s">
        <v>898</v>
      </c>
      <c r="G145" s="55" t="s">
        <v>899</v>
      </c>
      <c r="H145" s="4"/>
      <c r="I145" s="35" t="s">
        <v>900</v>
      </c>
      <c r="J145" s="35" t="s">
        <v>571</v>
      </c>
      <c r="K145" s="35" t="s">
        <v>746</v>
      </c>
      <c r="L145" s="35" t="s">
        <v>99</v>
      </c>
      <c r="M145" s="35" t="s">
        <v>242</v>
      </c>
      <c r="N145" s="41">
        <v>45411.0</v>
      </c>
      <c r="O145" s="35" t="s">
        <v>141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1">
        <v>138.0</v>
      </c>
      <c r="B146" s="35" t="s">
        <v>386</v>
      </c>
      <c r="C146" s="35" t="s">
        <v>901</v>
      </c>
      <c r="D146" s="35" t="s">
        <v>902</v>
      </c>
      <c r="E146" s="35" t="s">
        <v>390</v>
      </c>
      <c r="F146" s="35" t="s">
        <v>389</v>
      </c>
      <c r="G146" s="36" t="s">
        <v>391</v>
      </c>
      <c r="H146" s="4"/>
      <c r="I146" s="35" t="s">
        <v>903</v>
      </c>
      <c r="J146" s="35" t="s">
        <v>571</v>
      </c>
      <c r="K146" s="35" t="s">
        <v>472</v>
      </c>
      <c r="L146" s="35" t="s">
        <v>53</v>
      </c>
      <c r="M146" s="35" t="s">
        <v>904</v>
      </c>
      <c r="N146" s="41">
        <v>45052.0</v>
      </c>
      <c r="O146" s="35" t="s">
        <v>905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47">
        <v>139.0</v>
      </c>
      <c r="B147" s="48" t="s">
        <v>906</v>
      </c>
      <c r="C147" s="48" t="s">
        <v>907</v>
      </c>
      <c r="D147" s="48" t="s">
        <v>908</v>
      </c>
      <c r="E147" s="48" t="s">
        <v>909</v>
      </c>
      <c r="F147" s="48" t="s">
        <v>141</v>
      </c>
      <c r="G147" s="44" t="s">
        <v>141</v>
      </c>
      <c r="H147" s="53"/>
      <c r="I147" s="48" t="s">
        <v>910</v>
      </c>
      <c r="J147" s="48" t="s">
        <v>571</v>
      </c>
      <c r="K147" s="48" t="s">
        <v>141</v>
      </c>
      <c r="L147" s="48" t="s">
        <v>99</v>
      </c>
      <c r="M147" s="48" t="s">
        <v>911</v>
      </c>
      <c r="N147" s="56">
        <v>45023.0</v>
      </c>
      <c r="O147" s="48" t="s">
        <v>524</v>
      </c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</row>
    <row r="148">
      <c r="A148" s="47">
        <v>140.0</v>
      </c>
      <c r="H148" s="53"/>
      <c r="I148" s="48" t="s">
        <v>912</v>
      </c>
      <c r="J148" s="48" t="s">
        <v>571</v>
      </c>
      <c r="K148" s="48" t="s">
        <v>141</v>
      </c>
      <c r="L148" s="48" t="s">
        <v>99</v>
      </c>
      <c r="M148" s="48" t="s">
        <v>297</v>
      </c>
      <c r="N148" s="57">
        <v>44561.0</v>
      </c>
      <c r="O148" s="48" t="s">
        <v>913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</row>
    <row r="149">
      <c r="A149" s="1">
        <v>141.0</v>
      </c>
      <c r="B149" s="35" t="s">
        <v>914</v>
      </c>
      <c r="C149" s="35" t="s">
        <v>915</v>
      </c>
      <c r="D149" s="35" t="s">
        <v>916</v>
      </c>
      <c r="E149" s="35" t="s">
        <v>917</v>
      </c>
      <c r="F149" s="35" t="s">
        <v>141</v>
      </c>
      <c r="G149" s="36" t="s">
        <v>918</v>
      </c>
      <c r="H149" s="4"/>
      <c r="I149" s="35" t="s">
        <v>919</v>
      </c>
      <c r="J149" s="35" t="s">
        <v>571</v>
      </c>
      <c r="K149" s="35" t="s">
        <v>95</v>
      </c>
      <c r="L149" s="35" t="s">
        <v>99</v>
      </c>
      <c r="M149" s="35" t="s">
        <v>297</v>
      </c>
      <c r="N149" s="51">
        <v>44546.0</v>
      </c>
      <c r="O149" s="35" t="s">
        <v>186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1">
        <v>142.0</v>
      </c>
      <c r="B150" s="35" t="s">
        <v>920</v>
      </c>
      <c r="C150" s="35" t="s">
        <v>921</v>
      </c>
      <c r="D150" s="35" t="s">
        <v>922</v>
      </c>
      <c r="E150" s="35" t="s">
        <v>373</v>
      </c>
      <c r="F150" s="35" t="s">
        <v>141</v>
      </c>
      <c r="G150" s="36" t="s">
        <v>923</v>
      </c>
      <c r="H150" s="4"/>
      <c r="I150" s="35" t="s">
        <v>924</v>
      </c>
      <c r="J150" s="35" t="s">
        <v>571</v>
      </c>
      <c r="K150" s="35" t="s">
        <v>925</v>
      </c>
      <c r="L150" s="35" t="s">
        <v>71</v>
      </c>
      <c r="M150" s="35" t="s">
        <v>376</v>
      </c>
      <c r="N150" s="51">
        <v>43383.0</v>
      </c>
      <c r="O150" s="35" t="s">
        <v>926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1">
        <v>143.0</v>
      </c>
      <c r="B151" s="35" t="s">
        <v>927</v>
      </c>
      <c r="C151" s="35" t="s">
        <v>928</v>
      </c>
      <c r="D151" s="35" t="s">
        <v>929</v>
      </c>
      <c r="E151" s="35" t="s">
        <v>930</v>
      </c>
      <c r="F151" s="35" t="s">
        <v>931</v>
      </c>
      <c r="G151" s="36" t="s">
        <v>932</v>
      </c>
      <c r="H151" s="4"/>
      <c r="I151" s="35" t="s">
        <v>933</v>
      </c>
      <c r="J151" s="35" t="s">
        <v>571</v>
      </c>
      <c r="K151" s="35" t="s">
        <v>472</v>
      </c>
      <c r="L151" s="35" t="s">
        <v>99</v>
      </c>
      <c r="M151" s="35" t="s">
        <v>297</v>
      </c>
      <c r="N151" s="51">
        <v>44475.0</v>
      </c>
      <c r="O151" s="35" t="s">
        <v>934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1">
        <v>144.0</v>
      </c>
      <c r="B152" s="35" t="s">
        <v>935</v>
      </c>
      <c r="C152" s="35" t="s">
        <v>936</v>
      </c>
      <c r="D152" s="35" t="s">
        <v>937</v>
      </c>
      <c r="E152" s="35" t="s">
        <v>938</v>
      </c>
      <c r="F152" s="35" t="s">
        <v>141</v>
      </c>
      <c r="G152" s="36" t="s">
        <v>141</v>
      </c>
      <c r="H152" s="4"/>
      <c r="I152" s="35" t="s">
        <v>939</v>
      </c>
      <c r="J152" s="35" t="s">
        <v>571</v>
      </c>
      <c r="K152" s="35" t="s">
        <v>940</v>
      </c>
      <c r="L152" s="35" t="s">
        <v>71</v>
      </c>
      <c r="M152" s="35" t="s">
        <v>162</v>
      </c>
      <c r="N152" s="41">
        <v>45759.0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1">
        <v>145.0</v>
      </c>
      <c r="B153" s="35" t="s">
        <v>941</v>
      </c>
      <c r="C153" s="35" t="s">
        <v>942</v>
      </c>
      <c r="D153" s="42" t="s">
        <v>141</v>
      </c>
      <c r="E153" s="35" t="s">
        <v>943</v>
      </c>
      <c r="F153" s="35" t="s">
        <v>944</v>
      </c>
      <c r="G153" s="36" t="s">
        <v>945</v>
      </c>
      <c r="H153" s="4"/>
      <c r="I153" s="35" t="s">
        <v>946</v>
      </c>
      <c r="J153" s="35" t="s">
        <v>571</v>
      </c>
      <c r="K153" s="35" t="s">
        <v>208</v>
      </c>
      <c r="L153" s="35" t="s">
        <v>71</v>
      </c>
      <c r="M153" s="35" t="s">
        <v>338</v>
      </c>
      <c r="N153" s="41">
        <v>44781.0</v>
      </c>
      <c r="O153" s="35" t="s">
        <v>179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1">
        <v>146.0</v>
      </c>
      <c r="B154" s="35" t="s">
        <v>947</v>
      </c>
      <c r="C154" s="35" t="s">
        <v>948</v>
      </c>
      <c r="D154" s="35" t="s">
        <v>949</v>
      </c>
      <c r="E154" s="35" t="s">
        <v>950</v>
      </c>
      <c r="F154" s="35" t="s">
        <v>141</v>
      </c>
      <c r="G154" s="36" t="s">
        <v>951</v>
      </c>
      <c r="H154" s="4"/>
      <c r="I154" s="35" t="s">
        <v>952</v>
      </c>
      <c r="J154" s="35" t="s">
        <v>571</v>
      </c>
      <c r="K154" s="35" t="s">
        <v>646</v>
      </c>
      <c r="L154" s="35" t="s">
        <v>99</v>
      </c>
      <c r="M154" s="35" t="s">
        <v>353</v>
      </c>
      <c r="N154" s="35">
        <v>2020.0</v>
      </c>
      <c r="O154" s="35" t="s">
        <v>508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1">
        <v>147.0</v>
      </c>
      <c r="B155" s="35" t="s">
        <v>953</v>
      </c>
      <c r="C155" s="35" t="s">
        <v>954</v>
      </c>
      <c r="D155" s="35" t="s">
        <v>955</v>
      </c>
      <c r="E155" s="35" t="s">
        <v>956</v>
      </c>
      <c r="F155" s="35" t="s">
        <v>141</v>
      </c>
      <c r="G155" s="36" t="s">
        <v>957</v>
      </c>
      <c r="H155" s="4"/>
      <c r="I155" s="35" t="s">
        <v>958</v>
      </c>
      <c r="J155" s="35" t="s">
        <v>571</v>
      </c>
      <c r="K155" s="35" t="s">
        <v>959</v>
      </c>
      <c r="L155" s="35" t="s">
        <v>71</v>
      </c>
      <c r="M155" s="35" t="s">
        <v>338</v>
      </c>
      <c r="N155" s="41">
        <v>44772.0</v>
      </c>
      <c r="O155" s="35" t="s">
        <v>697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1">
        <v>148.0</v>
      </c>
      <c r="B156" s="35" t="s">
        <v>960</v>
      </c>
      <c r="C156" s="35" t="s">
        <v>961</v>
      </c>
      <c r="D156" s="35">
        <v>1.693422E7</v>
      </c>
      <c r="E156" s="35" t="s">
        <v>962</v>
      </c>
      <c r="F156" s="35" t="s">
        <v>141</v>
      </c>
      <c r="G156" s="36" t="s">
        <v>963</v>
      </c>
      <c r="H156" s="4"/>
      <c r="I156" s="35" t="s">
        <v>964</v>
      </c>
      <c r="J156" s="35" t="s">
        <v>571</v>
      </c>
      <c r="K156" s="35" t="s">
        <v>80</v>
      </c>
      <c r="L156" s="35" t="s">
        <v>965</v>
      </c>
      <c r="M156" s="35" t="s">
        <v>338</v>
      </c>
      <c r="N156" s="41">
        <v>44720.0</v>
      </c>
      <c r="O156" s="35" t="s">
        <v>622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1">
        <v>149.0</v>
      </c>
      <c r="B157" s="35" t="s">
        <v>966</v>
      </c>
      <c r="C157" s="35" t="s">
        <v>967</v>
      </c>
      <c r="D157" s="35" t="s">
        <v>968</v>
      </c>
      <c r="E157" s="35" t="s">
        <v>969</v>
      </c>
      <c r="F157" s="35" t="s">
        <v>141</v>
      </c>
      <c r="G157" s="36" t="s">
        <v>970</v>
      </c>
      <c r="H157" s="4"/>
      <c r="I157" s="35" t="s">
        <v>971</v>
      </c>
      <c r="J157" s="35" t="s">
        <v>571</v>
      </c>
      <c r="K157" s="35" t="s">
        <v>496</v>
      </c>
      <c r="L157" s="35" t="s">
        <v>71</v>
      </c>
      <c r="M157" s="35" t="s">
        <v>152</v>
      </c>
      <c r="N157" s="41">
        <v>45767.0</v>
      </c>
      <c r="O157" s="35" t="s">
        <v>163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1">
        <v>150.0</v>
      </c>
      <c r="B158" s="35" t="s">
        <v>698</v>
      </c>
      <c r="C158" s="35" t="s">
        <v>972</v>
      </c>
      <c r="D158" s="35" t="s">
        <v>700</v>
      </c>
      <c r="E158" s="35" t="s">
        <v>701</v>
      </c>
      <c r="F158" s="35" t="s">
        <v>141</v>
      </c>
      <c r="G158" s="36" t="s">
        <v>702</v>
      </c>
      <c r="H158" s="4"/>
      <c r="I158" s="35" t="s">
        <v>973</v>
      </c>
      <c r="J158" s="35" t="s">
        <v>571</v>
      </c>
      <c r="K158" s="35" t="s">
        <v>141</v>
      </c>
      <c r="L158" s="35" t="s">
        <v>71</v>
      </c>
      <c r="M158" s="35" t="s">
        <v>242</v>
      </c>
      <c r="N158" s="51">
        <v>46015.0</v>
      </c>
      <c r="O158" s="35" t="s">
        <v>556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1">
        <v>151.0</v>
      </c>
      <c r="B159" s="35" t="s">
        <v>974</v>
      </c>
      <c r="C159" s="35" t="s">
        <v>975</v>
      </c>
      <c r="D159" s="35" t="s">
        <v>976</v>
      </c>
      <c r="E159" s="35" t="s">
        <v>977</v>
      </c>
      <c r="F159" s="35" t="s">
        <v>141</v>
      </c>
      <c r="G159" s="36" t="s">
        <v>978</v>
      </c>
      <c r="H159" s="4"/>
      <c r="I159" s="35" t="s">
        <v>979</v>
      </c>
      <c r="J159" s="35" t="s">
        <v>571</v>
      </c>
      <c r="K159" s="35" t="s">
        <v>507</v>
      </c>
      <c r="L159" s="35" t="s">
        <v>71</v>
      </c>
      <c r="M159" s="35" t="s">
        <v>325</v>
      </c>
      <c r="N159" s="51">
        <v>45945.0</v>
      </c>
      <c r="O159" s="35" t="s">
        <v>980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1">
        <v>152.0</v>
      </c>
      <c r="B160" s="35" t="s">
        <v>881</v>
      </c>
      <c r="C160" s="35" t="s">
        <v>981</v>
      </c>
      <c r="D160" s="35" t="s">
        <v>141</v>
      </c>
      <c r="E160" s="35" t="s">
        <v>883</v>
      </c>
      <c r="F160" s="35" t="s">
        <v>141</v>
      </c>
      <c r="G160" s="36" t="s">
        <v>141</v>
      </c>
      <c r="H160" s="4"/>
      <c r="I160" s="35" t="s">
        <v>982</v>
      </c>
      <c r="J160" s="35" t="s">
        <v>571</v>
      </c>
      <c r="K160" s="35" t="s">
        <v>746</v>
      </c>
      <c r="L160" s="35" t="s">
        <v>99</v>
      </c>
      <c r="M160" s="35" t="s">
        <v>596</v>
      </c>
      <c r="N160" s="35" t="s">
        <v>141</v>
      </c>
      <c r="O160" s="35" t="s">
        <v>163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1">
        <v>153.0</v>
      </c>
      <c r="B161" s="35" t="s">
        <v>983</v>
      </c>
      <c r="C161" s="35" t="s">
        <v>984</v>
      </c>
      <c r="D161" s="35" t="s">
        <v>985</v>
      </c>
      <c r="E161" s="35" t="s">
        <v>986</v>
      </c>
      <c r="F161" s="35" t="s">
        <v>141</v>
      </c>
      <c r="G161" s="36" t="s">
        <v>141</v>
      </c>
      <c r="H161" s="4"/>
      <c r="I161" s="35" t="s">
        <v>987</v>
      </c>
      <c r="J161" s="35" t="s">
        <v>571</v>
      </c>
      <c r="K161" s="35" t="s">
        <v>988</v>
      </c>
      <c r="L161" s="35" t="s">
        <v>99</v>
      </c>
      <c r="M161" s="35" t="s">
        <v>989</v>
      </c>
      <c r="N161" s="41">
        <v>39101.0</v>
      </c>
      <c r="O161" s="35" t="s">
        <v>556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1">
        <v>154.0</v>
      </c>
      <c r="B162" s="35" t="s">
        <v>990</v>
      </c>
      <c r="C162" s="35" t="s">
        <v>991</v>
      </c>
      <c r="D162" s="35" t="s">
        <v>992</v>
      </c>
      <c r="E162" s="35" t="s">
        <v>993</v>
      </c>
      <c r="F162" s="35" t="s">
        <v>994</v>
      </c>
      <c r="G162" s="36" t="s">
        <v>995</v>
      </c>
      <c r="H162" s="4"/>
      <c r="I162" s="35" t="s">
        <v>996</v>
      </c>
      <c r="J162" s="35" t="s">
        <v>571</v>
      </c>
      <c r="K162" s="35" t="s">
        <v>507</v>
      </c>
      <c r="L162" s="35" t="s">
        <v>99</v>
      </c>
      <c r="M162" s="35" t="s">
        <v>353</v>
      </c>
      <c r="N162" s="41">
        <v>44170.0</v>
      </c>
      <c r="O162" s="35" t="s">
        <v>980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1">
        <v>155.0</v>
      </c>
      <c r="B163" s="35" t="s">
        <v>997</v>
      </c>
      <c r="C163" s="35" t="s">
        <v>998</v>
      </c>
      <c r="D163" s="35">
        <v>4.0212818765E10</v>
      </c>
      <c r="E163" s="35" t="s">
        <v>999</v>
      </c>
      <c r="F163" s="35" t="s">
        <v>1000</v>
      </c>
      <c r="G163" s="36" t="s">
        <v>1001</v>
      </c>
      <c r="H163" s="4"/>
      <c r="I163" s="35" t="s">
        <v>1002</v>
      </c>
      <c r="J163" s="35" t="s">
        <v>571</v>
      </c>
      <c r="K163" s="35" t="s">
        <v>293</v>
      </c>
      <c r="L163" s="35" t="s">
        <v>71</v>
      </c>
      <c r="M163" s="35" t="s">
        <v>319</v>
      </c>
      <c r="N163" s="41">
        <v>45021.0</v>
      </c>
      <c r="O163" s="35" t="s">
        <v>622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1">
        <v>156.0</v>
      </c>
      <c r="B164" s="35" t="s">
        <v>1003</v>
      </c>
      <c r="C164" s="35" t="s">
        <v>1004</v>
      </c>
      <c r="D164" s="35">
        <v>1.17811356E8</v>
      </c>
      <c r="E164" s="35" t="s">
        <v>1005</v>
      </c>
      <c r="F164" s="35" t="s">
        <v>141</v>
      </c>
      <c r="G164" s="36" t="s">
        <v>1006</v>
      </c>
      <c r="H164" s="4"/>
      <c r="I164" s="35" t="s">
        <v>1007</v>
      </c>
      <c r="J164" s="35" t="s">
        <v>571</v>
      </c>
      <c r="K164" s="35" t="s">
        <v>296</v>
      </c>
      <c r="L164" s="35" t="s">
        <v>71</v>
      </c>
      <c r="M164" s="35" t="s">
        <v>885</v>
      </c>
      <c r="N164" s="41">
        <v>42780.0</v>
      </c>
      <c r="O164" s="35" t="s">
        <v>186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1">
        <v>157.0</v>
      </c>
      <c r="B165" s="35" t="s">
        <v>1008</v>
      </c>
      <c r="C165" s="35" t="s">
        <v>1009</v>
      </c>
      <c r="D165" s="35">
        <v>1.68715819E8</v>
      </c>
      <c r="E165" s="35" t="s">
        <v>1010</v>
      </c>
      <c r="F165" s="35" t="s">
        <v>141</v>
      </c>
      <c r="G165" s="36" t="s">
        <v>1011</v>
      </c>
      <c r="H165" s="4"/>
      <c r="I165" s="35" t="s">
        <v>1012</v>
      </c>
      <c r="J165" s="35" t="s">
        <v>571</v>
      </c>
      <c r="K165" s="35" t="s">
        <v>718</v>
      </c>
      <c r="L165" s="35" t="s">
        <v>99</v>
      </c>
      <c r="M165" s="35" t="s">
        <v>141</v>
      </c>
      <c r="N165" s="35" t="s">
        <v>141</v>
      </c>
      <c r="O165" s="35" t="s">
        <v>186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1">
        <v>158.0</v>
      </c>
      <c r="B166" s="35" t="s">
        <v>1013</v>
      </c>
      <c r="C166" s="35" t="s">
        <v>1014</v>
      </c>
      <c r="D166" s="35" t="s">
        <v>764</v>
      </c>
      <c r="E166" s="35" t="s">
        <v>422</v>
      </c>
      <c r="F166" s="35" t="s">
        <v>1015</v>
      </c>
      <c r="G166" s="44" t="s">
        <v>766</v>
      </c>
      <c r="H166" s="4"/>
      <c r="I166" s="35" t="s">
        <v>1016</v>
      </c>
      <c r="J166" s="35" t="s">
        <v>426</v>
      </c>
      <c r="K166" s="35" t="s">
        <v>718</v>
      </c>
      <c r="L166" s="35" t="s">
        <v>71</v>
      </c>
      <c r="M166" s="35" t="s">
        <v>444</v>
      </c>
      <c r="N166" s="51">
        <v>46009.0</v>
      </c>
      <c r="O166" s="35" t="s">
        <v>622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47">
        <v>159.0</v>
      </c>
      <c r="B167" s="48" t="s">
        <v>1017</v>
      </c>
      <c r="C167" s="48" t="s">
        <v>1018</v>
      </c>
      <c r="D167" s="48">
        <v>4.0218170393E10</v>
      </c>
      <c r="E167" s="48" t="s">
        <v>1019</v>
      </c>
      <c r="F167" s="48" t="s">
        <v>1020</v>
      </c>
      <c r="G167" s="44"/>
      <c r="H167" s="53"/>
      <c r="I167" s="48" t="s">
        <v>1021</v>
      </c>
      <c r="J167" s="35" t="s">
        <v>571</v>
      </c>
      <c r="K167" s="35" t="s">
        <v>352</v>
      </c>
      <c r="L167" s="48" t="s">
        <v>99</v>
      </c>
      <c r="M167" s="48" t="s">
        <v>242</v>
      </c>
      <c r="N167" s="56">
        <v>45342.0</v>
      </c>
      <c r="O167" s="48" t="s">
        <v>508</v>
      </c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</row>
    <row r="168">
      <c r="A168" s="47">
        <v>160.0</v>
      </c>
      <c r="H168" s="53"/>
      <c r="I168" s="48" t="s">
        <v>1022</v>
      </c>
      <c r="J168" s="35" t="s">
        <v>571</v>
      </c>
      <c r="K168" s="35" t="s">
        <v>352</v>
      </c>
      <c r="L168" s="48" t="s">
        <v>99</v>
      </c>
      <c r="M168" s="48" t="s">
        <v>338</v>
      </c>
      <c r="N168" s="56">
        <v>44703.0</v>
      </c>
      <c r="O168" s="48" t="s">
        <v>1023</v>
      </c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</row>
    <row r="169">
      <c r="A169" s="1">
        <v>161.0</v>
      </c>
      <c r="B169" s="35" t="s">
        <v>1024</v>
      </c>
      <c r="C169" s="35" t="s">
        <v>1025</v>
      </c>
      <c r="D169" s="35" t="s">
        <v>1026</v>
      </c>
      <c r="E169" s="35" t="s">
        <v>1027</v>
      </c>
      <c r="F169" s="35" t="s">
        <v>1027</v>
      </c>
      <c r="G169" s="36" t="s">
        <v>1028</v>
      </c>
      <c r="H169" s="4"/>
      <c r="I169" s="35" t="s">
        <v>1029</v>
      </c>
      <c r="J169" s="35" t="s">
        <v>571</v>
      </c>
      <c r="K169" s="35" t="s">
        <v>459</v>
      </c>
      <c r="L169" s="35" t="s">
        <v>99</v>
      </c>
      <c r="M169" s="35" t="s">
        <v>242</v>
      </c>
      <c r="N169" s="41">
        <v>45558.0</v>
      </c>
      <c r="O169" s="35" t="s">
        <v>648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1">
        <v>162.0</v>
      </c>
      <c r="B170" s="35" t="s">
        <v>1030</v>
      </c>
      <c r="C170" s="35" t="s">
        <v>1031</v>
      </c>
      <c r="D170" s="35" t="s">
        <v>1032</v>
      </c>
      <c r="E170" s="35" t="s">
        <v>1033</v>
      </c>
      <c r="F170" s="35" t="s">
        <v>141</v>
      </c>
      <c r="G170" s="36" t="s">
        <v>141</v>
      </c>
      <c r="H170" s="4"/>
      <c r="I170" s="35" t="s">
        <v>1034</v>
      </c>
      <c r="J170" s="35" t="s">
        <v>571</v>
      </c>
      <c r="K170" s="35" t="s">
        <v>352</v>
      </c>
      <c r="L170" s="35" t="s">
        <v>99</v>
      </c>
      <c r="M170" s="35" t="s">
        <v>353</v>
      </c>
      <c r="N170" s="35" t="s">
        <v>141</v>
      </c>
      <c r="O170" s="35" t="s">
        <v>186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1">
        <v>163.0</v>
      </c>
      <c r="B171" s="35" t="s">
        <v>1035</v>
      </c>
      <c r="C171" s="35" t="s">
        <v>1036</v>
      </c>
      <c r="D171" s="35" t="s">
        <v>1037</v>
      </c>
      <c r="E171" s="35" t="s">
        <v>1038</v>
      </c>
      <c r="F171" s="35" t="s">
        <v>1039</v>
      </c>
      <c r="G171" s="36" t="s">
        <v>1040</v>
      </c>
      <c r="H171" s="4"/>
      <c r="I171" s="35" t="s">
        <v>1041</v>
      </c>
      <c r="J171" s="35" t="s">
        <v>571</v>
      </c>
      <c r="K171" s="35" t="s">
        <v>141</v>
      </c>
      <c r="L171" s="35" t="s">
        <v>99</v>
      </c>
      <c r="M171" s="35" t="s">
        <v>141</v>
      </c>
      <c r="N171" s="35" t="s">
        <v>141</v>
      </c>
      <c r="O171" s="35" t="s">
        <v>141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1">
        <v>164.0</v>
      </c>
      <c r="B172" s="35" t="s">
        <v>1042</v>
      </c>
      <c r="C172" s="35" t="s">
        <v>1043</v>
      </c>
      <c r="D172" s="35" t="s">
        <v>1044</v>
      </c>
      <c r="E172" s="35" t="s">
        <v>1045</v>
      </c>
      <c r="F172" s="35" t="s">
        <v>141</v>
      </c>
      <c r="G172" s="36" t="s">
        <v>1046</v>
      </c>
      <c r="H172" s="4"/>
      <c r="I172" s="35" t="s">
        <v>1047</v>
      </c>
      <c r="J172" s="35" t="s">
        <v>571</v>
      </c>
      <c r="K172" s="35" t="s">
        <v>940</v>
      </c>
      <c r="L172" s="35" t="s">
        <v>71</v>
      </c>
      <c r="M172" s="35" t="s">
        <v>242</v>
      </c>
      <c r="N172" s="51">
        <v>45651.0</v>
      </c>
      <c r="O172" s="35" t="s">
        <v>179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1">
        <v>165.0</v>
      </c>
      <c r="B173" s="35" t="s">
        <v>1048</v>
      </c>
      <c r="C173" s="35" t="s">
        <v>1049</v>
      </c>
      <c r="D173" s="35" t="s">
        <v>1050</v>
      </c>
      <c r="E173" s="35" t="s">
        <v>1051</v>
      </c>
      <c r="F173" s="35" t="s">
        <v>1052</v>
      </c>
      <c r="G173" s="36" t="s">
        <v>1053</v>
      </c>
      <c r="H173" s="4"/>
      <c r="I173" s="35" t="s">
        <v>1054</v>
      </c>
      <c r="J173" s="35" t="s">
        <v>571</v>
      </c>
      <c r="K173" s="35" t="s">
        <v>754</v>
      </c>
      <c r="L173" s="35" t="s">
        <v>71</v>
      </c>
      <c r="M173" s="35" t="s">
        <v>555</v>
      </c>
      <c r="N173" s="41">
        <v>43682.0</v>
      </c>
      <c r="O173" s="35" t="s">
        <v>556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1">
        <v>166.0</v>
      </c>
      <c r="B174" s="35" t="s">
        <v>1055</v>
      </c>
      <c r="C174" s="35" t="s">
        <v>1056</v>
      </c>
      <c r="D174" s="35" t="s">
        <v>1057</v>
      </c>
      <c r="E174" s="35" t="s">
        <v>1058</v>
      </c>
      <c r="F174" s="35" t="s">
        <v>1059</v>
      </c>
      <c r="G174" s="36" t="s">
        <v>1060</v>
      </c>
      <c r="H174" s="4"/>
      <c r="I174" s="35" t="s">
        <v>1061</v>
      </c>
      <c r="J174" s="35" t="s">
        <v>571</v>
      </c>
      <c r="K174" s="35" t="s">
        <v>959</v>
      </c>
      <c r="L174" s="35" t="s">
        <v>99</v>
      </c>
      <c r="M174" s="35" t="s">
        <v>242</v>
      </c>
      <c r="N174" s="41">
        <v>45385.0</v>
      </c>
      <c r="O174" s="35" t="s">
        <v>1062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1">
        <v>167.0</v>
      </c>
      <c r="B175" s="35" t="s">
        <v>1063</v>
      </c>
      <c r="C175" s="35" t="s">
        <v>1064</v>
      </c>
      <c r="D175" s="35" t="s">
        <v>1065</v>
      </c>
      <c r="E175" s="35" t="s">
        <v>1066</v>
      </c>
      <c r="F175" s="35" t="s">
        <v>1067</v>
      </c>
      <c r="G175" s="3"/>
      <c r="H175" s="4"/>
      <c r="I175" s="35" t="s">
        <v>1068</v>
      </c>
      <c r="J175" s="35" t="s">
        <v>571</v>
      </c>
      <c r="K175" s="35" t="s">
        <v>1069</v>
      </c>
      <c r="L175" s="35" t="s">
        <v>71</v>
      </c>
      <c r="M175" s="35" t="s">
        <v>434</v>
      </c>
      <c r="N175" s="35" t="s">
        <v>141</v>
      </c>
      <c r="O175" s="35" t="s">
        <v>179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1">
        <v>168.0</v>
      </c>
      <c r="B176" s="35" t="s">
        <v>1070</v>
      </c>
      <c r="C176" s="2"/>
      <c r="D176" s="35" t="s">
        <v>1071</v>
      </c>
      <c r="E176" s="35" t="s">
        <v>1072</v>
      </c>
      <c r="F176" s="2"/>
      <c r="G176" s="36" t="s">
        <v>1073</v>
      </c>
      <c r="H176" s="4"/>
      <c r="I176" s="35" t="s">
        <v>1074</v>
      </c>
      <c r="J176" s="35" t="s">
        <v>571</v>
      </c>
      <c r="K176" s="35" t="s">
        <v>1075</v>
      </c>
      <c r="L176" s="35" t="s">
        <v>99</v>
      </c>
      <c r="M176" s="35" t="s">
        <v>523</v>
      </c>
      <c r="N176" s="41">
        <v>45807.0</v>
      </c>
      <c r="O176" s="35" t="s">
        <v>648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1">
        <v>169.0</v>
      </c>
      <c r="B177" s="35" t="s">
        <v>1076</v>
      </c>
      <c r="C177" s="35" t="s">
        <v>1077</v>
      </c>
      <c r="D177" s="35" t="s">
        <v>1078</v>
      </c>
      <c r="E177" s="35" t="s">
        <v>1079</v>
      </c>
      <c r="F177" s="2"/>
      <c r="G177" s="3"/>
      <c r="H177" s="4"/>
      <c r="I177" s="35" t="s">
        <v>1080</v>
      </c>
      <c r="J177" s="35" t="s">
        <v>571</v>
      </c>
      <c r="K177" s="35" t="s">
        <v>1081</v>
      </c>
      <c r="L177" s="35" t="s">
        <v>99</v>
      </c>
      <c r="M177" s="35" t="s">
        <v>1082</v>
      </c>
      <c r="N177" s="41">
        <v>44954.0</v>
      </c>
      <c r="O177" s="35" t="s">
        <v>179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1">
        <v>170.0</v>
      </c>
      <c r="B178" s="35" t="s">
        <v>1083</v>
      </c>
      <c r="C178" s="35" t="s">
        <v>1084</v>
      </c>
      <c r="D178" s="35" t="s">
        <v>1085</v>
      </c>
      <c r="E178" s="35" t="s">
        <v>1086</v>
      </c>
      <c r="F178" s="2"/>
      <c r="G178" s="36" t="s">
        <v>1087</v>
      </c>
      <c r="H178" s="4"/>
      <c r="I178" s="35" t="s">
        <v>1088</v>
      </c>
      <c r="J178" s="35" t="s">
        <v>571</v>
      </c>
      <c r="K178" s="35" t="s">
        <v>1089</v>
      </c>
      <c r="L178" s="35" t="s">
        <v>71</v>
      </c>
      <c r="M178" s="35" t="s">
        <v>523</v>
      </c>
      <c r="N178" s="41">
        <v>45787.0</v>
      </c>
      <c r="O178" s="35" t="s">
        <v>648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1">
        <v>171.0</v>
      </c>
      <c r="B179" s="35" t="s">
        <v>1090</v>
      </c>
      <c r="C179" s="35" t="s">
        <v>1091</v>
      </c>
      <c r="D179" s="35" t="s">
        <v>1092</v>
      </c>
      <c r="E179" s="35" t="s">
        <v>1093</v>
      </c>
      <c r="F179" s="2"/>
      <c r="G179" s="36" t="s">
        <v>1094</v>
      </c>
      <c r="H179" s="4"/>
      <c r="I179" s="35" t="s">
        <v>1095</v>
      </c>
      <c r="J179" s="35" t="s">
        <v>571</v>
      </c>
      <c r="K179" s="35" t="s">
        <v>208</v>
      </c>
      <c r="L179" s="35" t="s">
        <v>99</v>
      </c>
      <c r="M179" s="35" t="s">
        <v>319</v>
      </c>
      <c r="N179" s="35">
        <v>2024.0</v>
      </c>
      <c r="O179" s="35" t="s">
        <v>980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1">
        <v>172.0</v>
      </c>
      <c r="B180" s="35" t="s">
        <v>1096</v>
      </c>
      <c r="C180" s="35" t="s">
        <v>1097</v>
      </c>
      <c r="D180" s="35" t="s">
        <v>1098</v>
      </c>
      <c r="E180" s="35" t="s">
        <v>1099</v>
      </c>
      <c r="F180" s="2"/>
      <c r="G180" s="3"/>
      <c r="H180" s="4"/>
      <c r="I180" s="35" t="s">
        <v>1100</v>
      </c>
      <c r="J180" s="35" t="s">
        <v>571</v>
      </c>
      <c r="K180" s="35" t="s">
        <v>1101</v>
      </c>
      <c r="L180" s="35" t="s">
        <v>71</v>
      </c>
      <c r="M180" s="35" t="s">
        <v>319</v>
      </c>
      <c r="N180" s="41">
        <v>45508.0</v>
      </c>
      <c r="O180" s="35" t="s">
        <v>1102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1">
        <v>173.0</v>
      </c>
      <c r="B181" s="35" t="s">
        <v>1103</v>
      </c>
      <c r="C181" s="2"/>
      <c r="D181" s="35" t="s">
        <v>1104</v>
      </c>
      <c r="E181" s="35" t="s">
        <v>1105</v>
      </c>
      <c r="F181" s="2"/>
      <c r="G181" s="3"/>
      <c r="H181" s="4"/>
      <c r="I181" s="35" t="s">
        <v>1106</v>
      </c>
      <c r="J181" s="35" t="s">
        <v>571</v>
      </c>
      <c r="K181" s="35" t="s">
        <v>1107</v>
      </c>
      <c r="L181" s="35" t="s">
        <v>99</v>
      </c>
      <c r="M181" s="35" t="s">
        <v>523</v>
      </c>
      <c r="N181" s="41">
        <v>45794.0</v>
      </c>
      <c r="O181" s="35" t="s">
        <v>648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1">
        <v>174.0</v>
      </c>
      <c r="B182" s="35" t="s">
        <v>1108</v>
      </c>
      <c r="C182" s="35" t="s">
        <v>1109</v>
      </c>
      <c r="D182" s="35" t="s">
        <v>1110</v>
      </c>
      <c r="E182" s="35" t="s">
        <v>1111</v>
      </c>
      <c r="F182" s="2"/>
      <c r="G182" s="36" t="s">
        <v>1112</v>
      </c>
      <c r="H182" s="4"/>
      <c r="I182" s="35" t="s">
        <v>1113</v>
      </c>
      <c r="J182" s="35" t="s">
        <v>571</v>
      </c>
      <c r="K182" s="35" t="s">
        <v>646</v>
      </c>
      <c r="L182" s="35" t="s">
        <v>99</v>
      </c>
      <c r="M182" s="35" t="s">
        <v>1114</v>
      </c>
      <c r="N182" s="51">
        <v>45982.0</v>
      </c>
      <c r="O182" s="35" t="s">
        <v>648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1">
        <v>175.0</v>
      </c>
      <c r="B183" s="35" t="s">
        <v>1115</v>
      </c>
      <c r="C183" s="35" t="s">
        <v>1116</v>
      </c>
      <c r="D183" s="35" t="s">
        <v>1117</v>
      </c>
      <c r="E183" s="35" t="s">
        <v>1118</v>
      </c>
      <c r="F183" s="35" t="s">
        <v>1119</v>
      </c>
      <c r="G183" s="36" t="s">
        <v>1120</v>
      </c>
      <c r="H183" s="4"/>
      <c r="I183" s="35" t="s">
        <v>1121</v>
      </c>
      <c r="J183" s="35" t="s">
        <v>571</v>
      </c>
      <c r="K183" s="35" t="s">
        <v>1122</v>
      </c>
      <c r="L183" s="35" t="s">
        <v>99</v>
      </c>
      <c r="M183" s="35" t="s">
        <v>885</v>
      </c>
      <c r="N183" s="41">
        <v>43495.0</v>
      </c>
      <c r="O183" s="35" t="s">
        <v>648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1">
        <v>176.0</v>
      </c>
      <c r="B184" s="35" t="s">
        <v>1115</v>
      </c>
      <c r="C184" s="35" t="s">
        <v>1116</v>
      </c>
      <c r="D184" s="35" t="s">
        <v>1117</v>
      </c>
      <c r="E184" s="35" t="s">
        <v>1118</v>
      </c>
      <c r="F184" s="35" t="s">
        <v>1119</v>
      </c>
      <c r="G184" s="36" t="s">
        <v>1120</v>
      </c>
      <c r="H184" s="4"/>
      <c r="I184" s="35" t="s">
        <v>1123</v>
      </c>
      <c r="J184" s="35" t="s">
        <v>571</v>
      </c>
      <c r="K184" s="35" t="s">
        <v>1122</v>
      </c>
      <c r="L184" s="35" t="s">
        <v>99</v>
      </c>
      <c r="M184" s="35" t="s">
        <v>1124</v>
      </c>
      <c r="N184" s="41">
        <v>42491.0</v>
      </c>
      <c r="O184" s="35" t="s">
        <v>648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1">
        <v>177.0</v>
      </c>
      <c r="B185" s="35" t="s">
        <v>1125</v>
      </c>
      <c r="C185" s="35" t="s">
        <v>1126</v>
      </c>
      <c r="D185" s="35" t="s">
        <v>1127</v>
      </c>
      <c r="E185" s="35" t="s">
        <v>1128</v>
      </c>
      <c r="F185" s="2"/>
      <c r="G185" s="36" t="s">
        <v>1129</v>
      </c>
      <c r="H185" s="4"/>
      <c r="I185" s="35" t="s">
        <v>1130</v>
      </c>
      <c r="J185" s="35" t="s">
        <v>571</v>
      </c>
      <c r="K185" s="35" t="s">
        <v>1131</v>
      </c>
      <c r="L185" s="35" t="s">
        <v>71</v>
      </c>
      <c r="M185" s="35" t="s">
        <v>444</v>
      </c>
      <c r="N185" s="51">
        <v>46013.0</v>
      </c>
      <c r="O185" s="35" t="s">
        <v>186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1">
        <v>178.0</v>
      </c>
      <c r="B186" s="35" t="s">
        <v>1132</v>
      </c>
      <c r="C186" s="2"/>
      <c r="D186" s="35" t="s">
        <v>1133</v>
      </c>
      <c r="E186" s="35" t="s">
        <v>1134</v>
      </c>
      <c r="F186" s="2"/>
      <c r="G186" s="3"/>
      <c r="H186" s="4"/>
      <c r="I186" s="35" t="s">
        <v>1135</v>
      </c>
      <c r="J186" s="35" t="s">
        <v>571</v>
      </c>
      <c r="K186" s="35" t="s">
        <v>1136</v>
      </c>
      <c r="L186" s="35" t="s">
        <v>71</v>
      </c>
      <c r="M186" s="35" t="s">
        <v>1137</v>
      </c>
      <c r="N186" s="41">
        <v>45458.0</v>
      </c>
      <c r="O186" s="35" t="s">
        <v>1138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1">
        <v>179.0</v>
      </c>
      <c r="B187" s="35" t="s">
        <v>1139</v>
      </c>
      <c r="C187" s="35" t="s">
        <v>1140</v>
      </c>
      <c r="D187" s="35" t="s">
        <v>1141</v>
      </c>
      <c r="E187" s="35" t="s">
        <v>1142</v>
      </c>
      <c r="F187" s="35" t="s">
        <v>1143</v>
      </c>
      <c r="G187" s="36" t="s">
        <v>1144</v>
      </c>
      <c r="H187" s="4"/>
      <c r="I187" s="35" t="s">
        <v>1145</v>
      </c>
      <c r="J187" s="35" t="s">
        <v>571</v>
      </c>
      <c r="K187" s="35" t="s">
        <v>646</v>
      </c>
      <c r="L187" s="35" t="s">
        <v>71</v>
      </c>
      <c r="M187" s="35" t="s">
        <v>242</v>
      </c>
      <c r="N187" s="41">
        <v>45706.0</v>
      </c>
      <c r="O187" s="35" t="s">
        <v>163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1">
        <v>180.0</v>
      </c>
      <c r="B188" s="35" t="s">
        <v>1146</v>
      </c>
      <c r="C188" s="35" t="s">
        <v>1147</v>
      </c>
      <c r="D188" s="35" t="s">
        <v>1148</v>
      </c>
      <c r="E188" s="35" t="s">
        <v>1149</v>
      </c>
      <c r="F188" s="35" t="s">
        <v>1150</v>
      </c>
      <c r="G188" s="36" t="s">
        <v>1151</v>
      </c>
      <c r="H188" s="4"/>
      <c r="I188" s="35" t="s">
        <v>1152</v>
      </c>
      <c r="J188" s="35" t="s">
        <v>571</v>
      </c>
      <c r="K188" s="35" t="s">
        <v>1122</v>
      </c>
      <c r="L188" s="35" t="s">
        <v>99</v>
      </c>
      <c r="M188" s="35" t="s">
        <v>353</v>
      </c>
      <c r="N188" s="41">
        <v>44359.0</v>
      </c>
      <c r="O188" s="35" t="s">
        <v>1153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1">
        <v>181.0</v>
      </c>
      <c r="B189" s="35" t="s">
        <v>1154</v>
      </c>
      <c r="C189" s="2"/>
      <c r="D189" s="35" t="s">
        <v>1155</v>
      </c>
      <c r="E189" s="35" t="s">
        <v>1156</v>
      </c>
      <c r="F189" s="2"/>
      <c r="G189" s="36" t="s">
        <v>1157</v>
      </c>
      <c r="H189" s="4"/>
      <c r="I189" s="35" t="s">
        <v>1158</v>
      </c>
      <c r="J189" s="35" t="s">
        <v>571</v>
      </c>
      <c r="K189" s="35" t="s">
        <v>1122</v>
      </c>
      <c r="L189" s="35" t="s">
        <v>71</v>
      </c>
      <c r="M189" s="35" t="s">
        <v>242</v>
      </c>
      <c r="N189" s="35" t="s">
        <v>141</v>
      </c>
      <c r="O189" s="35" t="s">
        <v>1102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1">
        <v>182.0</v>
      </c>
      <c r="B190" s="35" t="s">
        <v>1159</v>
      </c>
      <c r="C190" s="35" t="s">
        <v>1160</v>
      </c>
      <c r="D190" s="35" t="s">
        <v>1161</v>
      </c>
      <c r="E190" s="35" t="s">
        <v>1162</v>
      </c>
      <c r="F190" s="2"/>
      <c r="G190" s="36" t="s">
        <v>1163</v>
      </c>
      <c r="H190" s="4"/>
      <c r="I190" s="35" t="s">
        <v>1164</v>
      </c>
      <c r="J190" s="35" t="s">
        <v>571</v>
      </c>
      <c r="K190" s="35" t="s">
        <v>1122</v>
      </c>
      <c r="L190" s="35" t="s">
        <v>71</v>
      </c>
      <c r="M190" s="35" t="s">
        <v>304</v>
      </c>
      <c r="N190" s="41">
        <v>45844.0</v>
      </c>
      <c r="O190" s="35" t="s">
        <v>648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1">
        <v>183.0</v>
      </c>
      <c r="B191" s="35" t="s">
        <v>1165</v>
      </c>
      <c r="C191" s="35" t="s">
        <v>1166</v>
      </c>
      <c r="D191" s="35" t="s">
        <v>1167</v>
      </c>
      <c r="E191" s="35" t="s">
        <v>1168</v>
      </c>
      <c r="F191" s="35" t="s">
        <v>1169</v>
      </c>
      <c r="G191" s="36" t="s">
        <v>1170</v>
      </c>
      <c r="H191" s="4"/>
      <c r="I191" s="35" t="s">
        <v>1171</v>
      </c>
      <c r="J191" s="35" t="s">
        <v>571</v>
      </c>
      <c r="K191" s="35" t="s">
        <v>80</v>
      </c>
      <c r="L191" s="35" t="s">
        <v>71</v>
      </c>
      <c r="M191" s="35" t="s">
        <v>304</v>
      </c>
      <c r="N191" s="41">
        <v>45855.0</v>
      </c>
      <c r="O191" s="35" t="s">
        <v>1172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1">
        <v>184.0</v>
      </c>
      <c r="B192" s="35" t="s">
        <v>1173</v>
      </c>
      <c r="C192" s="35" t="s">
        <v>1174</v>
      </c>
      <c r="D192" s="35" t="s">
        <v>1175</v>
      </c>
      <c r="E192" s="35" t="s">
        <v>1176</v>
      </c>
      <c r="F192" s="2"/>
      <c r="G192" s="3"/>
      <c r="H192" s="4"/>
      <c r="I192" s="35" t="s">
        <v>1177</v>
      </c>
      <c r="J192" s="35" t="s">
        <v>571</v>
      </c>
      <c r="K192" s="35" t="s">
        <v>1178</v>
      </c>
      <c r="L192" s="35" t="s">
        <v>71</v>
      </c>
      <c r="M192" s="35" t="s">
        <v>319</v>
      </c>
      <c r="N192" s="41">
        <v>45359.0</v>
      </c>
      <c r="O192" s="35" t="s">
        <v>163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1">
        <v>185.0</v>
      </c>
      <c r="B193" s="35" t="s">
        <v>1179</v>
      </c>
      <c r="C193" s="35" t="s">
        <v>1180</v>
      </c>
      <c r="D193" s="35" t="s">
        <v>1181</v>
      </c>
      <c r="E193" s="35" t="s">
        <v>1182</v>
      </c>
      <c r="F193" s="2"/>
      <c r="G193" s="36" t="s">
        <v>1183</v>
      </c>
      <c r="H193" s="4"/>
      <c r="I193" s="35" t="s">
        <v>1184</v>
      </c>
      <c r="J193" s="35" t="s">
        <v>571</v>
      </c>
      <c r="K193" s="35" t="s">
        <v>484</v>
      </c>
      <c r="L193" s="35" t="s">
        <v>71</v>
      </c>
      <c r="M193" s="35" t="s">
        <v>444</v>
      </c>
      <c r="N193" s="41">
        <v>46036.0</v>
      </c>
      <c r="O193" s="35" t="s">
        <v>1185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1">
        <v>186.0</v>
      </c>
      <c r="B194" s="35" t="s">
        <v>1186</v>
      </c>
      <c r="C194" s="35" t="s">
        <v>1187</v>
      </c>
      <c r="D194" s="35" t="s">
        <v>1188</v>
      </c>
      <c r="E194" s="35" t="s">
        <v>1189</v>
      </c>
      <c r="F194" s="35" t="s">
        <v>1190</v>
      </c>
      <c r="G194" s="36" t="s">
        <v>1191</v>
      </c>
      <c r="H194" s="4"/>
      <c r="I194" s="35" t="s">
        <v>1192</v>
      </c>
      <c r="J194" s="35" t="s">
        <v>571</v>
      </c>
      <c r="K194" s="35" t="s">
        <v>1101</v>
      </c>
      <c r="L194" s="35" t="s">
        <v>99</v>
      </c>
      <c r="M194" s="35" t="s">
        <v>319</v>
      </c>
      <c r="N194" s="41">
        <v>45549.0</v>
      </c>
      <c r="O194" s="35" t="s">
        <v>1193</v>
      </c>
      <c r="P194" s="35" t="s">
        <v>164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1">
        <v>187.0</v>
      </c>
      <c r="B195" s="35" t="s">
        <v>1194</v>
      </c>
      <c r="C195" s="35" t="s">
        <v>1195</v>
      </c>
      <c r="D195" s="35" t="s">
        <v>1196</v>
      </c>
      <c r="E195" s="35" t="s">
        <v>1197</v>
      </c>
      <c r="F195" s="2"/>
      <c r="G195" s="36" t="s">
        <v>1198</v>
      </c>
      <c r="H195" s="4"/>
      <c r="I195" s="35" t="s">
        <v>1199</v>
      </c>
      <c r="J195" s="35" t="s">
        <v>571</v>
      </c>
      <c r="K195" s="35" t="s">
        <v>739</v>
      </c>
      <c r="L195" s="35" t="s">
        <v>99</v>
      </c>
      <c r="M195" s="35" t="s">
        <v>297</v>
      </c>
      <c r="N195" s="35" t="s">
        <v>1200</v>
      </c>
      <c r="O195" s="35" t="s">
        <v>141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1">
        <v>188.0</v>
      </c>
      <c r="B196" s="35" t="s">
        <v>1194</v>
      </c>
      <c r="C196" s="35" t="s">
        <v>1195</v>
      </c>
      <c r="D196" s="35" t="s">
        <v>1196</v>
      </c>
      <c r="E196" s="35" t="s">
        <v>1197</v>
      </c>
      <c r="F196" s="2"/>
      <c r="G196" s="36" t="s">
        <v>1198</v>
      </c>
      <c r="H196" s="4"/>
      <c r="I196" s="35" t="s">
        <v>1201</v>
      </c>
      <c r="J196" s="35" t="s">
        <v>1202</v>
      </c>
      <c r="K196" s="35" t="s">
        <v>1203</v>
      </c>
      <c r="L196" s="35" t="s">
        <v>71</v>
      </c>
      <c r="M196" s="35" t="s">
        <v>596</v>
      </c>
      <c r="N196" s="2"/>
      <c r="O196" s="35" t="s">
        <v>179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1">
        <v>189.0</v>
      </c>
      <c r="B197" s="35" t="s">
        <v>1204</v>
      </c>
      <c r="C197" s="35" t="s">
        <v>1205</v>
      </c>
      <c r="D197" s="35" t="s">
        <v>1206</v>
      </c>
      <c r="E197" s="35" t="s">
        <v>1207</v>
      </c>
      <c r="F197" s="2"/>
      <c r="G197" s="36" t="s">
        <v>1208</v>
      </c>
      <c r="H197" s="4"/>
      <c r="I197" s="35" t="s">
        <v>1209</v>
      </c>
      <c r="J197" s="35" t="s">
        <v>571</v>
      </c>
      <c r="K197" s="35" t="s">
        <v>208</v>
      </c>
      <c r="L197" s="35" t="s">
        <v>71</v>
      </c>
      <c r="M197" s="35" t="s">
        <v>1210</v>
      </c>
      <c r="N197" s="51">
        <v>45595.0</v>
      </c>
      <c r="O197" s="35" t="s">
        <v>556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1">
        <v>190.0</v>
      </c>
      <c r="B198" s="35" t="s">
        <v>141</v>
      </c>
      <c r="C198" s="35" t="s">
        <v>141</v>
      </c>
      <c r="D198" s="35" t="s">
        <v>141</v>
      </c>
      <c r="E198" s="35" t="s">
        <v>141</v>
      </c>
      <c r="F198" s="2"/>
      <c r="G198" s="3"/>
      <c r="H198" s="4"/>
      <c r="I198" s="35" t="s">
        <v>1211</v>
      </c>
      <c r="J198" s="35" t="s">
        <v>1212</v>
      </c>
      <c r="K198" s="35" t="s">
        <v>1213</v>
      </c>
      <c r="L198" s="35" t="s">
        <v>71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1">
        <v>191.0</v>
      </c>
      <c r="B199" s="35"/>
      <c r="C199" s="35" t="s">
        <v>1214</v>
      </c>
      <c r="D199" s="35" t="s">
        <v>1215</v>
      </c>
      <c r="E199" s="35" t="s">
        <v>1216</v>
      </c>
      <c r="F199" s="2"/>
      <c r="G199" s="3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1">
        <v>192.0</v>
      </c>
      <c r="B200" s="35" t="s">
        <v>1217</v>
      </c>
      <c r="C200" s="35" t="s">
        <v>1218</v>
      </c>
      <c r="D200" s="35" t="s">
        <v>1219</v>
      </c>
      <c r="E200" s="35" t="s">
        <v>1220</v>
      </c>
      <c r="F200" s="35" t="s">
        <v>1221</v>
      </c>
      <c r="G200" s="36" t="s">
        <v>1222</v>
      </c>
      <c r="H200" s="4"/>
      <c r="I200" s="35" t="s">
        <v>1223</v>
      </c>
      <c r="J200" s="35" t="s">
        <v>571</v>
      </c>
      <c r="K200" s="35" t="s">
        <v>208</v>
      </c>
      <c r="L200" s="35" t="s">
        <v>71</v>
      </c>
      <c r="M200" s="35" t="s">
        <v>242</v>
      </c>
      <c r="N200" s="41">
        <v>45701.0</v>
      </c>
      <c r="O200" s="35" t="s">
        <v>1224</v>
      </c>
      <c r="P200" s="35" t="s">
        <v>164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1">
        <v>193.0</v>
      </c>
      <c r="B201" s="35" t="s">
        <v>1225</v>
      </c>
      <c r="C201" s="35" t="s">
        <v>1226</v>
      </c>
      <c r="D201" s="35" t="s">
        <v>1227</v>
      </c>
      <c r="E201" s="35" t="s">
        <v>1228</v>
      </c>
      <c r="F201" s="35" t="s">
        <v>1229</v>
      </c>
      <c r="G201" s="36" t="s">
        <v>1230</v>
      </c>
      <c r="H201" s="4"/>
      <c r="I201" s="35" t="s">
        <v>1231</v>
      </c>
      <c r="J201" s="35" t="s">
        <v>571</v>
      </c>
      <c r="K201" s="35" t="s">
        <v>161</v>
      </c>
      <c r="L201" s="35" t="s">
        <v>99</v>
      </c>
      <c r="M201" s="35" t="s">
        <v>885</v>
      </c>
      <c r="N201" s="51">
        <v>43047.0</v>
      </c>
      <c r="O201" s="35" t="s">
        <v>648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58"/>
      <c r="B202" s="2"/>
      <c r="C202" s="2"/>
      <c r="D202" s="2"/>
      <c r="E202" s="2"/>
      <c r="F202" s="2"/>
      <c r="G202" s="3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58"/>
      <c r="B203" s="2"/>
      <c r="C203" s="2"/>
      <c r="D203" s="2"/>
      <c r="E203" s="2"/>
      <c r="F203" s="2"/>
      <c r="G203" s="3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58"/>
      <c r="B204" s="2"/>
      <c r="C204" s="2"/>
      <c r="D204" s="2"/>
      <c r="E204" s="2"/>
      <c r="F204" s="2"/>
      <c r="G204" s="3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58"/>
      <c r="B205" s="2"/>
      <c r="C205" s="2"/>
      <c r="D205" s="2"/>
      <c r="E205" s="2"/>
      <c r="F205" s="2"/>
      <c r="G205" s="3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58"/>
      <c r="B206" s="2"/>
      <c r="C206" s="2"/>
      <c r="D206" s="2"/>
      <c r="E206" s="2"/>
      <c r="F206" s="2"/>
      <c r="G206" s="3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58"/>
      <c r="B207" s="2"/>
      <c r="C207" s="2"/>
      <c r="D207" s="2"/>
      <c r="E207" s="2"/>
      <c r="F207" s="2"/>
      <c r="G207" s="3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58"/>
      <c r="B208" s="2"/>
      <c r="C208" s="2"/>
      <c r="D208" s="2"/>
      <c r="E208" s="2"/>
      <c r="F208" s="2"/>
      <c r="G208" s="3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58"/>
      <c r="B209" s="2"/>
      <c r="C209" s="2"/>
      <c r="D209" s="2"/>
      <c r="E209" s="2"/>
      <c r="F209" s="2"/>
      <c r="G209" s="3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58"/>
      <c r="B210" s="2"/>
      <c r="C210" s="2"/>
      <c r="D210" s="2"/>
      <c r="E210" s="2"/>
      <c r="F210" s="2"/>
      <c r="G210" s="3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58"/>
      <c r="B211" s="2"/>
      <c r="C211" s="2"/>
      <c r="D211" s="2"/>
      <c r="E211" s="2"/>
      <c r="F211" s="2"/>
      <c r="G211" s="3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58"/>
      <c r="B212" s="2"/>
      <c r="C212" s="2"/>
      <c r="D212" s="2"/>
      <c r="E212" s="2"/>
      <c r="F212" s="2"/>
      <c r="G212" s="3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58"/>
      <c r="B213" s="2"/>
      <c r="C213" s="2"/>
      <c r="D213" s="2"/>
      <c r="E213" s="2"/>
      <c r="F213" s="2"/>
      <c r="G213" s="3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58"/>
      <c r="B214" s="2"/>
      <c r="C214" s="2"/>
      <c r="D214" s="2"/>
      <c r="E214" s="2"/>
      <c r="F214" s="2"/>
      <c r="G214" s="3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58"/>
      <c r="B215" s="2"/>
      <c r="C215" s="2"/>
      <c r="D215" s="2"/>
      <c r="E215" s="2"/>
      <c r="F215" s="2"/>
      <c r="G215" s="3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58"/>
      <c r="B216" s="2"/>
      <c r="C216" s="2"/>
      <c r="D216" s="2"/>
      <c r="E216" s="2"/>
      <c r="F216" s="2"/>
      <c r="G216" s="3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58"/>
      <c r="B217" s="2"/>
      <c r="C217" s="2"/>
      <c r="D217" s="2"/>
      <c r="E217" s="2"/>
      <c r="F217" s="2"/>
      <c r="G217" s="3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58"/>
      <c r="B218" s="2"/>
      <c r="C218" s="2"/>
      <c r="D218" s="2"/>
      <c r="E218" s="2"/>
      <c r="F218" s="2"/>
      <c r="G218" s="3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58"/>
      <c r="B219" s="2"/>
      <c r="C219" s="2"/>
      <c r="D219" s="2"/>
      <c r="E219" s="2"/>
      <c r="F219" s="2"/>
      <c r="G219" s="3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58"/>
      <c r="B220" s="2"/>
      <c r="C220" s="2"/>
      <c r="D220" s="2"/>
      <c r="E220" s="2"/>
      <c r="F220" s="2"/>
      <c r="G220" s="3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58"/>
      <c r="B221" s="2"/>
      <c r="C221" s="2"/>
      <c r="D221" s="2"/>
      <c r="E221" s="2"/>
      <c r="F221" s="2"/>
      <c r="G221" s="3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58"/>
      <c r="B222" s="2"/>
      <c r="C222" s="2"/>
      <c r="D222" s="2"/>
      <c r="E222" s="2"/>
      <c r="F222" s="2"/>
      <c r="G222" s="3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58"/>
      <c r="B223" s="2"/>
      <c r="C223" s="2"/>
      <c r="D223" s="2"/>
      <c r="E223" s="2"/>
      <c r="F223" s="2"/>
      <c r="G223" s="3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58"/>
      <c r="B224" s="2"/>
      <c r="C224" s="2"/>
      <c r="D224" s="2"/>
      <c r="E224" s="2"/>
      <c r="F224" s="2"/>
      <c r="G224" s="3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58"/>
      <c r="B225" s="2"/>
      <c r="C225" s="2"/>
      <c r="D225" s="2"/>
      <c r="E225" s="2"/>
      <c r="F225" s="2"/>
      <c r="G225" s="3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58"/>
      <c r="B226" s="2"/>
      <c r="C226" s="2"/>
      <c r="D226" s="2"/>
      <c r="E226" s="2"/>
      <c r="F226" s="2"/>
      <c r="G226" s="3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58"/>
      <c r="B227" s="2"/>
      <c r="C227" s="2"/>
      <c r="D227" s="2"/>
      <c r="E227" s="2"/>
      <c r="F227" s="2"/>
      <c r="G227" s="3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58"/>
      <c r="B228" s="2"/>
      <c r="C228" s="2"/>
      <c r="D228" s="2"/>
      <c r="E228" s="2"/>
      <c r="F228" s="2"/>
      <c r="G228" s="3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58"/>
      <c r="B229" s="2"/>
      <c r="C229" s="2"/>
      <c r="D229" s="2"/>
      <c r="E229" s="2"/>
      <c r="F229" s="2"/>
      <c r="G229" s="3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58"/>
      <c r="B230" s="2"/>
      <c r="C230" s="2"/>
      <c r="D230" s="2"/>
      <c r="E230" s="2"/>
      <c r="F230" s="2"/>
      <c r="G230" s="3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58"/>
      <c r="B231" s="2"/>
      <c r="C231" s="2"/>
      <c r="D231" s="2"/>
      <c r="E231" s="2"/>
      <c r="F231" s="2"/>
      <c r="G231" s="3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58"/>
      <c r="B232" s="2"/>
      <c r="C232" s="2"/>
      <c r="D232" s="2"/>
      <c r="E232" s="2"/>
      <c r="F232" s="2"/>
      <c r="G232" s="3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58"/>
      <c r="B233" s="2"/>
      <c r="C233" s="2"/>
      <c r="D233" s="2"/>
      <c r="E233" s="2"/>
      <c r="F233" s="2"/>
      <c r="G233" s="3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58"/>
      <c r="B234" s="2"/>
      <c r="C234" s="2"/>
      <c r="D234" s="2"/>
      <c r="E234" s="2"/>
      <c r="F234" s="2"/>
      <c r="G234" s="3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58"/>
      <c r="B235" s="2"/>
      <c r="C235" s="2"/>
      <c r="D235" s="2"/>
      <c r="E235" s="2"/>
      <c r="F235" s="2"/>
      <c r="G235" s="3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58"/>
      <c r="B236" s="2"/>
      <c r="C236" s="2"/>
      <c r="D236" s="2"/>
      <c r="E236" s="2"/>
      <c r="F236" s="2"/>
      <c r="G236" s="3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58"/>
      <c r="B237" s="2"/>
      <c r="C237" s="2"/>
      <c r="D237" s="2"/>
      <c r="E237" s="2"/>
      <c r="F237" s="2"/>
      <c r="G237" s="3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58"/>
      <c r="B238" s="2"/>
      <c r="C238" s="2"/>
      <c r="D238" s="2"/>
      <c r="E238" s="2"/>
      <c r="F238" s="2"/>
      <c r="G238" s="3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58"/>
      <c r="B239" s="2"/>
      <c r="C239" s="2"/>
      <c r="D239" s="2"/>
      <c r="E239" s="2"/>
      <c r="F239" s="2"/>
      <c r="G239" s="3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58"/>
      <c r="B240" s="2"/>
      <c r="C240" s="2"/>
      <c r="D240" s="2"/>
      <c r="E240" s="2"/>
      <c r="F240" s="2"/>
      <c r="G240" s="3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58"/>
      <c r="B241" s="2"/>
      <c r="C241" s="2"/>
      <c r="D241" s="2"/>
      <c r="E241" s="2"/>
      <c r="F241" s="2"/>
      <c r="G241" s="3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58"/>
      <c r="B242" s="2"/>
      <c r="C242" s="2"/>
      <c r="D242" s="2"/>
      <c r="E242" s="2"/>
      <c r="F242" s="2"/>
      <c r="G242" s="3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58"/>
      <c r="B243" s="2"/>
      <c r="C243" s="2"/>
      <c r="D243" s="2"/>
      <c r="E243" s="2"/>
      <c r="F243" s="2"/>
      <c r="G243" s="3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58"/>
      <c r="B244" s="2"/>
      <c r="C244" s="2"/>
      <c r="D244" s="2"/>
      <c r="E244" s="2"/>
      <c r="F244" s="2"/>
      <c r="G244" s="3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58"/>
      <c r="B245" s="2"/>
      <c r="C245" s="2"/>
      <c r="D245" s="2"/>
      <c r="E245" s="2"/>
      <c r="F245" s="2"/>
      <c r="G245" s="3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58"/>
      <c r="B246" s="2"/>
      <c r="C246" s="2"/>
      <c r="D246" s="2"/>
      <c r="E246" s="2"/>
      <c r="F246" s="2"/>
      <c r="G246" s="3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58"/>
      <c r="B247" s="2"/>
      <c r="C247" s="2"/>
      <c r="D247" s="2"/>
      <c r="E247" s="2"/>
      <c r="F247" s="2"/>
      <c r="G247" s="3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58"/>
      <c r="B248" s="2"/>
      <c r="C248" s="2"/>
      <c r="D248" s="2"/>
      <c r="E248" s="2"/>
      <c r="F248" s="2"/>
      <c r="G248" s="3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58"/>
      <c r="B249" s="2"/>
      <c r="C249" s="2"/>
      <c r="D249" s="2"/>
      <c r="E249" s="2"/>
      <c r="F249" s="2"/>
      <c r="G249" s="3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58"/>
      <c r="B250" s="2"/>
      <c r="C250" s="2"/>
      <c r="D250" s="2"/>
      <c r="E250" s="2"/>
      <c r="F250" s="2"/>
      <c r="G250" s="3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58"/>
      <c r="B251" s="2"/>
      <c r="C251" s="2"/>
      <c r="D251" s="2"/>
      <c r="E251" s="2"/>
      <c r="F251" s="2"/>
      <c r="G251" s="3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58"/>
      <c r="B252" s="2"/>
      <c r="C252" s="2"/>
      <c r="D252" s="2"/>
      <c r="E252" s="2"/>
      <c r="F252" s="2"/>
      <c r="G252" s="3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58"/>
      <c r="B253" s="2"/>
      <c r="C253" s="2"/>
      <c r="D253" s="2"/>
      <c r="E253" s="2"/>
      <c r="F253" s="2"/>
      <c r="G253" s="3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58"/>
      <c r="B254" s="2"/>
      <c r="C254" s="2"/>
      <c r="D254" s="2"/>
      <c r="E254" s="2"/>
      <c r="F254" s="2"/>
      <c r="G254" s="3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58"/>
      <c r="B255" s="2"/>
      <c r="C255" s="2"/>
      <c r="D255" s="2"/>
      <c r="E255" s="2"/>
      <c r="F255" s="2"/>
      <c r="G255" s="3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58"/>
      <c r="B256" s="2"/>
      <c r="C256" s="2"/>
      <c r="D256" s="2"/>
      <c r="E256" s="2"/>
      <c r="F256" s="2"/>
      <c r="G256" s="3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58"/>
      <c r="B257" s="2"/>
      <c r="C257" s="2"/>
      <c r="D257" s="2"/>
      <c r="E257" s="2"/>
      <c r="F257" s="2"/>
      <c r="G257" s="3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58"/>
      <c r="B258" s="2"/>
      <c r="C258" s="2"/>
      <c r="D258" s="2"/>
      <c r="E258" s="2"/>
      <c r="F258" s="2"/>
      <c r="G258" s="3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58"/>
      <c r="B259" s="2"/>
      <c r="C259" s="2"/>
      <c r="D259" s="2"/>
      <c r="E259" s="2"/>
      <c r="F259" s="2"/>
      <c r="G259" s="3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58"/>
      <c r="B260" s="2"/>
      <c r="C260" s="2"/>
      <c r="D260" s="2"/>
      <c r="E260" s="2"/>
      <c r="F260" s="2"/>
      <c r="G260" s="3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58"/>
      <c r="B261" s="2"/>
      <c r="C261" s="2"/>
      <c r="D261" s="2"/>
      <c r="E261" s="2"/>
      <c r="F261" s="2"/>
      <c r="G261" s="3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58"/>
      <c r="B262" s="2"/>
      <c r="C262" s="2"/>
      <c r="D262" s="2"/>
      <c r="E262" s="2"/>
      <c r="F262" s="2"/>
      <c r="G262" s="3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58"/>
      <c r="B263" s="2"/>
      <c r="C263" s="2"/>
      <c r="D263" s="2"/>
      <c r="E263" s="2"/>
      <c r="F263" s="2"/>
      <c r="G263" s="3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58"/>
      <c r="B264" s="2"/>
      <c r="C264" s="2"/>
      <c r="D264" s="2"/>
      <c r="E264" s="2"/>
      <c r="F264" s="2"/>
      <c r="G264" s="3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58"/>
      <c r="B265" s="2"/>
      <c r="C265" s="2"/>
      <c r="D265" s="2"/>
      <c r="E265" s="2"/>
      <c r="F265" s="2"/>
      <c r="G265" s="3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58"/>
      <c r="B266" s="2"/>
      <c r="C266" s="2"/>
      <c r="D266" s="2"/>
      <c r="E266" s="2"/>
      <c r="F266" s="2"/>
      <c r="G266" s="3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58"/>
      <c r="B267" s="2"/>
      <c r="C267" s="2"/>
      <c r="D267" s="2"/>
      <c r="E267" s="2"/>
      <c r="F267" s="2"/>
      <c r="G267" s="3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58"/>
      <c r="B268" s="2"/>
      <c r="C268" s="2"/>
      <c r="D268" s="2"/>
      <c r="E268" s="2"/>
      <c r="F268" s="2"/>
      <c r="G268" s="3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58"/>
      <c r="B269" s="2"/>
      <c r="C269" s="2"/>
      <c r="D269" s="2"/>
      <c r="E269" s="2"/>
      <c r="F269" s="2"/>
      <c r="G269" s="3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58"/>
      <c r="B270" s="2"/>
      <c r="C270" s="2"/>
      <c r="D270" s="2"/>
      <c r="E270" s="2"/>
      <c r="F270" s="2"/>
      <c r="G270" s="3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58"/>
      <c r="B271" s="2"/>
      <c r="C271" s="2"/>
      <c r="D271" s="2"/>
      <c r="E271" s="2"/>
      <c r="F271" s="2"/>
      <c r="G271" s="3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58"/>
      <c r="B272" s="2"/>
      <c r="C272" s="2"/>
      <c r="D272" s="2"/>
      <c r="E272" s="2"/>
      <c r="F272" s="2"/>
      <c r="G272" s="3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58"/>
      <c r="B273" s="2"/>
      <c r="C273" s="2"/>
      <c r="D273" s="2"/>
      <c r="E273" s="2"/>
      <c r="F273" s="2"/>
      <c r="G273" s="3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58"/>
      <c r="B274" s="2"/>
      <c r="C274" s="2"/>
      <c r="D274" s="2"/>
      <c r="E274" s="2"/>
      <c r="F274" s="2"/>
      <c r="G274" s="3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58"/>
      <c r="B275" s="2"/>
      <c r="C275" s="2"/>
      <c r="D275" s="2"/>
      <c r="E275" s="2"/>
      <c r="F275" s="2"/>
      <c r="G275" s="3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58"/>
      <c r="B276" s="2"/>
      <c r="C276" s="2"/>
      <c r="D276" s="2"/>
      <c r="E276" s="2"/>
      <c r="F276" s="2"/>
      <c r="G276" s="3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58"/>
      <c r="B277" s="2"/>
      <c r="C277" s="2"/>
      <c r="D277" s="2"/>
      <c r="E277" s="2"/>
      <c r="F277" s="2"/>
      <c r="G277" s="3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58"/>
      <c r="B278" s="2"/>
      <c r="C278" s="2"/>
      <c r="D278" s="2"/>
      <c r="E278" s="2"/>
      <c r="F278" s="2"/>
      <c r="G278" s="3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58"/>
      <c r="B279" s="2"/>
      <c r="C279" s="2"/>
      <c r="D279" s="2"/>
      <c r="E279" s="2"/>
      <c r="F279" s="2"/>
      <c r="G279" s="3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58"/>
      <c r="B280" s="2"/>
      <c r="C280" s="2"/>
      <c r="D280" s="2"/>
      <c r="E280" s="2"/>
      <c r="F280" s="2"/>
      <c r="G280" s="3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58"/>
      <c r="B281" s="2"/>
      <c r="C281" s="2"/>
      <c r="D281" s="2"/>
      <c r="E281" s="2"/>
      <c r="F281" s="2"/>
      <c r="G281" s="3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58"/>
      <c r="B282" s="2"/>
      <c r="C282" s="2"/>
      <c r="D282" s="2"/>
      <c r="E282" s="2"/>
      <c r="F282" s="2"/>
      <c r="G282" s="3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58"/>
      <c r="B283" s="2"/>
      <c r="C283" s="2"/>
      <c r="D283" s="2"/>
      <c r="E283" s="2"/>
      <c r="F283" s="2"/>
      <c r="G283" s="3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58"/>
      <c r="B284" s="2"/>
      <c r="C284" s="2"/>
      <c r="D284" s="2"/>
      <c r="E284" s="2"/>
      <c r="F284" s="2"/>
      <c r="G284" s="3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58"/>
      <c r="B285" s="2"/>
      <c r="C285" s="2"/>
      <c r="D285" s="2"/>
      <c r="E285" s="2"/>
      <c r="F285" s="2"/>
      <c r="G285" s="3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58"/>
      <c r="B286" s="2"/>
      <c r="C286" s="2"/>
      <c r="D286" s="2"/>
      <c r="E286" s="2"/>
      <c r="F286" s="2"/>
      <c r="G286" s="3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58"/>
      <c r="B287" s="2"/>
      <c r="C287" s="2"/>
      <c r="D287" s="2"/>
      <c r="E287" s="2"/>
      <c r="F287" s="2"/>
      <c r="G287" s="3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58"/>
      <c r="B288" s="2"/>
      <c r="C288" s="2"/>
      <c r="D288" s="2"/>
      <c r="E288" s="2"/>
      <c r="F288" s="2"/>
      <c r="G288" s="3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58"/>
      <c r="B289" s="2"/>
      <c r="C289" s="2"/>
      <c r="D289" s="2"/>
      <c r="E289" s="2"/>
      <c r="F289" s="2"/>
      <c r="G289" s="3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58"/>
      <c r="B290" s="2"/>
      <c r="C290" s="2"/>
      <c r="D290" s="2"/>
      <c r="E290" s="2"/>
      <c r="F290" s="2"/>
      <c r="G290" s="3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58"/>
      <c r="B291" s="2"/>
      <c r="C291" s="2"/>
      <c r="D291" s="2"/>
      <c r="E291" s="2"/>
      <c r="F291" s="2"/>
      <c r="G291" s="3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58"/>
      <c r="B292" s="2"/>
      <c r="C292" s="2"/>
      <c r="D292" s="2"/>
      <c r="E292" s="2"/>
      <c r="F292" s="2"/>
      <c r="G292" s="3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58"/>
      <c r="B293" s="2"/>
      <c r="C293" s="2"/>
      <c r="D293" s="2"/>
      <c r="E293" s="2"/>
      <c r="F293" s="2"/>
      <c r="G293" s="3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58"/>
      <c r="B294" s="2"/>
      <c r="C294" s="2"/>
      <c r="D294" s="2"/>
      <c r="E294" s="2"/>
      <c r="F294" s="2"/>
      <c r="G294" s="3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58"/>
      <c r="B295" s="2"/>
      <c r="C295" s="2"/>
      <c r="D295" s="2"/>
      <c r="E295" s="2"/>
      <c r="F295" s="2"/>
      <c r="G295" s="3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58"/>
      <c r="B296" s="2"/>
      <c r="C296" s="2"/>
      <c r="D296" s="2"/>
      <c r="E296" s="2"/>
      <c r="F296" s="2"/>
      <c r="G296" s="3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58"/>
      <c r="B297" s="2"/>
      <c r="C297" s="2"/>
      <c r="D297" s="2"/>
      <c r="E297" s="2"/>
      <c r="F297" s="2"/>
      <c r="G297" s="3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58"/>
      <c r="B298" s="2"/>
      <c r="C298" s="2"/>
      <c r="D298" s="2"/>
      <c r="E298" s="2"/>
      <c r="F298" s="2"/>
      <c r="G298" s="3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58"/>
      <c r="B299" s="2"/>
      <c r="C299" s="2"/>
      <c r="D299" s="2"/>
      <c r="E299" s="2"/>
      <c r="F299" s="2"/>
      <c r="G299" s="3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58"/>
      <c r="B300" s="2"/>
      <c r="C300" s="2"/>
      <c r="D300" s="2"/>
      <c r="E300" s="2"/>
      <c r="F300" s="2"/>
      <c r="G300" s="3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58"/>
      <c r="B301" s="2"/>
      <c r="C301" s="2"/>
      <c r="D301" s="2"/>
      <c r="E301" s="2"/>
      <c r="F301" s="2"/>
      <c r="G301" s="3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58"/>
      <c r="B302" s="2"/>
      <c r="C302" s="2"/>
      <c r="D302" s="2"/>
      <c r="E302" s="2"/>
      <c r="F302" s="2"/>
      <c r="G302" s="3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58"/>
      <c r="B303" s="2"/>
      <c r="C303" s="2"/>
      <c r="D303" s="2"/>
      <c r="E303" s="2"/>
      <c r="F303" s="2"/>
      <c r="G303" s="3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58"/>
      <c r="B304" s="2"/>
      <c r="C304" s="2"/>
      <c r="D304" s="2"/>
      <c r="E304" s="2"/>
      <c r="F304" s="2"/>
      <c r="G304" s="3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58"/>
      <c r="B305" s="2"/>
      <c r="C305" s="2"/>
      <c r="D305" s="2"/>
      <c r="E305" s="2"/>
      <c r="F305" s="2"/>
      <c r="G305" s="3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58"/>
      <c r="B306" s="2"/>
      <c r="C306" s="2"/>
      <c r="D306" s="2"/>
      <c r="E306" s="2"/>
      <c r="F306" s="2"/>
      <c r="G306" s="3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58"/>
      <c r="B307" s="2"/>
      <c r="C307" s="2"/>
      <c r="D307" s="2"/>
      <c r="E307" s="2"/>
      <c r="F307" s="2"/>
      <c r="G307" s="3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58"/>
      <c r="B308" s="2"/>
      <c r="C308" s="2"/>
      <c r="D308" s="2"/>
      <c r="E308" s="2"/>
      <c r="F308" s="2"/>
      <c r="G308" s="3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58"/>
      <c r="B309" s="2"/>
      <c r="C309" s="2"/>
      <c r="D309" s="2"/>
      <c r="E309" s="2"/>
      <c r="F309" s="2"/>
      <c r="G309" s="3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58"/>
      <c r="B310" s="2"/>
      <c r="C310" s="2"/>
      <c r="D310" s="2"/>
      <c r="E310" s="2"/>
      <c r="F310" s="2"/>
      <c r="G310" s="3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58"/>
      <c r="B311" s="2"/>
      <c r="C311" s="2"/>
      <c r="D311" s="2"/>
      <c r="E311" s="2"/>
      <c r="F311" s="2"/>
      <c r="G311" s="3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58"/>
      <c r="B312" s="2"/>
      <c r="C312" s="2"/>
      <c r="D312" s="2"/>
      <c r="E312" s="2"/>
      <c r="F312" s="2"/>
      <c r="G312" s="3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58"/>
      <c r="B313" s="2"/>
      <c r="C313" s="2"/>
      <c r="D313" s="2"/>
      <c r="E313" s="2"/>
      <c r="F313" s="2"/>
      <c r="G313" s="3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58"/>
      <c r="B314" s="2"/>
      <c r="C314" s="2"/>
      <c r="D314" s="2"/>
      <c r="E314" s="2"/>
      <c r="F314" s="2"/>
      <c r="G314" s="3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58"/>
      <c r="B315" s="2"/>
      <c r="C315" s="2"/>
      <c r="D315" s="2"/>
      <c r="E315" s="2"/>
      <c r="F315" s="2"/>
      <c r="G315" s="3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58"/>
      <c r="B316" s="2"/>
      <c r="C316" s="2"/>
      <c r="D316" s="2"/>
      <c r="E316" s="2"/>
      <c r="F316" s="2"/>
      <c r="G316" s="3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58"/>
      <c r="B317" s="2"/>
      <c r="C317" s="2"/>
      <c r="D317" s="2"/>
      <c r="E317" s="2"/>
      <c r="F317" s="2"/>
      <c r="G317" s="3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58"/>
      <c r="B318" s="2"/>
      <c r="C318" s="2"/>
      <c r="D318" s="2"/>
      <c r="E318" s="2"/>
      <c r="F318" s="2"/>
      <c r="G318" s="3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58"/>
      <c r="B319" s="2"/>
      <c r="C319" s="2"/>
      <c r="D319" s="2"/>
      <c r="E319" s="2"/>
      <c r="F319" s="2"/>
      <c r="G319" s="3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58"/>
      <c r="B320" s="2"/>
      <c r="C320" s="2"/>
      <c r="D320" s="2"/>
      <c r="E320" s="2"/>
      <c r="F320" s="2"/>
      <c r="G320" s="3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58"/>
      <c r="B321" s="2"/>
      <c r="C321" s="2"/>
      <c r="D321" s="2"/>
      <c r="E321" s="2"/>
      <c r="F321" s="2"/>
      <c r="G321" s="3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58"/>
      <c r="B322" s="2"/>
      <c r="C322" s="2"/>
      <c r="D322" s="2"/>
      <c r="E322" s="2"/>
      <c r="F322" s="2"/>
      <c r="G322" s="3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58"/>
      <c r="B323" s="2"/>
      <c r="C323" s="2"/>
      <c r="D323" s="2"/>
      <c r="E323" s="2"/>
      <c r="F323" s="2"/>
      <c r="G323" s="3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58"/>
      <c r="B324" s="2"/>
      <c r="C324" s="2"/>
      <c r="D324" s="2"/>
      <c r="E324" s="2"/>
      <c r="F324" s="2"/>
      <c r="G324" s="3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58"/>
      <c r="B325" s="2"/>
      <c r="C325" s="2"/>
      <c r="D325" s="2"/>
      <c r="E325" s="2"/>
      <c r="F325" s="2"/>
      <c r="G325" s="3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58"/>
      <c r="B326" s="2"/>
      <c r="C326" s="2"/>
      <c r="D326" s="2"/>
      <c r="E326" s="2"/>
      <c r="F326" s="2"/>
      <c r="G326" s="3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58"/>
      <c r="B327" s="2"/>
      <c r="C327" s="2"/>
      <c r="D327" s="2"/>
      <c r="E327" s="2"/>
      <c r="F327" s="2"/>
      <c r="G327" s="3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58"/>
      <c r="B328" s="2"/>
      <c r="C328" s="2"/>
      <c r="D328" s="2"/>
      <c r="E328" s="2"/>
      <c r="F328" s="2"/>
      <c r="G328" s="3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58"/>
      <c r="B329" s="2"/>
      <c r="C329" s="2"/>
      <c r="D329" s="2"/>
      <c r="E329" s="2"/>
      <c r="F329" s="2"/>
      <c r="G329" s="3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58"/>
      <c r="B330" s="2"/>
      <c r="C330" s="2"/>
      <c r="D330" s="2"/>
      <c r="E330" s="2"/>
      <c r="F330" s="2"/>
      <c r="G330" s="3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58"/>
      <c r="B331" s="2"/>
      <c r="C331" s="2"/>
      <c r="D331" s="2"/>
      <c r="E331" s="2"/>
      <c r="F331" s="2"/>
      <c r="G331" s="3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58"/>
      <c r="B332" s="2"/>
      <c r="C332" s="2"/>
      <c r="D332" s="2"/>
      <c r="E332" s="2"/>
      <c r="F332" s="2"/>
      <c r="G332" s="3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58"/>
      <c r="B333" s="2"/>
      <c r="C333" s="2"/>
      <c r="D333" s="2"/>
      <c r="E333" s="2"/>
      <c r="F333" s="2"/>
      <c r="G333" s="3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58"/>
      <c r="B334" s="2"/>
      <c r="C334" s="2"/>
      <c r="D334" s="2"/>
      <c r="E334" s="2"/>
      <c r="F334" s="2"/>
      <c r="G334" s="3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58"/>
      <c r="B335" s="2"/>
      <c r="C335" s="2"/>
      <c r="D335" s="2"/>
      <c r="E335" s="2"/>
      <c r="F335" s="2"/>
      <c r="G335" s="3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58"/>
      <c r="B336" s="2"/>
      <c r="C336" s="2"/>
      <c r="D336" s="2"/>
      <c r="E336" s="2"/>
      <c r="F336" s="2"/>
      <c r="G336" s="3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58"/>
      <c r="B337" s="2"/>
      <c r="C337" s="2"/>
      <c r="D337" s="2"/>
      <c r="E337" s="2"/>
      <c r="F337" s="2"/>
      <c r="G337" s="3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58"/>
      <c r="B338" s="2"/>
      <c r="C338" s="2"/>
      <c r="D338" s="2"/>
      <c r="E338" s="2"/>
      <c r="F338" s="2"/>
      <c r="G338" s="3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58"/>
      <c r="B339" s="2"/>
      <c r="C339" s="2"/>
      <c r="D339" s="2"/>
      <c r="E339" s="2"/>
      <c r="F339" s="2"/>
      <c r="G339" s="3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58"/>
      <c r="B340" s="2"/>
      <c r="C340" s="2"/>
      <c r="D340" s="2"/>
      <c r="E340" s="2"/>
      <c r="F340" s="2"/>
      <c r="G340" s="3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58"/>
      <c r="B341" s="2"/>
      <c r="C341" s="2"/>
      <c r="D341" s="2"/>
      <c r="E341" s="2"/>
      <c r="F341" s="2"/>
      <c r="G341" s="3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58"/>
      <c r="B342" s="2"/>
      <c r="C342" s="2"/>
      <c r="D342" s="2"/>
      <c r="E342" s="2"/>
      <c r="F342" s="2"/>
      <c r="G342" s="3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58"/>
      <c r="B343" s="2"/>
      <c r="C343" s="2"/>
      <c r="D343" s="2"/>
      <c r="E343" s="2"/>
      <c r="F343" s="2"/>
      <c r="G343" s="3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58"/>
      <c r="B344" s="2"/>
      <c r="C344" s="2"/>
      <c r="D344" s="2"/>
      <c r="E344" s="2"/>
      <c r="F344" s="2"/>
      <c r="G344" s="3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58"/>
      <c r="B345" s="2"/>
      <c r="C345" s="2"/>
      <c r="D345" s="2"/>
      <c r="E345" s="2"/>
      <c r="F345" s="2"/>
      <c r="G345" s="3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58"/>
      <c r="B346" s="2"/>
      <c r="C346" s="2"/>
      <c r="D346" s="2"/>
      <c r="E346" s="2"/>
      <c r="F346" s="2"/>
      <c r="G346" s="3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58"/>
      <c r="B347" s="2"/>
      <c r="C347" s="2"/>
      <c r="D347" s="2"/>
      <c r="E347" s="2"/>
      <c r="F347" s="2"/>
      <c r="G347" s="3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58"/>
      <c r="B348" s="2"/>
      <c r="C348" s="2"/>
      <c r="D348" s="2"/>
      <c r="E348" s="2"/>
      <c r="F348" s="2"/>
      <c r="G348" s="3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58"/>
      <c r="B349" s="2"/>
      <c r="C349" s="2"/>
      <c r="D349" s="2"/>
      <c r="E349" s="2"/>
      <c r="F349" s="2"/>
      <c r="G349" s="3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58"/>
      <c r="B350" s="2"/>
      <c r="C350" s="2"/>
      <c r="D350" s="2"/>
      <c r="E350" s="2"/>
      <c r="F350" s="2"/>
      <c r="G350" s="3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58"/>
      <c r="B351" s="2"/>
      <c r="C351" s="2"/>
      <c r="D351" s="2"/>
      <c r="E351" s="2"/>
      <c r="F351" s="2"/>
      <c r="G351" s="3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58"/>
      <c r="B352" s="2"/>
      <c r="C352" s="2"/>
      <c r="D352" s="2"/>
      <c r="E352" s="2"/>
      <c r="F352" s="2"/>
      <c r="G352" s="3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58"/>
      <c r="B353" s="2"/>
      <c r="C353" s="2"/>
      <c r="D353" s="2"/>
      <c r="E353" s="2"/>
      <c r="F353" s="2"/>
      <c r="G353" s="3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58"/>
      <c r="B354" s="2"/>
      <c r="C354" s="2"/>
      <c r="D354" s="2"/>
      <c r="E354" s="2"/>
      <c r="F354" s="2"/>
      <c r="G354" s="3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58"/>
      <c r="B355" s="2"/>
      <c r="C355" s="2"/>
      <c r="D355" s="2"/>
      <c r="E355" s="2"/>
      <c r="F355" s="2"/>
      <c r="G355" s="3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58"/>
      <c r="B356" s="2"/>
      <c r="C356" s="2"/>
      <c r="D356" s="2"/>
      <c r="E356" s="2"/>
      <c r="F356" s="2"/>
      <c r="G356" s="3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58"/>
      <c r="B357" s="2"/>
      <c r="C357" s="2"/>
      <c r="D357" s="2"/>
      <c r="E357" s="2"/>
      <c r="F357" s="2"/>
      <c r="G357" s="3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58"/>
      <c r="B358" s="2"/>
      <c r="C358" s="2"/>
      <c r="D358" s="2"/>
      <c r="E358" s="2"/>
      <c r="F358" s="2"/>
      <c r="G358" s="3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58"/>
      <c r="B359" s="2"/>
      <c r="C359" s="2"/>
      <c r="D359" s="2"/>
      <c r="E359" s="2"/>
      <c r="F359" s="2"/>
      <c r="G359" s="3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58"/>
      <c r="B360" s="2"/>
      <c r="C360" s="2"/>
      <c r="D360" s="2"/>
      <c r="E360" s="2"/>
      <c r="F360" s="2"/>
      <c r="G360" s="3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58"/>
      <c r="B361" s="2"/>
      <c r="C361" s="2"/>
      <c r="D361" s="2"/>
      <c r="E361" s="2"/>
      <c r="F361" s="2"/>
      <c r="G361" s="3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58"/>
      <c r="B362" s="2"/>
      <c r="C362" s="2"/>
      <c r="D362" s="2"/>
      <c r="E362" s="2"/>
      <c r="F362" s="2"/>
      <c r="G362" s="3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58"/>
      <c r="B363" s="2"/>
      <c r="C363" s="2"/>
      <c r="D363" s="2"/>
      <c r="E363" s="2"/>
      <c r="F363" s="2"/>
      <c r="G363" s="3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58"/>
      <c r="B364" s="2"/>
      <c r="C364" s="2"/>
      <c r="D364" s="2"/>
      <c r="E364" s="2"/>
      <c r="F364" s="2"/>
      <c r="G364" s="3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58"/>
      <c r="B365" s="2"/>
      <c r="C365" s="2"/>
      <c r="D365" s="2"/>
      <c r="E365" s="2"/>
      <c r="F365" s="2"/>
      <c r="G365" s="3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58"/>
      <c r="B366" s="2"/>
      <c r="C366" s="2"/>
      <c r="D366" s="2"/>
      <c r="E366" s="2"/>
      <c r="F366" s="2"/>
      <c r="G366" s="3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58"/>
      <c r="B367" s="2"/>
      <c r="C367" s="2"/>
      <c r="D367" s="2"/>
      <c r="E367" s="2"/>
      <c r="F367" s="2"/>
      <c r="G367" s="3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58"/>
      <c r="B368" s="2"/>
      <c r="C368" s="2"/>
      <c r="D368" s="2"/>
      <c r="E368" s="2"/>
      <c r="F368" s="2"/>
      <c r="G368" s="3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58"/>
      <c r="B369" s="2"/>
      <c r="C369" s="2"/>
      <c r="D369" s="2"/>
      <c r="E369" s="2"/>
      <c r="F369" s="2"/>
      <c r="G369" s="3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58"/>
      <c r="B370" s="2"/>
      <c r="C370" s="2"/>
      <c r="D370" s="2"/>
      <c r="E370" s="2"/>
      <c r="F370" s="2"/>
      <c r="G370" s="3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58"/>
      <c r="B371" s="2"/>
      <c r="C371" s="2"/>
      <c r="D371" s="2"/>
      <c r="E371" s="2"/>
      <c r="F371" s="2"/>
      <c r="G371" s="3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58"/>
      <c r="B372" s="2"/>
      <c r="C372" s="2"/>
      <c r="D372" s="2"/>
      <c r="E372" s="2"/>
      <c r="F372" s="2"/>
      <c r="G372" s="3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58"/>
      <c r="B373" s="2"/>
      <c r="C373" s="2"/>
      <c r="D373" s="2"/>
      <c r="E373" s="2"/>
      <c r="F373" s="2"/>
      <c r="G373" s="3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58"/>
      <c r="B374" s="2"/>
      <c r="C374" s="2"/>
      <c r="D374" s="2"/>
      <c r="E374" s="2"/>
      <c r="F374" s="2"/>
      <c r="G374" s="3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58"/>
      <c r="B375" s="2"/>
      <c r="C375" s="2"/>
      <c r="D375" s="2"/>
      <c r="E375" s="2"/>
      <c r="F375" s="2"/>
      <c r="G375" s="3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58"/>
      <c r="B376" s="2"/>
      <c r="C376" s="2"/>
      <c r="D376" s="2"/>
      <c r="E376" s="2"/>
      <c r="F376" s="2"/>
      <c r="G376" s="3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58"/>
      <c r="B377" s="2"/>
      <c r="C377" s="2"/>
      <c r="D377" s="2"/>
      <c r="E377" s="2"/>
      <c r="F377" s="2"/>
      <c r="G377" s="3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58"/>
      <c r="B378" s="2"/>
      <c r="C378" s="2"/>
      <c r="D378" s="2"/>
      <c r="E378" s="2"/>
      <c r="F378" s="2"/>
      <c r="G378" s="3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58"/>
      <c r="B379" s="2"/>
      <c r="C379" s="2"/>
      <c r="D379" s="2"/>
      <c r="E379" s="2"/>
      <c r="F379" s="2"/>
      <c r="G379" s="3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58"/>
      <c r="B380" s="2"/>
      <c r="C380" s="2"/>
      <c r="D380" s="2"/>
      <c r="E380" s="2"/>
      <c r="F380" s="2"/>
      <c r="G380" s="3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58"/>
      <c r="B381" s="2"/>
      <c r="C381" s="2"/>
      <c r="D381" s="2"/>
      <c r="E381" s="2"/>
      <c r="F381" s="2"/>
      <c r="G381" s="3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58"/>
      <c r="B382" s="2"/>
      <c r="C382" s="2"/>
      <c r="D382" s="2"/>
      <c r="E382" s="2"/>
      <c r="F382" s="2"/>
      <c r="G382" s="3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58"/>
      <c r="B383" s="2"/>
      <c r="C383" s="2"/>
      <c r="D383" s="2"/>
      <c r="E383" s="2"/>
      <c r="F383" s="2"/>
      <c r="G383" s="3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58"/>
      <c r="B384" s="2"/>
      <c r="C384" s="2"/>
      <c r="D384" s="2"/>
      <c r="E384" s="2"/>
      <c r="F384" s="2"/>
      <c r="G384" s="3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58"/>
      <c r="B385" s="2"/>
      <c r="C385" s="2"/>
      <c r="D385" s="2"/>
      <c r="E385" s="2"/>
      <c r="F385" s="2"/>
      <c r="G385" s="3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58"/>
      <c r="B386" s="2"/>
      <c r="C386" s="2"/>
      <c r="D386" s="2"/>
      <c r="E386" s="2"/>
      <c r="F386" s="2"/>
      <c r="G386" s="3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58"/>
      <c r="B387" s="2"/>
      <c r="C387" s="2"/>
      <c r="D387" s="2"/>
      <c r="E387" s="2"/>
      <c r="F387" s="2"/>
      <c r="G387" s="3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58"/>
      <c r="B388" s="2"/>
      <c r="C388" s="2"/>
      <c r="D388" s="2"/>
      <c r="E388" s="2"/>
      <c r="F388" s="2"/>
      <c r="G388" s="3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58"/>
      <c r="B389" s="2"/>
      <c r="C389" s="2"/>
      <c r="D389" s="2"/>
      <c r="E389" s="2"/>
      <c r="F389" s="2"/>
      <c r="G389" s="3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58"/>
      <c r="B390" s="2"/>
      <c r="C390" s="2"/>
      <c r="D390" s="2"/>
      <c r="E390" s="2"/>
      <c r="F390" s="2"/>
      <c r="G390" s="3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58"/>
      <c r="B391" s="2"/>
      <c r="C391" s="2"/>
      <c r="D391" s="2"/>
      <c r="E391" s="2"/>
      <c r="F391" s="2"/>
      <c r="G391" s="3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58"/>
      <c r="B392" s="2"/>
      <c r="C392" s="2"/>
      <c r="D392" s="2"/>
      <c r="E392" s="2"/>
      <c r="F392" s="2"/>
      <c r="G392" s="3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58"/>
      <c r="B393" s="2"/>
      <c r="C393" s="2"/>
      <c r="D393" s="2"/>
      <c r="E393" s="2"/>
      <c r="F393" s="2"/>
      <c r="G393" s="3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58"/>
      <c r="B394" s="2"/>
      <c r="C394" s="2"/>
      <c r="D394" s="2"/>
      <c r="E394" s="2"/>
      <c r="F394" s="2"/>
      <c r="G394" s="3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58"/>
      <c r="B395" s="2"/>
      <c r="C395" s="2"/>
      <c r="D395" s="2"/>
      <c r="E395" s="2"/>
      <c r="F395" s="2"/>
      <c r="G395" s="3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58"/>
      <c r="B396" s="2"/>
      <c r="C396" s="2"/>
      <c r="D396" s="2"/>
      <c r="E396" s="2"/>
      <c r="F396" s="2"/>
      <c r="G396" s="3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58"/>
      <c r="B397" s="2"/>
      <c r="C397" s="2"/>
      <c r="D397" s="2"/>
      <c r="E397" s="2"/>
      <c r="F397" s="2"/>
      <c r="G397" s="3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58"/>
      <c r="B398" s="2"/>
      <c r="C398" s="2"/>
      <c r="D398" s="2"/>
      <c r="E398" s="2"/>
      <c r="F398" s="2"/>
      <c r="G398" s="3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58"/>
      <c r="B399" s="2"/>
      <c r="C399" s="2"/>
      <c r="D399" s="2"/>
      <c r="E399" s="2"/>
      <c r="F399" s="2"/>
      <c r="G399" s="3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58"/>
      <c r="B400" s="2"/>
      <c r="C400" s="2"/>
      <c r="D400" s="2"/>
      <c r="E400" s="2"/>
      <c r="F400" s="2"/>
      <c r="G400" s="3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58"/>
      <c r="B401" s="2"/>
      <c r="C401" s="2"/>
      <c r="D401" s="2"/>
      <c r="E401" s="2"/>
      <c r="F401" s="2"/>
      <c r="G401" s="3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58"/>
      <c r="B402" s="2"/>
      <c r="C402" s="2"/>
      <c r="D402" s="2"/>
      <c r="E402" s="2"/>
      <c r="F402" s="2"/>
      <c r="G402" s="3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58"/>
      <c r="B403" s="2"/>
      <c r="C403" s="2"/>
      <c r="D403" s="2"/>
      <c r="E403" s="2"/>
      <c r="F403" s="2"/>
      <c r="G403" s="3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58"/>
      <c r="B404" s="2"/>
      <c r="C404" s="2"/>
      <c r="D404" s="2"/>
      <c r="E404" s="2"/>
      <c r="F404" s="2"/>
      <c r="G404" s="3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58"/>
      <c r="B405" s="2"/>
      <c r="C405" s="2"/>
      <c r="D405" s="2"/>
      <c r="E405" s="2"/>
      <c r="F405" s="2"/>
      <c r="G405" s="3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58"/>
      <c r="B406" s="2"/>
      <c r="C406" s="2"/>
      <c r="D406" s="2"/>
      <c r="E406" s="2"/>
      <c r="F406" s="2"/>
      <c r="G406" s="3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58"/>
      <c r="B407" s="2"/>
      <c r="C407" s="2"/>
      <c r="D407" s="2"/>
      <c r="E407" s="2"/>
      <c r="F407" s="2"/>
      <c r="G407" s="3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58"/>
      <c r="B408" s="2"/>
      <c r="C408" s="2"/>
      <c r="D408" s="2"/>
      <c r="E408" s="2"/>
      <c r="F408" s="2"/>
      <c r="G408" s="3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58"/>
      <c r="B409" s="2"/>
      <c r="C409" s="2"/>
      <c r="D409" s="2"/>
      <c r="E409" s="2"/>
      <c r="F409" s="2"/>
      <c r="G409" s="3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58"/>
      <c r="B410" s="2"/>
      <c r="C410" s="2"/>
      <c r="D410" s="2"/>
      <c r="E410" s="2"/>
      <c r="F410" s="2"/>
      <c r="G410" s="3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58"/>
      <c r="B411" s="2"/>
      <c r="C411" s="2"/>
      <c r="D411" s="2"/>
      <c r="E411" s="2"/>
      <c r="F411" s="2"/>
      <c r="G411" s="3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58"/>
      <c r="B412" s="2"/>
      <c r="C412" s="2"/>
      <c r="D412" s="2"/>
      <c r="E412" s="2"/>
      <c r="F412" s="2"/>
      <c r="G412" s="3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58"/>
      <c r="B413" s="2"/>
      <c r="C413" s="2"/>
      <c r="D413" s="2"/>
      <c r="E413" s="2"/>
      <c r="F413" s="2"/>
      <c r="G413" s="3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58"/>
      <c r="B414" s="2"/>
      <c r="C414" s="2"/>
      <c r="D414" s="2"/>
      <c r="E414" s="2"/>
      <c r="F414" s="2"/>
      <c r="G414" s="3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58"/>
      <c r="B415" s="2"/>
      <c r="C415" s="2"/>
      <c r="D415" s="2"/>
      <c r="E415" s="2"/>
      <c r="F415" s="2"/>
      <c r="G415" s="3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58"/>
      <c r="B416" s="2"/>
      <c r="C416" s="2"/>
      <c r="D416" s="2"/>
      <c r="E416" s="2"/>
      <c r="F416" s="2"/>
      <c r="G416" s="3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58"/>
      <c r="B417" s="2"/>
      <c r="C417" s="2"/>
      <c r="D417" s="2"/>
      <c r="E417" s="2"/>
      <c r="F417" s="2"/>
      <c r="G417" s="3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58"/>
      <c r="B418" s="2"/>
      <c r="C418" s="2"/>
      <c r="D418" s="2"/>
      <c r="E418" s="2"/>
      <c r="F418" s="2"/>
      <c r="G418" s="3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58"/>
      <c r="B419" s="2"/>
      <c r="C419" s="2"/>
      <c r="D419" s="2"/>
      <c r="E419" s="2"/>
      <c r="F419" s="2"/>
      <c r="G419" s="3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58"/>
      <c r="B420" s="2"/>
      <c r="C420" s="2"/>
      <c r="D420" s="2"/>
      <c r="E420" s="2"/>
      <c r="F420" s="2"/>
      <c r="G420" s="3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58"/>
      <c r="B421" s="2"/>
      <c r="C421" s="2"/>
      <c r="D421" s="2"/>
      <c r="E421" s="2"/>
      <c r="F421" s="2"/>
      <c r="G421" s="3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58"/>
      <c r="B422" s="2"/>
      <c r="C422" s="2"/>
      <c r="D422" s="2"/>
      <c r="E422" s="2"/>
      <c r="F422" s="2"/>
      <c r="G422" s="3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58"/>
      <c r="B423" s="2"/>
      <c r="C423" s="2"/>
      <c r="D423" s="2"/>
      <c r="E423" s="2"/>
      <c r="F423" s="2"/>
      <c r="G423" s="3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58"/>
      <c r="B424" s="2"/>
      <c r="C424" s="2"/>
      <c r="D424" s="2"/>
      <c r="E424" s="2"/>
      <c r="F424" s="2"/>
      <c r="G424" s="3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58"/>
      <c r="B425" s="2"/>
      <c r="C425" s="2"/>
      <c r="D425" s="2"/>
      <c r="E425" s="2"/>
      <c r="F425" s="2"/>
      <c r="G425" s="3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58"/>
      <c r="B426" s="2"/>
      <c r="C426" s="2"/>
      <c r="D426" s="2"/>
      <c r="E426" s="2"/>
      <c r="F426" s="2"/>
      <c r="G426" s="3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58"/>
      <c r="B427" s="2"/>
      <c r="C427" s="2"/>
      <c r="D427" s="2"/>
      <c r="E427" s="2"/>
      <c r="F427" s="2"/>
      <c r="G427" s="3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58"/>
      <c r="B428" s="2"/>
      <c r="C428" s="2"/>
      <c r="D428" s="2"/>
      <c r="E428" s="2"/>
      <c r="F428" s="2"/>
      <c r="G428" s="3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58"/>
      <c r="B429" s="2"/>
      <c r="C429" s="2"/>
      <c r="D429" s="2"/>
      <c r="E429" s="2"/>
      <c r="F429" s="2"/>
      <c r="G429" s="3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58"/>
      <c r="B430" s="2"/>
      <c r="C430" s="2"/>
      <c r="D430" s="2"/>
      <c r="E430" s="2"/>
      <c r="F430" s="2"/>
      <c r="G430" s="3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58"/>
      <c r="B431" s="2"/>
      <c r="C431" s="2"/>
      <c r="D431" s="2"/>
      <c r="E431" s="2"/>
      <c r="F431" s="2"/>
      <c r="G431" s="3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58"/>
      <c r="B432" s="2"/>
      <c r="C432" s="2"/>
      <c r="D432" s="2"/>
      <c r="E432" s="2"/>
      <c r="F432" s="2"/>
      <c r="G432" s="3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58"/>
      <c r="B433" s="2"/>
      <c r="C433" s="2"/>
      <c r="D433" s="2"/>
      <c r="E433" s="2"/>
      <c r="F433" s="2"/>
      <c r="G433" s="3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58"/>
      <c r="B434" s="2"/>
      <c r="C434" s="2"/>
      <c r="D434" s="2"/>
      <c r="E434" s="2"/>
      <c r="F434" s="2"/>
      <c r="G434" s="3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58"/>
      <c r="B435" s="2"/>
      <c r="C435" s="2"/>
      <c r="D435" s="2"/>
      <c r="E435" s="2"/>
      <c r="F435" s="2"/>
      <c r="G435" s="3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58"/>
      <c r="B436" s="2"/>
      <c r="C436" s="2"/>
      <c r="D436" s="2"/>
      <c r="E436" s="2"/>
      <c r="F436" s="2"/>
      <c r="G436" s="3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58"/>
      <c r="B437" s="2"/>
      <c r="C437" s="2"/>
      <c r="D437" s="2"/>
      <c r="E437" s="2"/>
      <c r="F437" s="2"/>
      <c r="G437" s="3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58"/>
      <c r="B438" s="2"/>
      <c r="C438" s="2"/>
      <c r="D438" s="2"/>
      <c r="E438" s="2"/>
      <c r="F438" s="2"/>
      <c r="G438" s="3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58"/>
      <c r="B439" s="2"/>
      <c r="C439" s="2"/>
      <c r="D439" s="2"/>
      <c r="E439" s="2"/>
      <c r="F439" s="2"/>
      <c r="G439" s="3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58"/>
      <c r="B440" s="2"/>
      <c r="C440" s="2"/>
      <c r="D440" s="2"/>
      <c r="E440" s="2"/>
      <c r="F440" s="2"/>
      <c r="G440" s="3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58"/>
      <c r="B441" s="2"/>
      <c r="C441" s="2"/>
      <c r="D441" s="2"/>
      <c r="E441" s="2"/>
      <c r="F441" s="2"/>
      <c r="G441" s="3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58"/>
      <c r="B442" s="2"/>
      <c r="C442" s="2"/>
      <c r="D442" s="2"/>
      <c r="E442" s="2"/>
      <c r="F442" s="2"/>
      <c r="G442" s="3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58"/>
      <c r="B443" s="2"/>
      <c r="C443" s="2"/>
      <c r="D443" s="2"/>
      <c r="E443" s="2"/>
      <c r="F443" s="2"/>
      <c r="G443" s="3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58"/>
      <c r="B444" s="2"/>
      <c r="C444" s="2"/>
      <c r="D444" s="2"/>
      <c r="E444" s="2"/>
      <c r="F444" s="2"/>
      <c r="G444" s="3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58"/>
      <c r="B445" s="2"/>
      <c r="C445" s="2"/>
      <c r="D445" s="2"/>
      <c r="E445" s="2"/>
      <c r="F445" s="2"/>
      <c r="G445" s="3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58"/>
      <c r="B446" s="2"/>
      <c r="C446" s="2"/>
      <c r="D446" s="2"/>
      <c r="E446" s="2"/>
      <c r="F446" s="2"/>
      <c r="G446" s="3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58"/>
      <c r="B447" s="2"/>
      <c r="C447" s="2"/>
      <c r="D447" s="2"/>
      <c r="E447" s="2"/>
      <c r="F447" s="2"/>
      <c r="G447" s="3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58"/>
      <c r="B448" s="2"/>
      <c r="C448" s="2"/>
      <c r="D448" s="2"/>
      <c r="E448" s="2"/>
      <c r="F448" s="2"/>
      <c r="G448" s="3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58"/>
      <c r="B449" s="2"/>
      <c r="C449" s="2"/>
      <c r="D449" s="2"/>
      <c r="E449" s="2"/>
      <c r="F449" s="2"/>
      <c r="G449" s="3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58"/>
      <c r="B450" s="2"/>
      <c r="C450" s="2"/>
      <c r="D450" s="2"/>
      <c r="E450" s="2"/>
      <c r="F450" s="2"/>
      <c r="G450" s="3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58"/>
      <c r="B451" s="2"/>
      <c r="C451" s="2"/>
      <c r="D451" s="2"/>
      <c r="E451" s="2"/>
      <c r="F451" s="2"/>
      <c r="G451" s="3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58"/>
      <c r="B452" s="2"/>
      <c r="C452" s="2"/>
      <c r="D452" s="2"/>
      <c r="E452" s="2"/>
      <c r="F452" s="2"/>
      <c r="G452" s="3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58"/>
      <c r="B453" s="2"/>
      <c r="C453" s="2"/>
      <c r="D453" s="2"/>
      <c r="E453" s="2"/>
      <c r="F453" s="2"/>
      <c r="G453" s="3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58"/>
      <c r="B454" s="2"/>
      <c r="C454" s="2"/>
      <c r="D454" s="2"/>
      <c r="E454" s="2"/>
      <c r="F454" s="2"/>
      <c r="G454" s="3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58"/>
      <c r="B455" s="2"/>
      <c r="C455" s="2"/>
      <c r="D455" s="2"/>
      <c r="E455" s="2"/>
      <c r="F455" s="2"/>
      <c r="G455" s="3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58"/>
      <c r="B456" s="2"/>
      <c r="C456" s="2"/>
      <c r="D456" s="2"/>
      <c r="E456" s="2"/>
      <c r="F456" s="2"/>
      <c r="G456" s="3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58"/>
      <c r="B457" s="2"/>
      <c r="C457" s="2"/>
      <c r="D457" s="2"/>
      <c r="E457" s="2"/>
      <c r="F457" s="2"/>
      <c r="G457" s="3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58"/>
      <c r="B458" s="2"/>
      <c r="C458" s="2"/>
      <c r="D458" s="2"/>
      <c r="E458" s="2"/>
      <c r="F458" s="2"/>
      <c r="G458" s="3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58"/>
      <c r="B459" s="2"/>
      <c r="C459" s="2"/>
      <c r="D459" s="2"/>
      <c r="E459" s="2"/>
      <c r="F459" s="2"/>
      <c r="G459" s="3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58"/>
      <c r="B460" s="2"/>
      <c r="C460" s="2"/>
      <c r="D460" s="2"/>
      <c r="E460" s="2"/>
      <c r="F460" s="2"/>
      <c r="G460" s="3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58"/>
      <c r="B461" s="2"/>
      <c r="C461" s="2"/>
      <c r="D461" s="2"/>
      <c r="E461" s="2"/>
      <c r="F461" s="2"/>
      <c r="G461" s="3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58"/>
      <c r="B462" s="2"/>
      <c r="C462" s="2"/>
      <c r="D462" s="2"/>
      <c r="E462" s="2"/>
      <c r="F462" s="2"/>
      <c r="G462" s="3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58"/>
      <c r="B463" s="2"/>
      <c r="C463" s="2"/>
      <c r="D463" s="2"/>
      <c r="E463" s="2"/>
      <c r="F463" s="2"/>
      <c r="G463" s="3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58"/>
      <c r="B464" s="2"/>
      <c r="C464" s="2"/>
      <c r="D464" s="2"/>
      <c r="E464" s="2"/>
      <c r="F464" s="2"/>
      <c r="G464" s="3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58"/>
      <c r="B465" s="2"/>
      <c r="C465" s="2"/>
      <c r="D465" s="2"/>
      <c r="E465" s="2"/>
      <c r="F465" s="2"/>
      <c r="G465" s="3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58"/>
      <c r="B466" s="2"/>
      <c r="C466" s="2"/>
      <c r="D466" s="2"/>
      <c r="E466" s="2"/>
      <c r="F466" s="2"/>
      <c r="G466" s="3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58"/>
      <c r="B467" s="2"/>
      <c r="C467" s="2"/>
      <c r="D467" s="2"/>
      <c r="E467" s="2"/>
      <c r="F467" s="2"/>
      <c r="G467" s="3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58"/>
      <c r="B468" s="2"/>
      <c r="C468" s="2"/>
      <c r="D468" s="2"/>
      <c r="E468" s="2"/>
      <c r="F468" s="2"/>
      <c r="G468" s="3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58"/>
      <c r="B469" s="2"/>
      <c r="C469" s="2"/>
      <c r="D469" s="2"/>
      <c r="E469" s="2"/>
      <c r="F469" s="2"/>
      <c r="G469" s="3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58"/>
      <c r="B470" s="2"/>
      <c r="C470" s="2"/>
      <c r="D470" s="2"/>
      <c r="E470" s="2"/>
      <c r="F470" s="2"/>
      <c r="G470" s="3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58"/>
      <c r="B471" s="2"/>
      <c r="C471" s="2"/>
      <c r="D471" s="2"/>
      <c r="E471" s="2"/>
      <c r="F471" s="2"/>
      <c r="G471" s="3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58"/>
      <c r="B472" s="2"/>
      <c r="C472" s="2"/>
      <c r="D472" s="2"/>
      <c r="E472" s="2"/>
      <c r="F472" s="2"/>
      <c r="G472" s="3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58"/>
      <c r="B473" s="2"/>
      <c r="C473" s="2"/>
      <c r="D473" s="2"/>
      <c r="E473" s="2"/>
      <c r="F473" s="2"/>
      <c r="G473" s="3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58"/>
      <c r="B474" s="2"/>
      <c r="C474" s="2"/>
      <c r="D474" s="2"/>
      <c r="E474" s="2"/>
      <c r="F474" s="2"/>
      <c r="G474" s="3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58"/>
      <c r="B475" s="2"/>
      <c r="C475" s="2"/>
      <c r="D475" s="2"/>
      <c r="E475" s="2"/>
      <c r="F475" s="2"/>
      <c r="G475" s="3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58"/>
      <c r="B476" s="2"/>
      <c r="C476" s="2"/>
      <c r="D476" s="2"/>
      <c r="E476" s="2"/>
      <c r="F476" s="2"/>
      <c r="G476" s="3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58"/>
      <c r="B477" s="2"/>
      <c r="C477" s="2"/>
      <c r="D477" s="2"/>
      <c r="E477" s="2"/>
      <c r="F477" s="2"/>
      <c r="G477" s="3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58"/>
      <c r="B478" s="2"/>
      <c r="C478" s="2"/>
      <c r="D478" s="2"/>
      <c r="E478" s="2"/>
      <c r="F478" s="2"/>
      <c r="G478" s="3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58"/>
      <c r="B479" s="2"/>
      <c r="C479" s="2"/>
      <c r="D479" s="2"/>
      <c r="E479" s="2"/>
      <c r="F479" s="2"/>
      <c r="G479" s="3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58"/>
      <c r="B480" s="2"/>
      <c r="C480" s="2"/>
      <c r="D480" s="2"/>
      <c r="E480" s="2"/>
      <c r="F480" s="2"/>
      <c r="G480" s="3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58"/>
      <c r="B481" s="2"/>
      <c r="C481" s="2"/>
      <c r="D481" s="2"/>
      <c r="E481" s="2"/>
      <c r="F481" s="2"/>
      <c r="G481" s="3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58"/>
      <c r="B482" s="2"/>
      <c r="C482" s="2"/>
      <c r="D482" s="2"/>
      <c r="E482" s="2"/>
      <c r="F482" s="2"/>
      <c r="G482" s="3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58"/>
      <c r="B483" s="2"/>
      <c r="C483" s="2"/>
      <c r="D483" s="2"/>
      <c r="E483" s="2"/>
      <c r="F483" s="2"/>
      <c r="G483" s="3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58"/>
      <c r="B484" s="2"/>
      <c r="C484" s="2"/>
      <c r="D484" s="2"/>
      <c r="E484" s="2"/>
      <c r="F484" s="2"/>
      <c r="G484" s="3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58"/>
      <c r="B485" s="2"/>
      <c r="C485" s="2"/>
      <c r="D485" s="2"/>
      <c r="E485" s="2"/>
      <c r="F485" s="2"/>
      <c r="G485" s="3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58"/>
      <c r="B486" s="2"/>
      <c r="C486" s="2"/>
      <c r="D486" s="2"/>
      <c r="E486" s="2"/>
      <c r="F486" s="2"/>
      <c r="G486" s="3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58"/>
      <c r="B487" s="2"/>
      <c r="C487" s="2"/>
      <c r="D487" s="2"/>
      <c r="E487" s="2"/>
      <c r="F487" s="2"/>
      <c r="G487" s="3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58"/>
      <c r="B488" s="2"/>
      <c r="C488" s="2"/>
      <c r="D488" s="2"/>
      <c r="E488" s="2"/>
      <c r="F488" s="2"/>
      <c r="G488" s="3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58"/>
      <c r="B489" s="2"/>
      <c r="C489" s="2"/>
      <c r="D489" s="2"/>
      <c r="E489" s="2"/>
      <c r="F489" s="2"/>
      <c r="G489" s="3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58"/>
      <c r="B490" s="2"/>
      <c r="C490" s="2"/>
      <c r="D490" s="2"/>
      <c r="E490" s="2"/>
      <c r="F490" s="2"/>
      <c r="G490" s="3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58"/>
      <c r="B491" s="2"/>
      <c r="C491" s="2"/>
      <c r="D491" s="2"/>
      <c r="E491" s="2"/>
      <c r="F491" s="2"/>
      <c r="G491" s="3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58"/>
      <c r="B492" s="2"/>
      <c r="C492" s="2"/>
      <c r="D492" s="2"/>
      <c r="E492" s="2"/>
      <c r="F492" s="2"/>
      <c r="G492" s="3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58"/>
      <c r="B493" s="2"/>
      <c r="C493" s="2"/>
      <c r="D493" s="2"/>
      <c r="E493" s="2"/>
      <c r="F493" s="2"/>
      <c r="G493" s="3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58"/>
      <c r="B494" s="2"/>
      <c r="C494" s="2"/>
      <c r="D494" s="2"/>
      <c r="E494" s="2"/>
      <c r="F494" s="2"/>
      <c r="G494" s="3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58"/>
      <c r="B495" s="2"/>
      <c r="C495" s="2"/>
      <c r="D495" s="2"/>
      <c r="E495" s="2"/>
      <c r="F495" s="2"/>
      <c r="G495" s="3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58"/>
      <c r="B496" s="2"/>
      <c r="C496" s="2"/>
      <c r="D496" s="2"/>
      <c r="E496" s="2"/>
      <c r="F496" s="2"/>
      <c r="G496" s="3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58"/>
      <c r="B497" s="2"/>
      <c r="C497" s="2"/>
      <c r="D497" s="2"/>
      <c r="E497" s="2"/>
      <c r="F497" s="2"/>
      <c r="G497" s="3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58"/>
      <c r="B498" s="2"/>
      <c r="C498" s="2"/>
      <c r="D498" s="2"/>
      <c r="E498" s="2"/>
      <c r="F498" s="2"/>
      <c r="G498" s="3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58"/>
      <c r="B499" s="2"/>
      <c r="C499" s="2"/>
      <c r="D499" s="2"/>
      <c r="E499" s="2"/>
      <c r="F499" s="2"/>
      <c r="G499" s="3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58"/>
      <c r="B500" s="2"/>
      <c r="C500" s="2"/>
      <c r="D500" s="2"/>
      <c r="E500" s="2"/>
      <c r="F500" s="2"/>
      <c r="G500" s="3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58"/>
      <c r="B501" s="2"/>
      <c r="C501" s="2"/>
      <c r="D501" s="2"/>
      <c r="E501" s="2"/>
      <c r="F501" s="2"/>
      <c r="G501" s="3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58"/>
      <c r="B502" s="2"/>
      <c r="C502" s="2"/>
      <c r="D502" s="2"/>
      <c r="E502" s="2"/>
      <c r="F502" s="2"/>
      <c r="G502" s="3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58"/>
      <c r="B503" s="2"/>
      <c r="C503" s="2"/>
      <c r="D503" s="2"/>
      <c r="E503" s="2"/>
      <c r="F503" s="2"/>
      <c r="G503" s="3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58"/>
      <c r="B504" s="2"/>
      <c r="C504" s="2"/>
      <c r="D504" s="2"/>
      <c r="E504" s="2"/>
      <c r="F504" s="2"/>
      <c r="G504" s="3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58"/>
      <c r="B505" s="2"/>
      <c r="C505" s="2"/>
      <c r="D505" s="2"/>
      <c r="E505" s="2"/>
      <c r="F505" s="2"/>
      <c r="G505" s="3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58"/>
      <c r="B506" s="2"/>
      <c r="C506" s="2"/>
      <c r="D506" s="2"/>
      <c r="E506" s="2"/>
      <c r="F506" s="2"/>
      <c r="G506" s="3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58"/>
      <c r="B507" s="2"/>
      <c r="C507" s="2"/>
      <c r="D507" s="2"/>
      <c r="E507" s="2"/>
      <c r="F507" s="2"/>
      <c r="G507" s="3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58"/>
      <c r="B508" s="2"/>
      <c r="C508" s="2"/>
      <c r="D508" s="2"/>
      <c r="E508" s="2"/>
      <c r="F508" s="2"/>
      <c r="G508" s="3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58"/>
      <c r="B509" s="2"/>
      <c r="C509" s="2"/>
      <c r="D509" s="2"/>
      <c r="E509" s="2"/>
      <c r="F509" s="2"/>
      <c r="G509" s="3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58"/>
      <c r="B510" s="2"/>
      <c r="C510" s="2"/>
      <c r="D510" s="2"/>
      <c r="E510" s="2"/>
      <c r="F510" s="2"/>
      <c r="G510" s="3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58"/>
      <c r="B511" s="2"/>
      <c r="C511" s="2"/>
      <c r="D511" s="2"/>
      <c r="E511" s="2"/>
      <c r="F511" s="2"/>
      <c r="G511" s="3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58"/>
      <c r="B512" s="2"/>
      <c r="C512" s="2"/>
      <c r="D512" s="2"/>
      <c r="E512" s="2"/>
      <c r="F512" s="2"/>
      <c r="G512" s="3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58"/>
      <c r="B513" s="2"/>
      <c r="C513" s="2"/>
      <c r="D513" s="2"/>
      <c r="E513" s="2"/>
      <c r="F513" s="2"/>
      <c r="G513" s="3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58"/>
      <c r="B514" s="2"/>
      <c r="C514" s="2"/>
      <c r="D514" s="2"/>
      <c r="E514" s="2"/>
      <c r="F514" s="2"/>
      <c r="G514" s="3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58"/>
      <c r="B515" s="2"/>
      <c r="C515" s="2"/>
      <c r="D515" s="2"/>
      <c r="E515" s="2"/>
      <c r="F515" s="2"/>
      <c r="G515" s="3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58"/>
      <c r="B516" s="2"/>
      <c r="C516" s="2"/>
      <c r="D516" s="2"/>
      <c r="E516" s="2"/>
      <c r="F516" s="2"/>
      <c r="G516" s="3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58"/>
      <c r="B517" s="2"/>
      <c r="C517" s="2"/>
      <c r="D517" s="2"/>
      <c r="E517" s="2"/>
      <c r="F517" s="2"/>
      <c r="G517" s="3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58"/>
      <c r="B518" s="2"/>
      <c r="C518" s="2"/>
      <c r="D518" s="2"/>
      <c r="E518" s="2"/>
      <c r="F518" s="2"/>
      <c r="G518" s="3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58"/>
      <c r="B519" s="2"/>
      <c r="C519" s="2"/>
      <c r="D519" s="2"/>
      <c r="E519" s="2"/>
      <c r="F519" s="2"/>
      <c r="G519" s="3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58"/>
      <c r="B520" s="2"/>
      <c r="C520" s="2"/>
      <c r="D520" s="2"/>
      <c r="E520" s="2"/>
      <c r="F520" s="2"/>
      <c r="G520" s="3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58"/>
      <c r="B521" s="2"/>
      <c r="C521" s="2"/>
      <c r="D521" s="2"/>
      <c r="E521" s="2"/>
      <c r="F521" s="2"/>
      <c r="G521" s="3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58"/>
      <c r="B522" s="2"/>
      <c r="C522" s="2"/>
      <c r="D522" s="2"/>
      <c r="E522" s="2"/>
      <c r="F522" s="2"/>
      <c r="G522" s="3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58"/>
      <c r="B523" s="2"/>
      <c r="C523" s="2"/>
      <c r="D523" s="2"/>
      <c r="E523" s="2"/>
      <c r="F523" s="2"/>
      <c r="G523" s="3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58"/>
      <c r="B524" s="2"/>
      <c r="C524" s="2"/>
      <c r="D524" s="2"/>
      <c r="E524" s="2"/>
      <c r="F524" s="2"/>
      <c r="G524" s="3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58"/>
      <c r="B525" s="2"/>
      <c r="C525" s="2"/>
      <c r="D525" s="2"/>
      <c r="E525" s="2"/>
      <c r="F525" s="2"/>
      <c r="G525" s="3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58"/>
      <c r="B526" s="2"/>
      <c r="C526" s="2"/>
      <c r="D526" s="2"/>
      <c r="E526" s="2"/>
      <c r="F526" s="2"/>
      <c r="G526" s="3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58"/>
      <c r="B527" s="2"/>
      <c r="C527" s="2"/>
      <c r="D527" s="2"/>
      <c r="E527" s="2"/>
      <c r="F527" s="2"/>
      <c r="G527" s="3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58"/>
      <c r="B528" s="2"/>
      <c r="C528" s="2"/>
      <c r="D528" s="2"/>
      <c r="E528" s="2"/>
      <c r="F528" s="2"/>
      <c r="G528" s="3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58"/>
      <c r="B529" s="2"/>
      <c r="C529" s="2"/>
      <c r="D529" s="2"/>
      <c r="E529" s="2"/>
      <c r="F529" s="2"/>
      <c r="G529" s="3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58"/>
      <c r="B530" s="2"/>
      <c r="C530" s="2"/>
      <c r="D530" s="2"/>
      <c r="E530" s="2"/>
      <c r="F530" s="2"/>
      <c r="G530" s="3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58"/>
      <c r="B531" s="2"/>
      <c r="C531" s="2"/>
      <c r="D531" s="2"/>
      <c r="E531" s="2"/>
      <c r="F531" s="2"/>
      <c r="G531" s="3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58"/>
      <c r="B532" s="2"/>
      <c r="C532" s="2"/>
      <c r="D532" s="2"/>
      <c r="E532" s="2"/>
      <c r="F532" s="2"/>
      <c r="G532" s="3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58"/>
      <c r="B533" s="2"/>
      <c r="C533" s="2"/>
      <c r="D533" s="2"/>
      <c r="E533" s="2"/>
      <c r="F533" s="2"/>
      <c r="G533" s="3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58"/>
      <c r="B534" s="2"/>
      <c r="C534" s="2"/>
      <c r="D534" s="2"/>
      <c r="E534" s="2"/>
      <c r="F534" s="2"/>
      <c r="G534" s="3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58"/>
      <c r="B535" s="2"/>
      <c r="C535" s="2"/>
      <c r="D535" s="2"/>
      <c r="E535" s="2"/>
      <c r="F535" s="2"/>
      <c r="G535" s="3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58"/>
      <c r="B536" s="2"/>
      <c r="C536" s="2"/>
      <c r="D536" s="2"/>
      <c r="E536" s="2"/>
      <c r="F536" s="2"/>
      <c r="G536" s="3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58"/>
      <c r="B537" s="2"/>
      <c r="C537" s="2"/>
      <c r="D537" s="2"/>
      <c r="E537" s="2"/>
      <c r="F537" s="2"/>
      <c r="G537" s="3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58"/>
      <c r="B538" s="2"/>
      <c r="C538" s="2"/>
      <c r="D538" s="2"/>
      <c r="E538" s="2"/>
      <c r="F538" s="2"/>
      <c r="G538" s="3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58"/>
      <c r="B539" s="2"/>
      <c r="C539" s="2"/>
      <c r="D539" s="2"/>
      <c r="E539" s="2"/>
      <c r="F539" s="2"/>
      <c r="G539" s="3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58"/>
      <c r="B540" s="2"/>
      <c r="C540" s="2"/>
      <c r="D540" s="2"/>
      <c r="E540" s="2"/>
      <c r="F540" s="2"/>
      <c r="G540" s="3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58"/>
      <c r="B541" s="2"/>
      <c r="C541" s="2"/>
      <c r="D541" s="2"/>
      <c r="E541" s="2"/>
      <c r="F541" s="2"/>
      <c r="G541" s="3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58"/>
      <c r="B542" s="2"/>
      <c r="C542" s="2"/>
      <c r="D542" s="2"/>
      <c r="E542" s="2"/>
      <c r="F542" s="2"/>
      <c r="G542" s="3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58"/>
      <c r="B543" s="2"/>
      <c r="C543" s="2"/>
      <c r="D543" s="2"/>
      <c r="E543" s="2"/>
      <c r="F543" s="2"/>
      <c r="G543" s="3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58"/>
      <c r="B544" s="2"/>
      <c r="C544" s="2"/>
      <c r="D544" s="2"/>
      <c r="E544" s="2"/>
      <c r="F544" s="2"/>
      <c r="G544" s="3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58"/>
      <c r="B545" s="2"/>
      <c r="C545" s="2"/>
      <c r="D545" s="2"/>
      <c r="E545" s="2"/>
      <c r="F545" s="2"/>
      <c r="G545" s="3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58"/>
      <c r="B546" s="2"/>
      <c r="C546" s="2"/>
      <c r="D546" s="2"/>
      <c r="E546" s="2"/>
      <c r="F546" s="2"/>
      <c r="G546" s="3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58"/>
      <c r="B547" s="2"/>
      <c r="C547" s="2"/>
      <c r="D547" s="2"/>
      <c r="E547" s="2"/>
      <c r="F547" s="2"/>
      <c r="G547" s="3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58"/>
      <c r="B548" s="2"/>
      <c r="C548" s="2"/>
      <c r="D548" s="2"/>
      <c r="E548" s="2"/>
      <c r="F548" s="2"/>
      <c r="G548" s="3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58"/>
      <c r="B549" s="2"/>
      <c r="C549" s="2"/>
      <c r="D549" s="2"/>
      <c r="E549" s="2"/>
      <c r="F549" s="2"/>
      <c r="G549" s="3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58"/>
      <c r="B550" s="2"/>
      <c r="C550" s="2"/>
      <c r="D550" s="2"/>
      <c r="E550" s="2"/>
      <c r="F550" s="2"/>
      <c r="G550" s="3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58"/>
      <c r="B551" s="2"/>
      <c r="C551" s="2"/>
      <c r="D551" s="2"/>
      <c r="E551" s="2"/>
      <c r="F551" s="2"/>
      <c r="G551" s="3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58"/>
      <c r="B552" s="2"/>
      <c r="C552" s="2"/>
      <c r="D552" s="2"/>
      <c r="E552" s="2"/>
      <c r="F552" s="2"/>
      <c r="G552" s="3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58"/>
      <c r="B553" s="2"/>
      <c r="C553" s="2"/>
      <c r="D553" s="2"/>
      <c r="E553" s="2"/>
      <c r="F553" s="2"/>
      <c r="G553" s="3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58"/>
      <c r="B554" s="2"/>
      <c r="C554" s="2"/>
      <c r="D554" s="2"/>
      <c r="E554" s="2"/>
      <c r="F554" s="2"/>
      <c r="G554" s="3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58"/>
      <c r="B555" s="2"/>
      <c r="C555" s="2"/>
      <c r="D555" s="2"/>
      <c r="E555" s="2"/>
      <c r="F555" s="2"/>
      <c r="G555" s="3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58"/>
      <c r="B556" s="2"/>
      <c r="C556" s="2"/>
      <c r="D556" s="2"/>
      <c r="E556" s="2"/>
      <c r="F556" s="2"/>
      <c r="G556" s="3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58"/>
      <c r="B557" s="2"/>
      <c r="C557" s="2"/>
      <c r="D557" s="2"/>
      <c r="E557" s="2"/>
      <c r="F557" s="2"/>
      <c r="G557" s="3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58"/>
      <c r="B558" s="2"/>
      <c r="C558" s="2"/>
      <c r="D558" s="2"/>
      <c r="E558" s="2"/>
      <c r="F558" s="2"/>
      <c r="G558" s="3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58"/>
      <c r="B559" s="2"/>
      <c r="C559" s="2"/>
      <c r="D559" s="2"/>
      <c r="E559" s="2"/>
      <c r="F559" s="2"/>
      <c r="G559" s="3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58"/>
      <c r="B560" s="2"/>
      <c r="C560" s="2"/>
      <c r="D560" s="2"/>
      <c r="E560" s="2"/>
      <c r="F560" s="2"/>
      <c r="G560" s="3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58"/>
      <c r="B561" s="2"/>
      <c r="C561" s="2"/>
      <c r="D561" s="2"/>
      <c r="E561" s="2"/>
      <c r="F561" s="2"/>
      <c r="G561" s="3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58"/>
      <c r="B562" s="2"/>
      <c r="C562" s="2"/>
      <c r="D562" s="2"/>
      <c r="E562" s="2"/>
      <c r="F562" s="2"/>
      <c r="G562" s="3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58"/>
      <c r="B563" s="2"/>
      <c r="C563" s="2"/>
      <c r="D563" s="2"/>
      <c r="E563" s="2"/>
      <c r="F563" s="2"/>
      <c r="G563" s="3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58"/>
      <c r="B564" s="2"/>
      <c r="C564" s="2"/>
      <c r="D564" s="2"/>
      <c r="E564" s="2"/>
      <c r="F564" s="2"/>
      <c r="G564" s="3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58"/>
      <c r="B565" s="2"/>
      <c r="C565" s="2"/>
      <c r="D565" s="2"/>
      <c r="E565" s="2"/>
      <c r="F565" s="2"/>
      <c r="G565" s="3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58"/>
      <c r="B566" s="2"/>
      <c r="C566" s="2"/>
      <c r="D566" s="2"/>
      <c r="E566" s="2"/>
      <c r="F566" s="2"/>
      <c r="G566" s="3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58"/>
      <c r="B567" s="2"/>
      <c r="C567" s="2"/>
      <c r="D567" s="2"/>
      <c r="E567" s="2"/>
      <c r="F567" s="2"/>
      <c r="G567" s="3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58"/>
      <c r="B568" s="2"/>
      <c r="C568" s="2"/>
      <c r="D568" s="2"/>
      <c r="E568" s="2"/>
      <c r="F568" s="2"/>
      <c r="G568" s="3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58"/>
      <c r="B569" s="2"/>
      <c r="C569" s="2"/>
      <c r="D569" s="2"/>
      <c r="E569" s="2"/>
      <c r="F569" s="2"/>
      <c r="G569" s="3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58"/>
      <c r="B570" s="2"/>
      <c r="C570" s="2"/>
      <c r="D570" s="2"/>
      <c r="E570" s="2"/>
      <c r="F570" s="2"/>
      <c r="G570" s="3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58"/>
      <c r="B571" s="2"/>
      <c r="C571" s="2"/>
      <c r="D571" s="2"/>
      <c r="E571" s="2"/>
      <c r="F571" s="2"/>
      <c r="G571" s="3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58"/>
      <c r="B572" s="2"/>
      <c r="C572" s="2"/>
      <c r="D572" s="2"/>
      <c r="E572" s="2"/>
      <c r="F572" s="2"/>
      <c r="G572" s="3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58"/>
      <c r="B573" s="2"/>
      <c r="C573" s="2"/>
      <c r="D573" s="2"/>
      <c r="E573" s="2"/>
      <c r="F573" s="2"/>
      <c r="G573" s="3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58"/>
      <c r="B574" s="2"/>
      <c r="C574" s="2"/>
      <c r="D574" s="2"/>
      <c r="E574" s="2"/>
      <c r="F574" s="2"/>
      <c r="G574" s="3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58"/>
      <c r="B575" s="2"/>
      <c r="C575" s="2"/>
      <c r="D575" s="2"/>
      <c r="E575" s="2"/>
      <c r="F575" s="2"/>
      <c r="G575" s="3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58"/>
      <c r="B576" s="2"/>
      <c r="C576" s="2"/>
      <c r="D576" s="2"/>
      <c r="E576" s="2"/>
      <c r="F576" s="2"/>
      <c r="G576" s="3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58"/>
      <c r="B577" s="2"/>
      <c r="C577" s="2"/>
      <c r="D577" s="2"/>
      <c r="E577" s="2"/>
      <c r="F577" s="2"/>
      <c r="G577" s="3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58"/>
      <c r="B578" s="2"/>
      <c r="C578" s="2"/>
      <c r="D578" s="2"/>
      <c r="E578" s="2"/>
      <c r="F578" s="2"/>
      <c r="G578" s="3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58"/>
      <c r="B579" s="2"/>
      <c r="C579" s="2"/>
      <c r="D579" s="2"/>
      <c r="E579" s="2"/>
      <c r="F579" s="2"/>
      <c r="G579" s="3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58"/>
      <c r="B580" s="2"/>
      <c r="C580" s="2"/>
      <c r="D580" s="2"/>
      <c r="E580" s="2"/>
      <c r="F580" s="2"/>
      <c r="G580" s="3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58"/>
      <c r="B581" s="2"/>
      <c r="C581" s="2"/>
      <c r="D581" s="2"/>
      <c r="E581" s="2"/>
      <c r="F581" s="2"/>
      <c r="G581" s="3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58"/>
      <c r="B582" s="2"/>
      <c r="C582" s="2"/>
      <c r="D582" s="2"/>
      <c r="E582" s="2"/>
      <c r="F582" s="2"/>
      <c r="G582" s="3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58"/>
      <c r="B583" s="2"/>
      <c r="C583" s="2"/>
      <c r="D583" s="2"/>
      <c r="E583" s="2"/>
      <c r="F583" s="2"/>
      <c r="G583" s="3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58"/>
      <c r="B584" s="2"/>
      <c r="C584" s="2"/>
      <c r="D584" s="2"/>
      <c r="E584" s="2"/>
      <c r="F584" s="2"/>
      <c r="G584" s="3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58"/>
      <c r="B585" s="2"/>
      <c r="C585" s="2"/>
      <c r="D585" s="2"/>
      <c r="E585" s="2"/>
      <c r="F585" s="2"/>
      <c r="G585" s="3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58"/>
      <c r="B586" s="2"/>
      <c r="C586" s="2"/>
      <c r="D586" s="2"/>
      <c r="E586" s="2"/>
      <c r="F586" s="2"/>
      <c r="G586" s="3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58"/>
      <c r="B587" s="2"/>
      <c r="C587" s="2"/>
      <c r="D587" s="2"/>
      <c r="E587" s="2"/>
      <c r="F587" s="2"/>
      <c r="G587" s="3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58"/>
      <c r="B588" s="2"/>
      <c r="C588" s="2"/>
      <c r="D588" s="2"/>
      <c r="E588" s="2"/>
      <c r="F588" s="2"/>
      <c r="G588" s="3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58"/>
      <c r="B589" s="2"/>
      <c r="C589" s="2"/>
      <c r="D589" s="2"/>
      <c r="E589" s="2"/>
      <c r="F589" s="2"/>
      <c r="G589" s="3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58"/>
      <c r="B590" s="2"/>
      <c r="C590" s="2"/>
      <c r="D590" s="2"/>
      <c r="E590" s="2"/>
      <c r="F590" s="2"/>
      <c r="G590" s="3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58"/>
      <c r="B591" s="2"/>
      <c r="C591" s="2"/>
      <c r="D591" s="2"/>
      <c r="E591" s="2"/>
      <c r="F591" s="2"/>
      <c r="G591" s="3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58"/>
      <c r="B592" s="2"/>
      <c r="C592" s="2"/>
      <c r="D592" s="2"/>
      <c r="E592" s="2"/>
      <c r="F592" s="2"/>
      <c r="G592" s="3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58"/>
      <c r="B593" s="2"/>
      <c r="C593" s="2"/>
      <c r="D593" s="2"/>
      <c r="E593" s="2"/>
      <c r="F593" s="2"/>
      <c r="G593" s="3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58"/>
      <c r="B594" s="2"/>
      <c r="C594" s="2"/>
      <c r="D594" s="2"/>
      <c r="E594" s="2"/>
      <c r="F594" s="2"/>
      <c r="G594" s="3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58"/>
      <c r="B595" s="2"/>
      <c r="C595" s="2"/>
      <c r="D595" s="2"/>
      <c r="E595" s="2"/>
      <c r="F595" s="2"/>
      <c r="G595" s="3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58"/>
      <c r="B596" s="2"/>
      <c r="C596" s="2"/>
      <c r="D596" s="2"/>
      <c r="E596" s="2"/>
      <c r="F596" s="2"/>
      <c r="G596" s="3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58"/>
      <c r="B597" s="2"/>
      <c r="C597" s="2"/>
      <c r="D597" s="2"/>
      <c r="E597" s="2"/>
      <c r="F597" s="2"/>
      <c r="G597" s="3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58"/>
      <c r="B598" s="2"/>
      <c r="C598" s="2"/>
      <c r="D598" s="2"/>
      <c r="E598" s="2"/>
      <c r="F598" s="2"/>
      <c r="G598" s="3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58"/>
      <c r="B599" s="2"/>
      <c r="C599" s="2"/>
      <c r="D599" s="2"/>
      <c r="E599" s="2"/>
      <c r="F599" s="2"/>
      <c r="G599" s="3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58"/>
      <c r="B600" s="2"/>
      <c r="C600" s="2"/>
      <c r="D600" s="2"/>
      <c r="E600" s="2"/>
      <c r="F600" s="2"/>
      <c r="G600" s="3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58"/>
      <c r="B601" s="2"/>
      <c r="C601" s="2"/>
      <c r="D601" s="2"/>
      <c r="E601" s="2"/>
      <c r="F601" s="2"/>
      <c r="G601" s="3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58"/>
      <c r="B602" s="2"/>
      <c r="C602" s="2"/>
      <c r="D602" s="2"/>
      <c r="E602" s="2"/>
      <c r="F602" s="2"/>
      <c r="G602" s="3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58"/>
      <c r="B603" s="2"/>
      <c r="C603" s="2"/>
      <c r="D603" s="2"/>
      <c r="E603" s="2"/>
      <c r="F603" s="2"/>
      <c r="G603" s="3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58"/>
      <c r="B604" s="2"/>
      <c r="C604" s="2"/>
      <c r="D604" s="2"/>
      <c r="E604" s="2"/>
      <c r="F604" s="2"/>
      <c r="G604" s="3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58"/>
      <c r="B605" s="2"/>
      <c r="C605" s="2"/>
      <c r="D605" s="2"/>
      <c r="E605" s="2"/>
      <c r="F605" s="2"/>
      <c r="G605" s="3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58"/>
      <c r="B606" s="2"/>
      <c r="C606" s="2"/>
      <c r="D606" s="2"/>
      <c r="E606" s="2"/>
      <c r="F606" s="2"/>
      <c r="G606" s="3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58"/>
      <c r="B607" s="2"/>
      <c r="C607" s="2"/>
      <c r="D607" s="2"/>
      <c r="E607" s="2"/>
      <c r="F607" s="2"/>
      <c r="G607" s="3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58"/>
      <c r="B608" s="2"/>
      <c r="C608" s="2"/>
      <c r="D608" s="2"/>
      <c r="E608" s="2"/>
      <c r="F608" s="2"/>
      <c r="G608" s="3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58"/>
      <c r="B609" s="2"/>
      <c r="C609" s="2"/>
      <c r="D609" s="2"/>
      <c r="E609" s="2"/>
      <c r="F609" s="2"/>
      <c r="G609" s="3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58"/>
      <c r="B610" s="2"/>
      <c r="C610" s="2"/>
      <c r="D610" s="2"/>
      <c r="E610" s="2"/>
      <c r="F610" s="2"/>
      <c r="G610" s="3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58"/>
      <c r="B611" s="2"/>
      <c r="C611" s="2"/>
      <c r="D611" s="2"/>
      <c r="E611" s="2"/>
      <c r="F611" s="2"/>
      <c r="G611" s="3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58"/>
      <c r="B612" s="2"/>
      <c r="C612" s="2"/>
      <c r="D612" s="2"/>
      <c r="E612" s="2"/>
      <c r="F612" s="2"/>
      <c r="G612" s="3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58"/>
      <c r="B613" s="2"/>
      <c r="C613" s="2"/>
      <c r="D613" s="2"/>
      <c r="E613" s="2"/>
      <c r="F613" s="2"/>
      <c r="G613" s="3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58"/>
      <c r="B614" s="2"/>
      <c r="C614" s="2"/>
      <c r="D614" s="2"/>
      <c r="E614" s="2"/>
      <c r="F614" s="2"/>
      <c r="G614" s="3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58"/>
      <c r="B615" s="2"/>
      <c r="C615" s="2"/>
      <c r="D615" s="2"/>
      <c r="E615" s="2"/>
      <c r="F615" s="2"/>
      <c r="G615" s="3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58"/>
      <c r="B616" s="2"/>
      <c r="C616" s="2"/>
      <c r="D616" s="2"/>
      <c r="E616" s="2"/>
      <c r="F616" s="2"/>
      <c r="G616" s="3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58"/>
      <c r="B617" s="2"/>
      <c r="C617" s="2"/>
      <c r="D617" s="2"/>
      <c r="E617" s="2"/>
      <c r="F617" s="2"/>
      <c r="G617" s="3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58"/>
      <c r="B618" s="2"/>
      <c r="C618" s="2"/>
      <c r="D618" s="2"/>
      <c r="E618" s="2"/>
      <c r="F618" s="2"/>
      <c r="G618" s="3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58"/>
      <c r="B619" s="2"/>
      <c r="C619" s="2"/>
      <c r="D619" s="2"/>
      <c r="E619" s="2"/>
      <c r="F619" s="2"/>
      <c r="G619" s="3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58"/>
      <c r="B620" s="2"/>
      <c r="C620" s="2"/>
      <c r="D620" s="2"/>
      <c r="E620" s="2"/>
      <c r="F620" s="2"/>
      <c r="G620" s="3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58"/>
      <c r="B621" s="2"/>
      <c r="C621" s="2"/>
      <c r="D621" s="2"/>
      <c r="E621" s="2"/>
      <c r="F621" s="2"/>
      <c r="G621" s="3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58"/>
      <c r="B622" s="2"/>
      <c r="C622" s="2"/>
      <c r="D622" s="2"/>
      <c r="E622" s="2"/>
      <c r="F622" s="2"/>
      <c r="G622" s="3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58"/>
      <c r="B623" s="2"/>
      <c r="C623" s="2"/>
      <c r="D623" s="2"/>
      <c r="E623" s="2"/>
      <c r="F623" s="2"/>
      <c r="G623" s="3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58"/>
      <c r="B624" s="2"/>
      <c r="C624" s="2"/>
      <c r="D624" s="2"/>
      <c r="E624" s="2"/>
      <c r="F624" s="2"/>
      <c r="G624" s="3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58"/>
      <c r="B625" s="2"/>
      <c r="C625" s="2"/>
      <c r="D625" s="2"/>
      <c r="E625" s="2"/>
      <c r="F625" s="2"/>
      <c r="G625" s="3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58"/>
      <c r="B626" s="2"/>
      <c r="C626" s="2"/>
      <c r="D626" s="2"/>
      <c r="E626" s="2"/>
      <c r="F626" s="2"/>
      <c r="G626" s="3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58"/>
      <c r="B627" s="2"/>
      <c r="C627" s="2"/>
      <c r="D627" s="2"/>
      <c r="E627" s="2"/>
      <c r="F627" s="2"/>
      <c r="G627" s="3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58"/>
      <c r="B628" s="2"/>
      <c r="C628" s="2"/>
      <c r="D628" s="2"/>
      <c r="E628" s="2"/>
      <c r="F628" s="2"/>
      <c r="G628" s="3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58"/>
      <c r="B629" s="2"/>
      <c r="C629" s="2"/>
      <c r="D629" s="2"/>
      <c r="E629" s="2"/>
      <c r="F629" s="2"/>
      <c r="G629" s="3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58"/>
      <c r="B630" s="2"/>
      <c r="C630" s="2"/>
      <c r="D630" s="2"/>
      <c r="E630" s="2"/>
      <c r="F630" s="2"/>
      <c r="G630" s="3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58"/>
      <c r="B631" s="2"/>
      <c r="C631" s="2"/>
      <c r="D631" s="2"/>
      <c r="E631" s="2"/>
      <c r="F631" s="2"/>
      <c r="G631" s="3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58"/>
      <c r="B632" s="2"/>
      <c r="C632" s="2"/>
      <c r="D632" s="2"/>
      <c r="E632" s="2"/>
      <c r="F632" s="2"/>
      <c r="G632" s="3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58"/>
      <c r="B633" s="2"/>
      <c r="C633" s="2"/>
      <c r="D633" s="2"/>
      <c r="E633" s="2"/>
      <c r="F633" s="2"/>
      <c r="G633" s="3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58"/>
      <c r="B634" s="2"/>
      <c r="C634" s="2"/>
      <c r="D634" s="2"/>
      <c r="E634" s="2"/>
      <c r="F634" s="2"/>
      <c r="G634" s="3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58"/>
      <c r="B635" s="2"/>
      <c r="C635" s="2"/>
      <c r="D635" s="2"/>
      <c r="E635" s="2"/>
      <c r="F635" s="2"/>
      <c r="G635" s="3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58"/>
      <c r="B636" s="2"/>
      <c r="C636" s="2"/>
      <c r="D636" s="2"/>
      <c r="E636" s="2"/>
      <c r="F636" s="2"/>
      <c r="G636" s="3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58"/>
      <c r="B637" s="2"/>
      <c r="C637" s="2"/>
      <c r="D637" s="2"/>
      <c r="E637" s="2"/>
      <c r="F637" s="2"/>
      <c r="G637" s="3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58"/>
      <c r="B638" s="2"/>
      <c r="C638" s="2"/>
      <c r="D638" s="2"/>
      <c r="E638" s="2"/>
      <c r="F638" s="2"/>
      <c r="G638" s="3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58"/>
      <c r="B639" s="2"/>
      <c r="C639" s="2"/>
      <c r="D639" s="2"/>
      <c r="E639" s="2"/>
      <c r="F639" s="2"/>
      <c r="G639" s="3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58"/>
      <c r="B640" s="2"/>
      <c r="C640" s="2"/>
      <c r="D640" s="2"/>
      <c r="E640" s="2"/>
      <c r="F640" s="2"/>
      <c r="G640" s="3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58"/>
      <c r="B641" s="2"/>
      <c r="C641" s="2"/>
      <c r="D641" s="2"/>
      <c r="E641" s="2"/>
      <c r="F641" s="2"/>
      <c r="G641" s="3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58"/>
      <c r="B642" s="2"/>
      <c r="C642" s="2"/>
      <c r="D642" s="2"/>
      <c r="E642" s="2"/>
      <c r="F642" s="2"/>
      <c r="G642" s="3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58"/>
      <c r="B643" s="2"/>
      <c r="C643" s="2"/>
      <c r="D643" s="2"/>
      <c r="E643" s="2"/>
      <c r="F643" s="2"/>
      <c r="G643" s="3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58"/>
      <c r="B644" s="2"/>
      <c r="C644" s="2"/>
      <c r="D644" s="2"/>
      <c r="E644" s="2"/>
      <c r="F644" s="2"/>
      <c r="G644" s="3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58"/>
      <c r="B645" s="2"/>
      <c r="C645" s="2"/>
      <c r="D645" s="2"/>
      <c r="E645" s="2"/>
      <c r="F645" s="2"/>
      <c r="G645" s="3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58"/>
      <c r="B646" s="2"/>
      <c r="C646" s="2"/>
      <c r="D646" s="2"/>
      <c r="E646" s="2"/>
      <c r="F646" s="2"/>
      <c r="G646" s="3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58"/>
      <c r="B647" s="2"/>
      <c r="C647" s="2"/>
      <c r="D647" s="2"/>
      <c r="E647" s="2"/>
      <c r="F647" s="2"/>
      <c r="G647" s="3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58"/>
      <c r="B648" s="2"/>
      <c r="C648" s="2"/>
      <c r="D648" s="2"/>
      <c r="E648" s="2"/>
      <c r="F648" s="2"/>
      <c r="G648" s="3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58"/>
      <c r="B649" s="2"/>
      <c r="C649" s="2"/>
      <c r="D649" s="2"/>
      <c r="E649" s="2"/>
      <c r="F649" s="2"/>
      <c r="G649" s="3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58"/>
      <c r="B650" s="2"/>
      <c r="C650" s="2"/>
      <c r="D650" s="2"/>
      <c r="E650" s="2"/>
      <c r="F650" s="2"/>
      <c r="G650" s="3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58"/>
      <c r="B651" s="2"/>
      <c r="C651" s="2"/>
      <c r="D651" s="2"/>
      <c r="E651" s="2"/>
      <c r="F651" s="2"/>
      <c r="G651" s="3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58"/>
      <c r="B652" s="2"/>
      <c r="C652" s="2"/>
      <c r="D652" s="2"/>
      <c r="E652" s="2"/>
      <c r="F652" s="2"/>
      <c r="G652" s="3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58"/>
      <c r="B653" s="2"/>
      <c r="C653" s="2"/>
      <c r="D653" s="2"/>
      <c r="E653" s="2"/>
      <c r="F653" s="2"/>
      <c r="G653" s="3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58"/>
      <c r="B654" s="2"/>
      <c r="C654" s="2"/>
      <c r="D654" s="2"/>
      <c r="E654" s="2"/>
      <c r="F654" s="2"/>
      <c r="G654" s="3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58"/>
      <c r="B655" s="2"/>
      <c r="C655" s="2"/>
      <c r="D655" s="2"/>
      <c r="E655" s="2"/>
      <c r="F655" s="2"/>
      <c r="G655" s="3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58"/>
      <c r="B656" s="2"/>
      <c r="C656" s="2"/>
      <c r="D656" s="2"/>
      <c r="E656" s="2"/>
      <c r="F656" s="2"/>
      <c r="G656" s="3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58"/>
      <c r="B657" s="2"/>
      <c r="C657" s="2"/>
      <c r="D657" s="2"/>
      <c r="E657" s="2"/>
      <c r="F657" s="2"/>
      <c r="G657" s="3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58"/>
      <c r="B658" s="2"/>
      <c r="C658" s="2"/>
      <c r="D658" s="2"/>
      <c r="E658" s="2"/>
      <c r="F658" s="2"/>
      <c r="G658" s="3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58"/>
      <c r="B659" s="2"/>
      <c r="C659" s="2"/>
      <c r="D659" s="2"/>
      <c r="E659" s="2"/>
      <c r="F659" s="2"/>
      <c r="G659" s="3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58"/>
      <c r="B660" s="2"/>
      <c r="C660" s="2"/>
      <c r="D660" s="2"/>
      <c r="E660" s="2"/>
      <c r="F660" s="2"/>
      <c r="G660" s="3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58"/>
      <c r="B661" s="2"/>
      <c r="C661" s="2"/>
      <c r="D661" s="2"/>
      <c r="E661" s="2"/>
      <c r="F661" s="2"/>
      <c r="G661" s="3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58"/>
      <c r="B662" s="2"/>
      <c r="C662" s="2"/>
      <c r="D662" s="2"/>
      <c r="E662" s="2"/>
      <c r="F662" s="2"/>
      <c r="G662" s="3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58"/>
      <c r="B663" s="2"/>
      <c r="C663" s="2"/>
      <c r="D663" s="2"/>
      <c r="E663" s="2"/>
      <c r="F663" s="2"/>
      <c r="G663" s="3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58"/>
      <c r="B664" s="2"/>
      <c r="C664" s="2"/>
      <c r="D664" s="2"/>
      <c r="E664" s="2"/>
      <c r="F664" s="2"/>
      <c r="G664" s="3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58"/>
      <c r="B665" s="2"/>
      <c r="C665" s="2"/>
      <c r="D665" s="2"/>
      <c r="E665" s="2"/>
      <c r="F665" s="2"/>
      <c r="G665" s="3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58"/>
      <c r="B666" s="2"/>
      <c r="C666" s="2"/>
      <c r="D666" s="2"/>
      <c r="E666" s="2"/>
      <c r="F666" s="2"/>
      <c r="G666" s="3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58"/>
      <c r="B667" s="2"/>
      <c r="C667" s="2"/>
      <c r="D667" s="2"/>
      <c r="E667" s="2"/>
      <c r="F667" s="2"/>
      <c r="G667" s="3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58"/>
      <c r="B668" s="2"/>
      <c r="C668" s="2"/>
      <c r="D668" s="2"/>
      <c r="E668" s="2"/>
      <c r="F668" s="2"/>
      <c r="G668" s="3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58"/>
      <c r="B669" s="2"/>
      <c r="C669" s="2"/>
      <c r="D669" s="2"/>
      <c r="E669" s="2"/>
      <c r="F669" s="2"/>
      <c r="G669" s="3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58"/>
      <c r="B670" s="2"/>
      <c r="C670" s="2"/>
      <c r="D670" s="2"/>
      <c r="E670" s="2"/>
      <c r="F670" s="2"/>
      <c r="G670" s="3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58"/>
      <c r="B671" s="2"/>
      <c r="C671" s="2"/>
      <c r="D671" s="2"/>
      <c r="E671" s="2"/>
      <c r="F671" s="2"/>
      <c r="G671" s="3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58"/>
      <c r="B672" s="2"/>
      <c r="C672" s="2"/>
      <c r="D672" s="2"/>
      <c r="E672" s="2"/>
      <c r="F672" s="2"/>
      <c r="G672" s="3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58"/>
      <c r="B673" s="2"/>
      <c r="C673" s="2"/>
      <c r="D673" s="2"/>
      <c r="E673" s="2"/>
      <c r="F673" s="2"/>
      <c r="G673" s="3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58"/>
      <c r="B674" s="2"/>
      <c r="C674" s="2"/>
      <c r="D674" s="2"/>
      <c r="E674" s="2"/>
      <c r="F674" s="2"/>
      <c r="G674" s="3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58"/>
      <c r="B675" s="2"/>
      <c r="C675" s="2"/>
      <c r="D675" s="2"/>
      <c r="E675" s="2"/>
      <c r="F675" s="2"/>
      <c r="G675" s="3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58"/>
      <c r="B676" s="2"/>
      <c r="C676" s="2"/>
      <c r="D676" s="2"/>
      <c r="E676" s="2"/>
      <c r="F676" s="2"/>
      <c r="G676" s="3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58"/>
      <c r="B677" s="2"/>
      <c r="C677" s="2"/>
      <c r="D677" s="2"/>
      <c r="E677" s="2"/>
      <c r="F677" s="2"/>
      <c r="G677" s="3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58"/>
      <c r="B678" s="2"/>
      <c r="C678" s="2"/>
      <c r="D678" s="2"/>
      <c r="E678" s="2"/>
      <c r="F678" s="2"/>
      <c r="G678" s="3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58"/>
      <c r="B679" s="2"/>
      <c r="C679" s="2"/>
      <c r="D679" s="2"/>
      <c r="E679" s="2"/>
      <c r="F679" s="2"/>
      <c r="G679" s="3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58"/>
      <c r="B680" s="2"/>
      <c r="C680" s="2"/>
      <c r="D680" s="2"/>
      <c r="E680" s="2"/>
      <c r="F680" s="2"/>
      <c r="G680" s="3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58"/>
      <c r="B681" s="2"/>
      <c r="C681" s="2"/>
      <c r="D681" s="2"/>
      <c r="E681" s="2"/>
      <c r="F681" s="2"/>
      <c r="G681" s="3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58"/>
      <c r="B682" s="2"/>
      <c r="C682" s="2"/>
      <c r="D682" s="2"/>
      <c r="E682" s="2"/>
      <c r="F682" s="2"/>
      <c r="G682" s="3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58"/>
      <c r="B683" s="2"/>
      <c r="C683" s="2"/>
      <c r="D683" s="2"/>
      <c r="E683" s="2"/>
      <c r="F683" s="2"/>
      <c r="G683" s="3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58"/>
      <c r="B684" s="2"/>
      <c r="C684" s="2"/>
      <c r="D684" s="2"/>
      <c r="E684" s="2"/>
      <c r="F684" s="2"/>
      <c r="G684" s="3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58"/>
      <c r="B685" s="2"/>
      <c r="C685" s="2"/>
      <c r="D685" s="2"/>
      <c r="E685" s="2"/>
      <c r="F685" s="2"/>
      <c r="G685" s="3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58"/>
      <c r="B686" s="2"/>
      <c r="C686" s="2"/>
      <c r="D686" s="2"/>
      <c r="E686" s="2"/>
      <c r="F686" s="2"/>
      <c r="G686" s="3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58"/>
      <c r="B687" s="2"/>
      <c r="C687" s="2"/>
      <c r="D687" s="2"/>
      <c r="E687" s="2"/>
      <c r="F687" s="2"/>
      <c r="G687" s="3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58"/>
      <c r="B688" s="2"/>
      <c r="C688" s="2"/>
      <c r="D688" s="2"/>
      <c r="E688" s="2"/>
      <c r="F688" s="2"/>
      <c r="G688" s="3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58"/>
      <c r="B689" s="2"/>
      <c r="C689" s="2"/>
      <c r="D689" s="2"/>
      <c r="E689" s="2"/>
      <c r="F689" s="2"/>
      <c r="G689" s="3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58"/>
      <c r="B690" s="2"/>
      <c r="C690" s="2"/>
      <c r="D690" s="2"/>
      <c r="E690" s="2"/>
      <c r="F690" s="2"/>
      <c r="G690" s="3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58"/>
      <c r="B691" s="2"/>
      <c r="C691" s="2"/>
      <c r="D691" s="2"/>
      <c r="E691" s="2"/>
      <c r="F691" s="2"/>
      <c r="G691" s="3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58"/>
      <c r="B692" s="2"/>
      <c r="C692" s="2"/>
      <c r="D692" s="2"/>
      <c r="E692" s="2"/>
      <c r="F692" s="2"/>
      <c r="G692" s="3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58"/>
      <c r="B693" s="2"/>
      <c r="C693" s="2"/>
      <c r="D693" s="2"/>
      <c r="E693" s="2"/>
      <c r="F693" s="2"/>
      <c r="G693" s="3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58"/>
      <c r="B694" s="2"/>
      <c r="C694" s="2"/>
      <c r="D694" s="2"/>
      <c r="E694" s="2"/>
      <c r="F694" s="2"/>
      <c r="G694" s="3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58"/>
      <c r="B695" s="2"/>
      <c r="C695" s="2"/>
      <c r="D695" s="2"/>
      <c r="E695" s="2"/>
      <c r="F695" s="2"/>
      <c r="G695" s="3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58"/>
      <c r="B696" s="2"/>
      <c r="C696" s="2"/>
      <c r="D696" s="2"/>
      <c r="E696" s="2"/>
      <c r="F696" s="2"/>
      <c r="G696" s="3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58"/>
      <c r="B697" s="2"/>
      <c r="C697" s="2"/>
      <c r="D697" s="2"/>
      <c r="E697" s="2"/>
      <c r="F697" s="2"/>
      <c r="G697" s="3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58"/>
      <c r="B698" s="2"/>
      <c r="C698" s="2"/>
      <c r="D698" s="2"/>
      <c r="E698" s="2"/>
      <c r="F698" s="2"/>
      <c r="G698" s="3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58"/>
      <c r="B699" s="2"/>
      <c r="C699" s="2"/>
      <c r="D699" s="2"/>
      <c r="E699" s="2"/>
      <c r="F699" s="2"/>
      <c r="G699" s="3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58"/>
      <c r="B700" s="2"/>
      <c r="C700" s="2"/>
      <c r="D700" s="2"/>
      <c r="E700" s="2"/>
      <c r="F700" s="2"/>
      <c r="G700" s="3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58"/>
      <c r="B701" s="2"/>
      <c r="C701" s="2"/>
      <c r="D701" s="2"/>
      <c r="E701" s="2"/>
      <c r="F701" s="2"/>
      <c r="G701" s="3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58"/>
      <c r="B702" s="2"/>
      <c r="C702" s="2"/>
      <c r="D702" s="2"/>
      <c r="E702" s="2"/>
      <c r="F702" s="2"/>
      <c r="G702" s="3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58"/>
      <c r="B703" s="2"/>
      <c r="C703" s="2"/>
      <c r="D703" s="2"/>
      <c r="E703" s="2"/>
      <c r="F703" s="2"/>
      <c r="G703" s="3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58"/>
      <c r="B704" s="2"/>
      <c r="C704" s="2"/>
      <c r="D704" s="2"/>
      <c r="E704" s="2"/>
      <c r="F704" s="2"/>
      <c r="G704" s="3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58"/>
      <c r="B705" s="2"/>
      <c r="C705" s="2"/>
      <c r="D705" s="2"/>
      <c r="E705" s="2"/>
      <c r="F705" s="2"/>
      <c r="G705" s="3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58"/>
      <c r="B706" s="2"/>
      <c r="C706" s="2"/>
      <c r="D706" s="2"/>
      <c r="E706" s="2"/>
      <c r="F706" s="2"/>
      <c r="G706" s="3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58"/>
      <c r="B707" s="2"/>
      <c r="C707" s="2"/>
      <c r="D707" s="2"/>
      <c r="E707" s="2"/>
      <c r="F707" s="2"/>
      <c r="G707" s="3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58"/>
      <c r="B708" s="2"/>
      <c r="C708" s="2"/>
      <c r="D708" s="2"/>
      <c r="E708" s="2"/>
      <c r="F708" s="2"/>
      <c r="G708" s="3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58"/>
      <c r="B709" s="2"/>
      <c r="C709" s="2"/>
      <c r="D709" s="2"/>
      <c r="E709" s="2"/>
      <c r="F709" s="2"/>
      <c r="G709" s="3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58"/>
      <c r="B710" s="2"/>
      <c r="C710" s="2"/>
      <c r="D710" s="2"/>
      <c r="E710" s="2"/>
      <c r="F710" s="2"/>
      <c r="G710" s="3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58"/>
      <c r="B711" s="2"/>
      <c r="C711" s="2"/>
      <c r="D711" s="2"/>
      <c r="E711" s="2"/>
      <c r="F711" s="2"/>
      <c r="G711" s="3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58"/>
      <c r="B712" s="2"/>
      <c r="C712" s="2"/>
      <c r="D712" s="2"/>
      <c r="E712" s="2"/>
      <c r="F712" s="2"/>
      <c r="G712" s="3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58"/>
      <c r="B713" s="2"/>
      <c r="C713" s="2"/>
      <c r="D713" s="2"/>
      <c r="E713" s="2"/>
      <c r="F713" s="2"/>
      <c r="G713" s="3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58"/>
      <c r="B714" s="2"/>
      <c r="C714" s="2"/>
      <c r="D714" s="2"/>
      <c r="E714" s="2"/>
      <c r="F714" s="2"/>
      <c r="G714" s="3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58"/>
      <c r="B715" s="2"/>
      <c r="C715" s="2"/>
      <c r="D715" s="2"/>
      <c r="E715" s="2"/>
      <c r="F715" s="2"/>
      <c r="G715" s="3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58"/>
      <c r="B716" s="2"/>
      <c r="C716" s="2"/>
      <c r="D716" s="2"/>
      <c r="E716" s="2"/>
      <c r="F716" s="2"/>
      <c r="G716" s="3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58"/>
      <c r="B717" s="2"/>
      <c r="C717" s="2"/>
      <c r="D717" s="2"/>
      <c r="E717" s="2"/>
      <c r="F717" s="2"/>
      <c r="G717" s="3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58"/>
      <c r="B718" s="2"/>
      <c r="C718" s="2"/>
      <c r="D718" s="2"/>
      <c r="E718" s="2"/>
      <c r="F718" s="2"/>
      <c r="G718" s="3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58"/>
      <c r="B719" s="2"/>
      <c r="C719" s="2"/>
      <c r="D719" s="2"/>
      <c r="E719" s="2"/>
      <c r="F719" s="2"/>
      <c r="G719" s="3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58"/>
      <c r="B720" s="2"/>
      <c r="C720" s="2"/>
      <c r="D720" s="2"/>
      <c r="E720" s="2"/>
      <c r="F720" s="2"/>
      <c r="G720" s="3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58"/>
      <c r="B721" s="2"/>
      <c r="C721" s="2"/>
      <c r="D721" s="2"/>
      <c r="E721" s="2"/>
      <c r="F721" s="2"/>
      <c r="G721" s="3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58"/>
      <c r="B722" s="2"/>
      <c r="C722" s="2"/>
      <c r="D722" s="2"/>
      <c r="E722" s="2"/>
      <c r="F722" s="2"/>
      <c r="G722" s="3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58"/>
      <c r="B723" s="2"/>
      <c r="C723" s="2"/>
      <c r="D723" s="2"/>
      <c r="E723" s="2"/>
      <c r="F723" s="2"/>
      <c r="G723" s="3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58"/>
      <c r="B724" s="2"/>
      <c r="C724" s="2"/>
      <c r="D724" s="2"/>
      <c r="E724" s="2"/>
      <c r="F724" s="2"/>
      <c r="G724" s="3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58"/>
      <c r="B725" s="2"/>
      <c r="C725" s="2"/>
      <c r="D725" s="2"/>
      <c r="E725" s="2"/>
      <c r="F725" s="2"/>
      <c r="G725" s="3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58"/>
      <c r="B726" s="2"/>
      <c r="C726" s="2"/>
      <c r="D726" s="2"/>
      <c r="E726" s="2"/>
      <c r="F726" s="2"/>
      <c r="G726" s="3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58"/>
      <c r="B727" s="2"/>
      <c r="C727" s="2"/>
      <c r="D727" s="2"/>
      <c r="E727" s="2"/>
      <c r="F727" s="2"/>
      <c r="G727" s="3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58"/>
      <c r="B728" s="2"/>
      <c r="C728" s="2"/>
      <c r="D728" s="2"/>
      <c r="E728" s="2"/>
      <c r="F728" s="2"/>
      <c r="G728" s="3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58"/>
      <c r="B729" s="2"/>
      <c r="C729" s="2"/>
      <c r="D729" s="2"/>
      <c r="E729" s="2"/>
      <c r="F729" s="2"/>
      <c r="G729" s="3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58"/>
      <c r="B730" s="2"/>
      <c r="C730" s="2"/>
      <c r="D730" s="2"/>
      <c r="E730" s="2"/>
      <c r="F730" s="2"/>
      <c r="G730" s="3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58"/>
      <c r="B731" s="2"/>
      <c r="C731" s="2"/>
      <c r="D731" s="2"/>
      <c r="E731" s="2"/>
      <c r="F731" s="2"/>
      <c r="G731" s="3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58"/>
      <c r="B732" s="2"/>
      <c r="C732" s="2"/>
      <c r="D732" s="2"/>
      <c r="E732" s="2"/>
      <c r="F732" s="2"/>
      <c r="G732" s="3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58"/>
      <c r="B733" s="2"/>
      <c r="C733" s="2"/>
      <c r="D733" s="2"/>
      <c r="E733" s="2"/>
      <c r="F733" s="2"/>
      <c r="G733" s="3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58"/>
      <c r="B734" s="2"/>
      <c r="C734" s="2"/>
      <c r="D734" s="2"/>
      <c r="E734" s="2"/>
      <c r="F734" s="2"/>
      <c r="G734" s="3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58"/>
      <c r="B735" s="2"/>
      <c r="C735" s="2"/>
      <c r="D735" s="2"/>
      <c r="E735" s="2"/>
      <c r="F735" s="2"/>
      <c r="G735" s="3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58"/>
      <c r="B736" s="2"/>
      <c r="C736" s="2"/>
      <c r="D736" s="2"/>
      <c r="E736" s="2"/>
      <c r="F736" s="2"/>
      <c r="G736" s="3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58"/>
      <c r="B737" s="2"/>
      <c r="C737" s="2"/>
      <c r="D737" s="2"/>
      <c r="E737" s="2"/>
      <c r="F737" s="2"/>
      <c r="G737" s="3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58"/>
      <c r="B738" s="2"/>
      <c r="C738" s="2"/>
      <c r="D738" s="2"/>
      <c r="E738" s="2"/>
      <c r="F738" s="2"/>
      <c r="G738" s="3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58"/>
      <c r="B739" s="2"/>
      <c r="C739" s="2"/>
      <c r="D739" s="2"/>
      <c r="E739" s="2"/>
      <c r="F739" s="2"/>
      <c r="G739" s="3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58"/>
      <c r="B740" s="2"/>
      <c r="C740" s="2"/>
      <c r="D740" s="2"/>
      <c r="E740" s="2"/>
      <c r="F740" s="2"/>
      <c r="G740" s="3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58"/>
      <c r="B741" s="2"/>
      <c r="C741" s="2"/>
      <c r="D741" s="2"/>
      <c r="E741" s="2"/>
      <c r="F741" s="2"/>
      <c r="G741" s="3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58"/>
      <c r="B742" s="2"/>
      <c r="C742" s="2"/>
      <c r="D742" s="2"/>
      <c r="E742" s="2"/>
      <c r="F742" s="2"/>
      <c r="G742" s="3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58"/>
      <c r="B743" s="2"/>
      <c r="C743" s="2"/>
      <c r="D743" s="2"/>
      <c r="E743" s="2"/>
      <c r="F743" s="2"/>
      <c r="G743" s="3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58"/>
      <c r="B744" s="2"/>
      <c r="C744" s="2"/>
      <c r="D744" s="2"/>
      <c r="E744" s="2"/>
      <c r="F744" s="2"/>
      <c r="G744" s="3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58"/>
      <c r="B745" s="2"/>
      <c r="C745" s="2"/>
      <c r="D745" s="2"/>
      <c r="E745" s="2"/>
      <c r="F745" s="2"/>
      <c r="G745" s="3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58"/>
      <c r="B746" s="2"/>
      <c r="C746" s="2"/>
      <c r="D746" s="2"/>
      <c r="E746" s="2"/>
      <c r="F746" s="2"/>
      <c r="G746" s="3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58"/>
      <c r="B747" s="2"/>
      <c r="C747" s="2"/>
      <c r="D747" s="2"/>
      <c r="E747" s="2"/>
      <c r="F747" s="2"/>
      <c r="G747" s="3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58"/>
      <c r="B748" s="2"/>
      <c r="C748" s="2"/>
      <c r="D748" s="2"/>
      <c r="E748" s="2"/>
      <c r="F748" s="2"/>
      <c r="G748" s="3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58"/>
      <c r="B749" s="2"/>
      <c r="C749" s="2"/>
      <c r="D749" s="2"/>
      <c r="E749" s="2"/>
      <c r="F749" s="2"/>
      <c r="G749" s="3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58"/>
      <c r="B750" s="2"/>
      <c r="C750" s="2"/>
      <c r="D750" s="2"/>
      <c r="E750" s="2"/>
      <c r="F750" s="2"/>
      <c r="G750" s="3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58"/>
      <c r="B751" s="2"/>
      <c r="C751" s="2"/>
      <c r="D751" s="2"/>
      <c r="E751" s="2"/>
      <c r="F751" s="2"/>
      <c r="G751" s="3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58"/>
      <c r="B752" s="2"/>
      <c r="C752" s="2"/>
      <c r="D752" s="2"/>
      <c r="E752" s="2"/>
      <c r="F752" s="2"/>
      <c r="G752" s="3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58"/>
      <c r="B753" s="2"/>
      <c r="C753" s="2"/>
      <c r="D753" s="2"/>
      <c r="E753" s="2"/>
      <c r="F753" s="2"/>
      <c r="G753" s="3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58"/>
      <c r="B754" s="2"/>
      <c r="C754" s="2"/>
      <c r="D754" s="2"/>
      <c r="E754" s="2"/>
      <c r="F754" s="2"/>
      <c r="G754" s="3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58"/>
      <c r="B755" s="2"/>
      <c r="C755" s="2"/>
      <c r="D755" s="2"/>
      <c r="E755" s="2"/>
      <c r="F755" s="2"/>
      <c r="G755" s="3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58"/>
      <c r="B756" s="2"/>
      <c r="C756" s="2"/>
      <c r="D756" s="2"/>
      <c r="E756" s="2"/>
      <c r="F756" s="2"/>
      <c r="G756" s="3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58"/>
      <c r="B757" s="2"/>
      <c r="C757" s="2"/>
      <c r="D757" s="2"/>
      <c r="E757" s="2"/>
      <c r="F757" s="2"/>
      <c r="G757" s="3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58"/>
      <c r="B758" s="2"/>
      <c r="C758" s="2"/>
      <c r="D758" s="2"/>
      <c r="E758" s="2"/>
      <c r="F758" s="2"/>
      <c r="G758" s="3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58"/>
      <c r="B759" s="2"/>
      <c r="C759" s="2"/>
      <c r="D759" s="2"/>
      <c r="E759" s="2"/>
      <c r="F759" s="2"/>
      <c r="G759" s="3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58"/>
      <c r="B760" s="2"/>
      <c r="C760" s="2"/>
      <c r="D760" s="2"/>
      <c r="E760" s="2"/>
      <c r="F760" s="2"/>
      <c r="G760" s="3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58"/>
      <c r="B761" s="2"/>
      <c r="C761" s="2"/>
      <c r="D761" s="2"/>
      <c r="E761" s="2"/>
      <c r="F761" s="2"/>
      <c r="G761" s="3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58"/>
      <c r="B762" s="2"/>
      <c r="C762" s="2"/>
      <c r="D762" s="2"/>
      <c r="E762" s="2"/>
      <c r="F762" s="2"/>
      <c r="G762" s="3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58"/>
      <c r="B763" s="2"/>
      <c r="C763" s="2"/>
      <c r="D763" s="2"/>
      <c r="E763" s="2"/>
      <c r="F763" s="2"/>
      <c r="G763" s="3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58"/>
      <c r="B764" s="2"/>
      <c r="C764" s="2"/>
      <c r="D764" s="2"/>
      <c r="E764" s="2"/>
      <c r="F764" s="2"/>
      <c r="G764" s="3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58"/>
      <c r="B765" s="2"/>
      <c r="C765" s="2"/>
      <c r="D765" s="2"/>
      <c r="E765" s="2"/>
      <c r="F765" s="2"/>
      <c r="G765" s="3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58"/>
      <c r="B766" s="2"/>
      <c r="C766" s="2"/>
      <c r="D766" s="2"/>
      <c r="E766" s="2"/>
      <c r="F766" s="2"/>
      <c r="G766" s="3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58"/>
      <c r="B767" s="2"/>
      <c r="C767" s="2"/>
      <c r="D767" s="2"/>
      <c r="E767" s="2"/>
      <c r="F767" s="2"/>
      <c r="G767" s="3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58"/>
      <c r="B768" s="2"/>
      <c r="C768" s="2"/>
      <c r="D768" s="2"/>
      <c r="E768" s="2"/>
      <c r="F768" s="2"/>
      <c r="G768" s="3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58"/>
      <c r="B769" s="2"/>
      <c r="C769" s="2"/>
      <c r="D769" s="2"/>
      <c r="E769" s="2"/>
      <c r="F769" s="2"/>
      <c r="G769" s="3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58"/>
      <c r="B770" s="2"/>
      <c r="C770" s="2"/>
      <c r="D770" s="2"/>
      <c r="E770" s="2"/>
      <c r="F770" s="2"/>
      <c r="G770" s="3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58"/>
      <c r="B771" s="2"/>
      <c r="C771" s="2"/>
      <c r="D771" s="2"/>
      <c r="E771" s="2"/>
      <c r="F771" s="2"/>
      <c r="G771" s="3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58"/>
      <c r="B772" s="2"/>
      <c r="C772" s="2"/>
      <c r="D772" s="2"/>
      <c r="E772" s="2"/>
      <c r="F772" s="2"/>
      <c r="G772" s="3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58"/>
      <c r="B773" s="2"/>
      <c r="C773" s="2"/>
      <c r="D773" s="2"/>
      <c r="E773" s="2"/>
      <c r="F773" s="2"/>
      <c r="G773" s="3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58"/>
      <c r="B774" s="2"/>
      <c r="C774" s="2"/>
      <c r="D774" s="2"/>
      <c r="E774" s="2"/>
      <c r="F774" s="2"/>
      <c r="G774" s="3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58"/>
      <c r="B775" s="2"/>
      <c r="C775" s="2"/>
      <c r="D775" s="2"/>
      <c r="E775" s="2"/>
      <c r="F775" s="2"/>
      <c r="G775" s="3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58"/>
      <c r="B776" s="2"/>
      <c r="C776" s="2"/>
      <c r="D776" s="2"/>
      <c r="E776" s="2"/>
      <c r="F776" s="2"/>
      <c r="G776" s="3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58"/>
      <c r="B777" s="2"/>
      <c r="C777" s="2"/>
      <c r="D777" s="2"/>
      <c r="E777" s="2"/>
      <c r="F777" s="2"/>
      <c r="G777" s="3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58"/>
      <c r="B778" s="2"/>
      <c r="C778" s="2"/>
      <c r="D778" s="2"/>
      <c r="E778" s="2"/>
      <c r="F778" s="2"/>
      <c r="G778" s="3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58"/>
      <c r="B779" s="2"/>
      <c r="C779" s="2"/>
      <c r="D779" s="2"/>
      <c r="E779" s="2"/>
      <c r="F779" s="2"/>
      <c r="G779" s="3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58"/>
      <c r="B780" s="2"/>
      <c r="C780" s="2"/>
      <c r="D780" s="2"/>
      <c r="E780" s="2"/>
      <c r="F780" s="2"/>
      <c r="G780" s="3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58"/>
      <c r="B781" s="2"/>
      <c r="C781" s="2"/>
      <c r="D781" s="2"/>
      <c r="E781" s="2"/>
      <c r="F781" s="2"/>
      <c r="G781" s="3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58"/>
      <c r="B782" s="2"/>
      <c r="C782" s="2"/>
      <c r="D782" s="2"/>
      <c r="E782" s="2"/>
      <c r="F782" s="2"/>
      <c r="G782" s="3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58"/>
      <c r="B783" s="2"/>
      <c r="C783" s="2"/>
      <c r="D783" s="2"/>
      <c r="E783" s="2"/>
      <c r="F783" s="2"/>
      <c r="G783" s="3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58"/>
      <c r="B784" s="2"/>
      <c r="C784" s="2"/>
      <c r="D784" s="2"/>
      <c r="E784" s="2"/>
      <c r="F784" s="2"/>
      <c r="G784" s="3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58"/>
      <c r="B785" s="2"/>
      <c r="C785" s="2"/>
      <c r="D785" s="2"/>
      <c r="E785" s="2"/>
      <c r="F785" s="2"/>
      <c r="G785" s="3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58"/>
      <c r="B786" s="2"/>
      <c r="C786" s="2"/>
      <c r="D786" s="2"/>
      <c r="E786" s="2"/>
      <c r="F786" s="2"/>
      <c r="G786" s="3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58"/>
      <c r="B787" s="2"/>
      <c r="C787" s="2"/>
      <c r="D787" s="2"/>
      <c r="E787" s="2"/>
      <c r="F787" s="2"/>
      <c r="G787" s="3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58"/>
      <c r="B788" s="2"/>
      <c r="C788" s="2"/>
      <c r="D788" s="2"/>
      <c r="E788" s="2"/>
      <c r="F788" s="2"/>
      <c r="G788" s="3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58"/>
      <c r="B789" s="2"/>
      <c r="C789" s="2"/>
      <c r="D789" s="2"/>
      <c r="E789" s="2"/>
      <c r="F789" s="2"/>
      <c r="G789" s="3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58"/>
      <c r="B790" s="2"/>
      <c r="C790" s="2"/>
      <c r="D790" s="2"/>
      <c r="E790" s="2"/>
      <c r="F790" s="2"/>
      <c r="G790" s="3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58"/>
      <c r="B791" s="2"/>
      <c r="C791" s="2"/>
      <c r="D791" s="2"/>
      <c r="E791" s="2"/>
      <c r="F791" s="2"/>
      <c r="G791" s="3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58"/>
      <c r="B792" s="2"/>
      <c r="C792" s="2"/>
      <c r="D792" s="2"/>
      <c r="E792" s="2"/>
      <c r="F792" s="2"/>
      <c r="G792" s="3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58"/>
      <c r="B793" s="2"/>
      <c r="C793" s="2"/>
      <c r="D793" s="2"/>
      <c r="E793" s="2"/>
      <c r="F793" s="2"/>
      <c r="G793" s="3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58"/>
      <c r="B794" s="2"/>
      <c r="C794" s="2"/>
      <c r="D794" s="2"/>
      <c r="E794" s="2"/>
      <c r="F794" s="2"/>
      <c r="G794" s="3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58"/>
      <c r="B795" s="2"/>
      <c r="C795" s="2"/>
      <c r="D795" s="2"/>
      <c r="E795" s="2"/>
      <c r="F795" s="2"/>
      <c r="G795" s="3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58"/>
      <c r="B796" s="2"/>
      <c r="C796" s="2"/>
      <c r="D796" s="2"/>
      <c r="E796" s="2"/>
      <c r="F796" s="2"/>
      <c r="G796" s="3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58"/>
      <c r="B797" s="2"/>
      <c r="C797" s="2"/>
      <c r="D797" s="2"/>
      <c r="E797" s="2"/>
      <c r="F797" s="2"/>
      <c r="G797" s="3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58"/>
      <c r="B798" s="2"/>
      <c r="C798" s="2"/>
      <c r="D798" s="2"/>
      <c r="E798" s="2"/>
      <c r="F798" s="2"/>
      <c r="G798" s="3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58"/>
      <c r="B799" s="2"/>
      <c r="C799" s="2"/>
      <c r="D799" s="2"/>
      <c r="E799" s="2"/>
      <c r="F799" s="2"/>
      <c r="G799" s="3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58"/>
      <c r="B800" s="2"/>
      <c r="C800" s="2"/>
      <c r="D800" s="2"/>
      <c r="E800" s="2"/>
      <c r="F800" s="2"/>
      <c r="G800" s="3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58"/>
      <c r="B801" s="2"/>
      <c r="C801" s="2"/>
      <c r="D801" s="2"/>
      <c r="E801" s="2"/>
      <c r="F801" s="2"/>
      <c r="G801" s="3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58"/>
      <c r="B802" s="2"/>
      <c r="C802" s="2"/>
      <c r="D802" s="2"/>
      <c r="E802" s="2"/>
      <c r="F802" s="2"/>
      <c r="G802" s="3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58"/>
      <c r="B803" s="2"/>
      <c r="C803" s="2"/>
      <c r="D803" s="2"/>
      <c r="E803" s="2"/>
      <c r="F803" s="2"/>
      <c r="G803" s="3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58"/>
      <c r="B804" s="2"/>
      <c r="C804" s="2"/>
      <c r="D804" s="2"/>
      <c r="E804" s="2"/>
      <c r="F804" s="2"/>
      <c r="G804" s="3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58"/>
      <c r="B805" s="2"/>
      <c r="C805" s="2"/>
      <c r="D805" s="2"/>
      <c r="E805" s="2"/>
      <c r="F805" s="2"/>
      <c r="G805" s="3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58"/>
      <c r="B806" s="2"/>
      <c r="C806" s="2"/>
      <c r="D806" s="2"/>
      <c r="E806" s="2"/>
      <c r="F806" s="2"/>
      <c r="G806" s="3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58"/>
      <c r="B807" s="2"/>
      <c r="C807" s="2"/>
      <c r="D807" s="2"/>
      <c r="E807" s="2"/>
      <c r="F807" s="2"/>
      <c r="G807" s="3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58"/>
      <c r="B808" s="2"/>
      <c r="C808" s="2"/>
      <c r="D808" s="2"/>
      <c r="E808" s="2"/>
      <c r="F808" s="2"/>
      <c r="G808" s="3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58"/>
      <c r="B809" s="2"/>
      <c r="C809" s="2"/>
      <c r="D809" s="2"/>
      <c r="E809" s="2"/>
      <c r="F809" s="2"/>
      <c r="G809" s="3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58"/>
      <c r="B810" s="2"/>
      <c r="C810" s="2"/>
      <c r="D810" s="2"/>
      <c r="E810" s="2"/>
      <c r="F810" s="2"/>
      <c r="G810" s="3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58"/>
      <c r="B811" s="2"/>
      <c r="C811" s="2"/>
      <c r="D811" s="2"/>
      <c r="E811" s="2"/>
      <c r="F811" s="2"/>
      <c r="G811" s="3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58"/>
      <c r="B812" s="2"/>
      <c r="C812" s="2"/>
      <c r="D812" s="2"/>
      <c r="E812" s="2"/>
      <c r="F812" s="2"/>
      <c r="G812" s="3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58"/>
      <c r="B813" s="2"/>
      <c r="C813" s="2"/>
      <c r="D813" s="2"/>
      <c r="E813" s="2"/>
      <c r="F813" s="2"/>
      <c r="G813" s="3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58"/>
      <c r="B814" s="2"/>
      <c r="C814" s="2"/>
      <c r="D814" s="2"/>
      <c r="E814" s="2"/>
      <c r="F814" s="2"/>
      <c r="G814" s="3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58"/>
      <c r="B815" s="2"/>
      <c r="C815" s="2"/>
      <c r="D815" s="2"/>
      <c r="E815" s="2"/>
      <c r="F815" s="2"/>
      <c r="G815" s="3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58"/>
      <c r="B816" s="2"/>
      <c r="C816" s="2"/>
      <c r="D816" s="2"/>
      <c r="E816" s="2"/>
      <c r="F816" s="2"/>
      <c r="G816" s="3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58"/>
      <c r="B817" s="2"/>
      <c r="C817" s="2"/>
      <c r="D817" s="2"/>
      <c r="E817" s="2"/>
      <c r="F817" s="2"/>
      <c r="G817" s="3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58"/>
      <c r="B818" s="2"/>
      <c r="C818" s="2"/>
      <c r="D818" s="2"/>
      <c r="E818" s="2"/>
      <c r="F818" s="2"/>
      <c r="G818" s="3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58"/>
      <c r="B819" s="2"/>
      <c r="C819" s="2"/>
      <c r="D819" s="2"/>
      <c r="E819" s="2"/>
      <c r="F819" s="2"/>
      <c r="G819" s="3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58"/>
      <c r="B820" s="2"/>
      <c r="C820" s="2"/>
      <c r="D820" s="2"/>
      <c r="E820" s="2"/>
      <c r="F820" s="2"/>
      <c r="G820" s="3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58"/>
      <c r="B821" s="2"/>
      <c r="C821" s="2"/>
      <c r="D821" s="2"/>
      <c r="E821" s="2"/>
      <c r="F821" s="2"/>
      <c r="G821" s="3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58"/>
      <c r="B822" s="2"/>
      <c r="C822" s="2"/>
      <c r="D822" s="2"/>
      <c r="E822" s="2"/>
      <c r="F822" s="2"/>
      <c r="G822" s="3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58"/>
      <c r="B823" s="2"/>
      <c r="C823" s="2"/>
      <c r="D823" s="2"/>
      <c r="E823" s="2"/>
      <c r="F823" s="2"/>
      <c r="G823" s="3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58"/>
      <c r="B824" s="2"/>
      <c r="C824" s="2"/>
      <c r="D824" s="2"/>
      <c r="E824" s="2"/>
      <c r="F824" s="2"/>
      <c r="G824" s="3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58"/>
      <c r="B825" s="2"/>
      <c r="C825" s="2"/>
      <c r="D825" s="2"/>
      <c r="E825" s="2"/>
      <c r="F825" s="2"/>
      <c r="G825" s="3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58"/>
      <c r="B826" s="2"/>
      <c r="C826" s="2"/>
      <c r="D826" s="2"/>
      <c r="E826" s="2"/>
      <c r="F826" s="2"/>
      <c r="G826" s="3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58"/>
      <c r="B827" s="2"/>
      <c r="C827" s="2"/>
      <c r="D827" s="2"/>
      <c r="E827" s="2"/>
      <c r="F827" s="2"/>
      <c r="G827" s="3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58"/>
      <c r="B828" s="2"/>
      <c r="C828" s="2"/>
      <c r="D828" s="2"/>
      <c r="E828" s="2"/>
      <c r="F828" s="2"/>
      <c r="G828" s="3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58"/>
      <c r="B829" s="2"/>
      <c r="C829" s="2"/>
      <c r="D829" s="2"/>
      <c r="E829" s="2"/>
      <c r="F829" s="2"/>
      <c r="G829" s="3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58"/>
      <c r="B830" s="2"/>
      <c r="C830" s="2"/>
      <c r="D830" s="2"/>
      <c r="E830" s="2"/>
      <c r="F830" s="2"/>
      <c r="G830" s="3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58"/>
      <c r="B831" s="2"/>
      <c r="C831" s="2"/>
      <c r="D831" s="2"/>
      <c r="E831" s="2"/>
      <c r="F831" s="2"/>
      <c r="G831" s="3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58"/>
      <c r="B832" s="2"/>
      <c r="C832" s="2"/>
      <c r="D832" s="2"/>
      <c r="E832" s="2"/>
      <c r="F832" s="2"/>
      <c r="G832" s="3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58"/>
      <c r="B833" s="2"/>
      <c r="C833" s="2"/>
      <c r="D833" s="2"/>
      <c r="E833" s="2"/>
      <c r="F833" s="2"/>
      <c r="G833" s="3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58"/>
      <c r="B834" s="2"/>
      <c r="C834" s="2"/>
      <c r="D834" s="2"/>
      <c r="E834" s="2"/>
      <c r="F834" s="2"/>
      <c r="G834" s="3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58"/>
      <c r="B835" s="2"/>
      <c r="C835" s="2"/>
      <c r="D835" s="2"/>
      <c r="E835" s="2"/>
      <c r="F835" s="2"/>
      <c r="G835" s="3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58"/>
      <c r="B836" s="2"/>
      <c r="C836" s="2"/>
      <c r="D836" s="2"/>
      <c r="E836" s="2"/>
      <c r="F836" s="2"/>
      <c r="G836" s="3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58"/>
      <c r="B837" s="2"/>
      <c r="C837" s="2"/>
      <c r="D837" s="2"/>
      <c r="E837" s="2"/>
      <c r="F837" s="2"/>
      <c r="G837" s="3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58"/>
      <c r="B838" s="2"/>
      <c r="C838" s="2"/>
      <c r="D838" s="2"/>
      <c r="E838" s="2"/>
      <c r="F838" s="2"/>
      <c r="G838" s="3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58"/>
      <c r="B839" s="2"/>
      <c r="C839" s="2"/>
      <c r="D839" s="2"/>
      <c r="E839" s="2"/>
      <c r="F839" s="2"/>
      <c r="G839" s="3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58"/>
      <c r="B840" s="2"/>
      <c r="C840" s="2"/>
      <c r="D840" s="2"/>
      <c r="E840" s="2"/>
      <c r="F840" s="2"/>
      <c r="G840" s="3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58"/>
      <c r="B841" s="2"/>
      <c r="C841" s="2"/>
      <c r="D841" s="2"/>
      <c r="E841" s="2"/>
      <c r="F841" s="2"/>
      <c r="G841" s="3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58"/>
      <c r="B842" s="2"/>
      <c r="C842" s="2"/>
      <c r="D842" s="2"/>
      <c r="E842" s="2"/>
      <c r="F842" s="2"/>
      <c r="G842" s="3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58"/>
      <c r="B843" s="2"/>
      <c r="C843" s="2"/>
      <c r="D843" s="2"/>
      <c r="E843" s="2"/>
      <c r="F843" s="2"/>
      <c r="G843" s="3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58"/>
      <c r="B844" s="2"/>
      <c r="C844" s="2"/>
      <c r="D844" s="2"/>
      <c r="E844" s="2"/>
      <c r="F844" s="2"/>
      <c r="G844" s="3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58"/>
      <c r="B845" s="2"/>
      <c r="C845" s="2"/>
      <c r="D845" s="2"/>
      <c r="E845" s="2"/>
      <c r="F845" s="2"/>
      <c r="G845" s="3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58"/>
      <c r="B846" s="2"/>
      <c r="C846" s="2"/>
      <c r="D846" s="2"/>
      <c r="E846" s="2"/>
      <c r="F846" s="2"/>
      <c r="G846" s="3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58"/>
      <c r="B847" s="2"/>
      <c r="C847" s="2"/>
      <c r="D847" s="2"/>
      <c r="E847" s="2"/>
      <c r="F847" s="2"/>
      <c r="G847" s="3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58"/>
      <c r="B848" s="2"/>
      <c r="C848" s="2"/>
      <c r="D848" s="2"/>
      <c r="E848" s="2"/>
      <c r="F848" s="2"/>
      <c r="G848" s="3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58"/>
      <c r="B849" s="2"/>
      <c r="C849" s="2"/>
      <c r="D849" s="2"/>
      <c r="E849" s="2"/>
      <c r="F849" s="2"/>
      <c r="G849" s="3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58"/>
      <c r="B850" s="2"/>
      <c r="C850" s="2"/>
      <c r="D850" s="2"/>
      <c r="E850" s="2"/>
      <c r="F850" s="2"/>
      <c r="G850" s="3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58"/>
      <c r="B851" s="2"/>
      <c r="C851" s="2"/>
      <c r="D851" s="2"/>
      <c r="E851" s="2"/>
      <c r="F851" s="2"/>
      <c r="G851" s="3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58"/>
      <c r="B852" s="2"/>
      <c r="C852" s="2"/>
      <c r="D852" s="2"/>
      <c r="E852" s="2"/>
      <c r="F852" s="2"/>
      <c r="G852" s="3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58"/>
      <c r="B853" s="2"/>
      <c r="C853" s="2"/>
      <c r="D853" s="2"/>
      <c r="E853" s="2"/>
      <c r="F853" s="2"/>
      <c r="G853" s="3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58"/>
      <c r="B854" s="2"/>
      <c r="C854" s="2"/>
      <c r="D854" s="2"/>
      <c r="E854" s="2"/>
      <c r="F854" s="2"/>
      <c r="G854" s="3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58"/>
      <c r="B855" s="2"/>
      <c r="C855" s="2"/>
      <c r="D855" s="2"/>
      <c r="E855" s="2"/>
      <c r="F855" s="2"/>
      <c r="G855" s="3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58"/>
      <c r="B856" s="2"/>
      <c r="C856" s="2"/>
      <c r="D856" s="2"/>
      <c r="E856" s="2"/>
      <c r="F856" s="2"/>
      <c r="G856" s="3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58"/>
      <c r="B857" s="2"/>
      <c r="C857" s="2"/>
      <c r="D857" s="2"/>
      <c r="E857" s="2"/>
      <c r="F857" s="2"/>
      <c r="G857" s="3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58"/>
      <c r="B858" s="2"/>
      <c r="C858" s="2"/>
      <c r="D858" s="2"/>
      <c r="E858" s="2"/>
      <c r="F858" s="2"/>
      <c r="G858" s="3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58"/>
      <c r="B859" s="2"/>
      <c r="C859" s="2"/>
      <c r="D859" s="2"/>
      <c r="E859" s="2"/>
      <c r="F859" s="2"/>
      <c r="G859" s="3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58"/>
      <c r="B860" s="2"/>
      <c r="C860" s="2"/>
      <c r="D860" s="2"/>
      <c r="E860" s="2"/>
      <c r="F860" s="2"/>
      <c r="G860" s="3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58"/>
      <c r="B861" s="2"/>
      <c r="C861" s="2"/>
      <c r="D861" s="2"/>
      <c r="E861" s="2"/>
      <c r="F861" s="2"/>
      <c r="G861" s="3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58"/>
      <c r="B862" s="2"/>
      <c r="C862" s="2"/>
      <c r="D862" s="2"/>
      <c r="E862" s="2"/>
      <c r="F862" s="2"/>
      <c r="G862" s="3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58"/>
      <c r="B863" s="2"/>
      <c r="C863" s="2"/>
      <c r="D863" s="2"/>
      <c r="E863" s="2"/>
      <c r="F863" s="2"/>
      <c r="G863" s="3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58"/>
      <c r="B864" s="2"/>
      <c r="C864" s="2"/>
      <c r="D864" s="2"/>
      <c r="E864" s="2"/>
      <c r="F864" s="2"/>
      <c r="G864" s="3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58"/>
      <c r="B865" s="2"/>
      <c r="C865" s="2"/>
      <c r="D865" s="2"/>
      <c r="E865" s="2"/>
      <c r="F865" s="2"/>
      <c r="G865" s="3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58"/>
      <c r="B866" s="2"/>
      <c r="C866" s="2"/>
      <c r="D866" s="2"/>
      <c r="E866" s="2"/>
      <c r="F866" s="2"/>
      <c r="G866" s="3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58"/>
      <c r="B867" s="2"/>
      <c r="C867" s="2"/>
      <c r="D867" s="2"/>
      <c r="E867" s="2"/>
      <c r="F867" s="2"/>
      <c r="G867" s="3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58"/>
      <c r="B868" s="2"/>
      <c r="C868" s="2"/>
      <c r="D868" s="2"/>
      <c r="E868" s="2"/>
      <c r="F868" s="2"/>
      <c r="G868" s="3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58"/>
      <c r="B869" s="2"/>
      <c r="C869" s="2"/>
      <c r="D869" s="2"/>
      <c r="E869" s="2"/>
      <c r="F869" s="2"/>
      <c r="G869" s="3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58"/>
      <c r="B870" s="2"/>
      <c r="C870" s="2"/>
      <c r="D870" s="2"/>
      <c r="E870" s="2"/>
      <c r="F870" s="2"/>
      <c r="G870" s="3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58"/>
      <c r="B871" s="2"/>
      <c r="C871" s="2"/>
      <c r="D871" s="2"/>
      <c r="E871" s="2"/>
      <c r="F871" s="2"/>
      <c r="G871" s="3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58"/>
      <c r="B872" s="2"/>
      <c r="C872" s="2"/>
      <c r="D872" s="2"/>
      <c r="E872" s="2"/>
      <c r="F872" s="2"/>
      <c r="G872" s="3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58"/>
      <c r="B873" s="2"/>
      <c r="C873" s="2"/>
      <c r="D873" s="2"/>
      <c r="E873" s="2"/>
      <c r="F873" s="2"/>
      <c r="G873" s="3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58"/>
      <c r="B874" s="2"/>
      <c r="C874" s="2"/>
      <c r="D874" s="2"/>
      <c r="E874" s="2"/>
      <c r="F874" s="2"/>
      <c r="G874" s="3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58"/>
      <c r="B875" s="2"/>
      <c r="C875" s="2"/>
      <c r="D875" s="2"/>
      <c r="E875" s="2"/>
      <c r="F875" s="2"/>
      <c r="G875" s="3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58"/>
      <c r="B876" s="2"/>
      <c r="C876" s="2"/>
      <c r="D876" s="2"/>
      <c r="E876" s="2"/>
      <c r="F876" s="2"/>
      <c r="G876" s="3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58"/>
      <c r="B877" s="2"/>
      <c r="C877" s="2"/>
      <c r="D877" s="2"/>
      <c r="E877" s="2"/>
      <c r="F877" s="2"/>
      <c r="G877" s="3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58"/>
      <c r="B878" s="2"/>
      <c r="C878" s="2"/>
      <c r="D878" s="2"/>
      <c r="E878" s="2"/>
      <c r="F878" s="2"/>
      <c r="G878" s="3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58"/>
      <c r="B879" s="2"/>
      <c r="C879" s="2"/>
      <c r="D879" s="2"/>
      <c r="E879" s="2"/>
      <c r="F879" s="2"/>
      <c r="G879" s="3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58"/>
      <c r="B880" s="2"/>
      <c r="C880" s="2"/>
      <c r="D880" s="2"/>
      <c r="E880" s="2"/>
      <c r="F880" s="2"/>
      <c r="G880" s="3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58"/>
      <c r="B881" s="2"/>
      <c r="C881" s="2"/>
      <c r="D881" s="2"/>
      <c r="E881" s="2"/>
      <c r="F881" s="2"/>
      <c r="G881" s="3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58"/>
      <c r="B882" s="2"/>
      <c r="C882" s="2"/>
      <c r="D882" s="2"/>
      <c r="E882" s="2"/>
      <c r="F882" s="2"/>
      <c r="G882" s="3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58"/>
      <c r="B883" s="2"/>
      <c r="C883" s="2"/>
      <c r="D883" s="2"/>
      <c r="E883" s="2"/>
      <c r="F883" s="2"/>
      <c r="G883" s="3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58"/>
      <c r="B884" s="2"/>
      <c r="C884" s="2"/>
      <c r="D884" s="2"/>
      <c r="E884" s="2"/>
      <c r="F884" s="2"/>
      <c r="G884" s="3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58"/>
      <c r="B885" s="2"/>
      <c r="C885" s="2"/>
      <c r="D885" s="2"/>
      <c r="E885" s="2"/>
      <c r="F885" s="2"/>
      <c r="G885" s="3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58"/>
      <c r="B886" s="2"/>
      <c r="C886" s="2"/>
      <c r="D886" s="2"/>
      <c r="E886" s="2"/>
      <c r="F886" s="2"/>
      <c r="G886" s="3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58"/>
      <c r="B887" s="2"/>
      <c r="C887" s="2"/>
      <c r="D887" s="2"/>
      <c r="E887" s="2"/>
      <c r="F887" s="2"/>
      <c r="G887" s="3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58"/>
      <c r="B888" s="2"/>
      <c r="C888" s="2"/>
      <c r="D888" s="2"/>
      <c r="E888" s="2"/>
      <c r="F888" s="2"/>
      <c r="G888" s="3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58"/>
      <c r="B889" s="2"/>
      <c r="C889" s="2"/>
      <c r="D889" s="2"/>
      <c r="E889" s="2"/>
      <c r="F889" s="2"/>
      <c r="G889" s="3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58"/>
      <c r="B890" s="2"/>
      <c r="C890" s="2"/>
      <c r="D890" s="2"/>
      <c r="E890" s="2"/>
      <c r="F890" s="2"/>
      <c r="G890" s="3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58"/>
      <c r="B891" s="2"/>
      <c r="C891" s="2"/>
      <c r="D891" s="2"/>
      <c r="E891" s="2"/>
      <c r="F891" s="2"/>
      <c r="G891" s="3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58"/>
      <c r="B892" s="2"/>
      <c r="C892" s="2"/>
      <c r="D892" s="2"/>
      <c r="E892" s="2"/>
      <c r="F892" s="2"/>
      <c r="G892" s="3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58"/>
      <c r="B893" s="2"/>
      <c r="C893" s="2"/>
      <c r="D893" s="2"/>
      <c r="E893" s="2"/>
      <c r="F893" s="2"/>
      <c r="G893" s="3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58"/>
      <c r="B894" s="2"/>
      <c r="C894" s="2"/>
      <c r="D894" s="2"/>
      <c r="E894" s="2"/>
      <c r="F894" s="2"/>
      <c r="G894" s="3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58"/>
      <c r="B895" s="2"/>
      <c r="C895" s="2"/>
      <c r="D895" s="2"/>
      <c r="E895" s="2"/>
      <c r="F895" s="2"/>
      <c r="G895" s="3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58"/>
      <c r="B896" s="2"/>
      <c r="C896" s="2"/>
      <c r="D896" s="2"/>
      <c r="E896" s="2"/>
      <c r="F896" s="2"/>
      <c r="G896" s="3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58"/>
      <c r="B897" s="2"/>
      <c r="C897" s="2"/>
      <c r="D897" s="2"/>
      <c r="E897" s="2"/>
      <c r="F897" s="2"/>
      <c r="G897" s="3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58"/>
      <c r="B898" s="2"/>
      <c r="C898" s="2"/>
      <c r="D898" s="2"/>
      <c r="E898" s="2"/>
      <c r="F898" s="2"/>
      <c r="G898" s="3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58"/>
      <c r="B899" s="2"/>
      <c r="C899" s="2"/>
      <c r="D899" s="2"/>
      <c r="E899" s="2"/>
      <c r="F899" s="2"/>
      <c r="G899" s="3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58"/>
      <c r="B900" s="2"/>
      <c r="C900" s="2"/>
      <c r="D900" s="2"/>
      <c r="E900" s="2"/>
      <c r="F900" s="2"/>
      <c r="G900" s="3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58"/>
      <c r="B901" s="2"/>
      <c r="C901" s="2"/>
      <c r="D901" s="2"/>
      <c r="E901" s="2"/>
      <c r="F901" s="2"/>
      <c r="G901" s="3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58"/>
      <c r="B902" s="2"/>
      <c r="C902" s="2"/>
      <c r="D902" s="2"/>
      <c r="E902" s="2"/>
      <c r="F902" s="2"/>
      <c r="G902" s="3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58"/>
      <c r="B903" s="2"/>
      <c r="C903" s="2"/>
      <c r="D903" s="2"/>
      <c r="E903" s="2"/>
      <c r="F903" s="2"/>
      <c r="G903" s="3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58"/>
      <c r="B904" s="2"/>
      <c r="C904" s="2"/>
      <c r="D904" s="2"/>
      <c r="E904" s="2"/>
      <c r="F904" s="2"/>
      <c r="G904" s="3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58"/>
      <c r="B905" s="2"/>
      <c r="C905" s="2"/>
      <c r="D905" s="2"/>
      <c r="E905" s="2"/>
      <c r="F905" s="2"/>
      <c r="G905" s="3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58"/>
      <c r="B906" s="2"/>
      <c r="C906" s="2"/>
      <c r="D906" s="2"/>
      <c r="E906" s="2"/>
      <c r="F906" s="2"/>
      <c r="G906" s="3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58"/>
      <c r="B907" s="2"/>
      <c r="C907" s="2"/>
      <c r="D907" s="2"/>
      <c r="E907" s="2"/>
      <c r="F907" s="2"/>
      <c r="G907" s="3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58"/>
      <c r="B908" s="2"/>
      <c r="C908" s="2"/>
      <c r="D908" s="2"/>
      <c r="E908" s="2"/>
      <c r="F908" s="2"/>
      <c r="G908" s="3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58"/>
      <c r="B909" s="2"/>
      <c r="C909" s="2"/>
      <c r="D909" s="2"/>
      <c r="E909" s="2"/>
      <c r="F909" s="2"/>
      <c r="G909" s="3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58"/>
      <c r="B910" s="2"/>
      <c r="C910" s="2"/>
      <c r="D910" s="2"/>
      <c r="E910" s="2"/>
      <c r="F910" s="2"/>
      <c r="G910" s="3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58"/>
      <c r="B911" s="2"/>
      <c r="C911" s="2"/>
      <c r="D911" s="2"/>
      <c r="E911" s="2"/>
      <c r="F911" s="2"/>
      <c r="G911" s="3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58"/>
      <c r="B912" s="2"/>
      <c r="C912" s="2"/>
      <c r="D912" s="2"/>
      <c r="E912" s="2"/>
      <c r="F912" s="2"/>
      <c r="G912" s="3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58"/>
      <c r="B913" s="2"/>
      <c r="C913" s="2"/>
      <c r="D913" s="2"/>
      <c r="E913" s="2"/>
      <c r="F913" s="2"/>
      <c r="G913" s="3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58"/>
      <c r="B914" s="2"/>
      <c r="C914" s="2"/>
      <c r="D914" s="2"/>
      <c r="E914" s="2"/>
      <c r="F914" s="2"/>
      <c r="G914" s="3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58"/>
      <c r="B915" s="2"/>
      <c r="C915" s="2"/>
      <c r="D915" s="2"/>
      <c r="E915" s="2"/>
      <c r="F915" s="2"/>
      <c r="G915" s="3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58"/>
      <c r="B916" s="2"/>
      <c r="C916" s="2"/>
      <c r="D916" s="2"/>
      <c r="E916" s="2"/>
      <c r="F916" s="2"/>
      <c r="G916" s="3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58"/>
      <c r="B917" s="2"/>
      <c r="C917" s="2"/>
      <c r="D917" s="2"/>
      <c r="E917" s="2"/>
      <c r="F917" s="2"/>
      <c r="G917" s="3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58"/>
      <c r="B918" s="2"/>
      <c r="C918" s="2"/>
      <c r="D918" s="2"/>
      <c r="E918" s="2"/>
      <c r="F918" s="2"/>
      <c r="G918" s="3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58"/>
      <c r="B919" s="2"/>
      <c r="C919" s="2"/>
      <c r="D919" s="2"/>
      <c r="E919" s="2"/>
      <c r="F919" s="2"/>
      <c r="G919" s="3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58"/>
      <c r="B920" s="2"/>
      <c r="C920" s="2"/>
      <c r="D920" s="2"/>
      <c r="E920" s="2"/>
      <c r="F920" s="2"/>
      <c r="G920" s="3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58"/>
      <c r="B921" s="2"/>
      <c r="C921" s="2"/>
      <c r="D921" s="2"/>
      <c r="E921" s="2"/>
      <c r="F921" s="2"/>
      <c r="G921" s="3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58"/>
      <c r="B922" s="2"/>
      <c r="C922" s="2"/>
      <c r="D922" s="2"/>
      <c r="E922" s="2"/>
      <c r="F922" s="2"/>
      <c r="G922" s="3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58"/>
      <c r="B923" s="2"/>
      <c r="C923" s="2"/>
      <c r="D923" s="2"/>
      <c r="E923" s="2"/>
      <c r="F923" s="2"/>
      <c r="G923" s="3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58"/>
      <c r="B924" s="2"/>
      <c r="C924" s="2"/>
      <c r="D924" s="2"/>
      <c r="E924" s="2"/>
      <c r="F924" s="2"/>
      <c r="G924" s="3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58"/>
      <c r="B925" s="2"/>
      <c r="C925" s="2"/>
      <c r="D925" s="2"/>
      <c r="E925" s="2"/>
      <c r="F925" s="2"/>
      <c r="G925" s="3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58"/>
      <c r="B926" s="2"/>
      <c r="C926" s="2"/>
      <c r="D926" s="2"/>
      <c r="E926" s="2"/>
      <c r="F926" s="2"/>
      <c r="G926" s="3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58"/>
      <c r="B927" s="2"/>
      <c r="C927" s="2"/>
      <c r="D927" s="2"/>
      <c r="E927" s="2"/>
      <c r="F927" s="2"/>
      <c r="G927" s="3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58"/>
      <c r="B928" s="2"/>
      <c r="C928" s="2"/>
      <c r="D928" s="2"/>
      <c r="E928" s="2"/>
      <c r="F928" s="2"/>
      <c r="G928" s="3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58"/>
      <c r="B929" s="2"/>
      <c r="C929" s="2"/>
      <c r="D929" s="2"/>
      <c r="E929" s="2"/>
      <c r="F929" s="2"/>
      <c r="G929" s="3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58"/>
      <c r="B930" s="2"/>
      <c r="C930" s="2"/>
      <c r="D930" s="2"/>
      <c r="E930" s="2"/>
      <c r="F930" s="2"/>
      <c r="G930" s="3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58"/>
      <c r="B931" s="2"/>
      <c r="C931" s="2"/>
      <c r="D931" s="2"/>
      <c r="E931" s="2"/>
      <c r="F931" s="2"/>
      <c r="G931" s="3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58"/>
      <c r="B932" s="2"/>
      <c r="C932" s="2"/>
      <c r="D932" s="2"/>
      <c r="E932" s="2"/>
      <c r="F932" s="2"/>
      <c r="G932" s="3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58"/>
      <c r="B933" s="2"/>
      <c r="C933" s="2"/>
      <c r="D933" s="2"/>
      <c r="E933" s="2"/>
      <c r="F933" s="2"/>
      <c r="G933" s="3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58"/>
      <c r="B934" s="2"/>
      <c r="C934" s="2"/>
      <c r="D934" s="2"/>
      <c r="E934" s="2"/>
      <c r="F934" s="2"/>
      <c r="G934" s="3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58"/>
      <c r="B935" s="2"/>
      <c r="C935" s="2"/>
      <c r="D935" s="2"/>
      <c r="E935" s="2"/>
      <c r="F935" s="2"/>
      <c r="G935" s="3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58"/>
      <c r="B936" s="2"/>
      <c r="C936" s="2"/>
      <c r="D936" s="2"/>
      <c r="E936" s="2"/>
      <c r="F936" s="2"/>
      <c r="G936" s="3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58"/>
      <c r="B937" s="2"/>
      <c r="C937" s="2"/>
      <c r="D937" s="2"/>
      <c r="E937" s="2"/>
      <c r="F937" s="2"/>
      <c r="G937" s="3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58"/>
      <c r="B938" s="2"/>
      <c r="C938" s="2"/>
      <c r="D938" s="2"/>
      <c r="E938" s="2"/>
      <c r="F938" s="2"/>
      <c r="G938" s="3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58"/>
      <c r="B939" s="2"/>
      <c r="C939" s="2"/>
      <c r="D939" s="2"/>
      <c r="E939" s="2"/>
      <c r="F939" s="2"/>
      <c r="G939" s="3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58"/>
      <c r="B940" s="2"/>
      <c r="C940" s="2"/>
      <c r="D940" s="2"/>
      <c r="E940" s="2"/>
      <c r="F940" s="2"/>
      <c r="G940" s="3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58"/>
      <c r="B941" s="2"/>
      <c r="C941" s="2"/>
      <c r="D941" s="2"/>
      <c r="E941" s="2"/>
      <c r="F941" s="2"/>
      <c r="G941" s="3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58"/>
      <c r="B942" s="2"/>
      <c r="C942" s="2"/>
      <c r="D942" s="2"/>
      <c r="E942" s="2"/>
      <c r="F942" s="2"/>
      <c r="G942" s="3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58"/>
      <c r="B943" s="2"/>
      <c r="C943" s="2"/>
      <c r="D943" s="2"/>
      <c r="E943" s="2"/>
      <c r="F943" s="2"/>
      <c r="G943" s="3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58"/>
      <c r="B944" s="2"/>
      <c r="C944" s="2"/>
      <c r="D944" s="2"/>
      <c r="E944" s="2"/>
      <c r="F944" s="2"/>
      <c r="G944" s="3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58"/>
      <c r="B945" s="2"/>
      <c r="C945" s="2"/>
      <c r="D945" s="2"/>
      <c r="E945" s="2"/>
      <c r="F945" s="2"/>
      <c r="G945" s="3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58"/>
      <c r="B946" s="2"/>
      <c r="C946" s="2"/>
      <c r="D946" s="2"/>
      <c r="E946" s="2"/>
      <c r="F946" s="2"/>
      <c r="G946" s="3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58"/>
      <c r="B947" s="2"/>
      <c r="C947" s="2"/>
      <c r="D947" s="2"/>
      <c r="E947" s="2"/>
      <c r="F947" s="2"/>
      <c r="G947" s="3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58"/>
      <c r="B948" s="2"/>
      <c r="C948" s="2"/>
      <c r="D948" s="2"/>
      <c r="E948" s="2"/>
      <c r="F948" s="2"/>
      <c r="G948" s="3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58"/>
      <c r="B949" s="2"/>
      <c r="C949" s="2"/>
      <c r="D949" s="2"/>
      <c r="E949" s="2"/>
      <c r="F949" s="2"/>
      <c r="G949" s="3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58"/>
      <c r="B950" s="2"/>
      <c r="C950" s="2"/>
      <c r="D950" s="2"/>
      <c r="E950" s="2"/>
      <c r="F950" s="2"/>
      <c r="G950" s="3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58"/>
      <c r="B951" s="2"/>
      <c r="C951" s="2"/>
      <c r="D951" s="2"/>
      <c r="E951" s="2"/>
      <c r="F951" s="2"/>
      <c r="G951" s="3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58"/>
      <c r="B952" s="2"/>
      <c r="C952" s="2"/>
      <c r="D952" s="2"/>
      <c r="E952" s="2"/>
      <c r="F952" s="2"/>
      <c r="G952" s="3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58"/>
      <c r="B953" s="2"/>
      <c r="C953" s="2"/>
      <c r="D953" s="2"/>
      <c r="E953" s="2"/>
      <c r="F953" s="2"/>
      <c r="G953" s="3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58"/>
      <c r="B954" s="2"/>
      <c r="C954" s="2"/>
      <c r="D954" s="2"/>
      <c r="E954" s="2"/>
      <c r="F954" s="2"/>
      <c r="G954" s="3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58"/>
      <c r="B955" s="2"/>
      <c r="C955" s="2"/>
      <c r="D955" s="2"/>
      <c r="E955" s="2"/>
      <c r="F955" s="2"/>
      <c r="G955" s="3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58"/>
      <c r="B956" s="2"/>
      <c r="C956" s="2"/>
      <c r="D956" s="2"/>
      <c r="E956" s="2"/>
      <c r="F956" s="2"/>
      <c r="G956" s="3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58"/>
      <c r="B957" s="2"/>
      <c r="C957" s="2"/>
      <c r="D957" s="2"/>
      <c r="E957" s="2"/>
      <c r="F957" s="2"/>
      <c r="G957" s="3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58"/>
      <c r="B958" s="2"/>
      <c r="C958" s="2"/>
      <c r="D958" s="2"/>
      <c r="E958" s="2"/>
      <c r="F958" s="2"/>
      <c r="G958" s="3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58"/>
      <c r="B959" s="2"/>
      <c r="C959" s="2"/>
      <c r="D959" s="2"/>
      <c r="E959" s="2"/>
      <c r="F959" s="2"/>
      <c r="G959" s="3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58"/>
      <c r="B960" s="2"/>
      <c r="C960" s="2"/>
      <c r="D960" s="2"/>
      <c r="E960" s="2"/>
      <c r="F960" s="2"/>
      <c r="G960" s="3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58"/>
      <c r="B961" s="2"/>
      <c r="C961" s="2"/>
      <c r="D961" s="2"/>
      <c r="E961" s="2"/>
      <c r="F961" s="2"/>
      <c r="G961" s="3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58"/>
      <c r="B962" s="2"/>
      <c r="C962" s="2"/>
      <c r="D962" s="2"/>
      <c r="E962" s="2"/>
      <c r="F962" s="2"/>
      <c r="G962" s="3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58"/>
      <c r="B963" s="2"/>
      <c r="C963" s="2"/>
      <c r="D963" s="2"/>
      <c r="E963" s="2"/>
      <c r="F963" s="2"/>
      <c r="G963" s="3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58"/>
      <c r="B964" s="2"/>
      <c r="C964" s="2"/>
      <c r="D964" s="2"/>
      <c r="E964" s="2"/>
      <c r="F964" s="2"/>
      <c r="G964" s="3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58"/>
      <c r="B965" s="2"/>
      <c r="C965" s="2"/>
      <c r="D965" s="2"/>
      <c r="E965" s="2"/>
      <c r="F965" s="2"/>
      <c r="G965" s="3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58"/>
      <c r="B966" s="2"/>
      <c r="C966" s="2"/>
      <c r="D966" s="2"/>
      <c r="E966" s="2"/>
      <c r="F966" s="2"/>
      <c r="G966" s="3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58"/>
      <c r="B967" s="2"/>
      <c r="C967" s="2"/>
      <c r="D967" s="2"/>
      <c r="E967" s="2"/>
      <c r="F967" s="2"/>
      <c r="G967" s="3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58"/>
      <c r="B968" s="2"/>
      <c r="C968" s="2"/>
      <c r="D968" s="2"/>
      <c r="E968" s="2"/>
      <c r="F968" s="2"/>
      <c r="G968" s="3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58"/>
      <c r="B969" s="2"/>
      <c r="C969" s="2"/>
      <c r="D969" s="2"/>
      <c r="E969" s="2"/>
      <c r="F969" s="2"/>
      <c r="G969" s="3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58"/>
      <c r="B970" s="2"/>
      <c r="C970" s="2"/>
      <c r="D970" s="2"/>
      <c r="E970" s="2"/>
      <c r="F970" s="2"/>
      <c r="G970" s="3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58"/>
      <c r="B971" s="2"/>
      <c r="C971" s="2"/>
      <c r="D971" s="2"/>
      <c r="E971" s="2"/>
      <c r="F971" s="2"/>
      <c r="G971" s="3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58"/>
      <c r="B972" s="2"/>
      <c r="C972" s="2"/>
      <c r="D972" s="2"/>
      <c r="E972" s="2"/>
      <c r="F972" s="2"/>
      <c r="G972" s="3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58"/>
      <c r="B973" s="2"/>
      <c r="C973" s="2"/>
      <c r="D973" s="2"/>
      <c r="E973" s="2"/>
      <c r="F973" s="2"/>
      <c r="G973" s="3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58"/>
      <c r="B974" s="2"/>
      <c r="C974" s="2"/>
      <c r="D974" s="2"/>
      <c r="E974" s="2"/>
      <c r="F974" s="2"/>
      <c r="G974" s="3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58"/>
      <c r="B975" s="2"/>
      <c r="C975" s="2"/>
      <c r="D975" s="2"/>
      <c r="E975" s="2"/>
      <c r="F975" s="2"/>
      <c r="G975" s="3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58"/>
      <c r="B976" s="2"/>
      <c r="C976" s="2"/>
      <c r="D976" s="2"/>
      <c r="E976" s="2"/>
      <c r="F976" s="2"/>
      <c r="G976" s="3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58"/>
      <c r="B977" s="2"/>
      <c r="C977" s="2"/>
      <c r="D977" s="2"/>
      <c r="E977" s="2"/>
      <c r="F977" s="2"/>
      <c r="G977" s="3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58"/>
      <c r="B978" s="2"/>
      <c r="C978" s="2"/>
      <c r="D978" s="2"/>
      <c r="E978" s="2"/>
      <c r="F978" s="2"/>
      <c r="G978" s="3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58"/>
      <c r="B979" s="2"/>
      <c r="C979" s="2"/>
      <c r="D979" s="2"/>
      <c r="E979" s="2"/>
      <c r="F979" s="2"/>
      <c r="G979" s="3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58"/>
      <c r="B980" s="2"/>
      <c r="C980" s="2"/>
      <c r="D980" s="2"/>
      <c r="E980" s="2"/>
      <c r="F980" s="2"/>
      <c r="G980" s="3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58"/>
      <c r="B981" s="2"/>
      <c r="C981" s="2"/>
      <c r="D981" s="2"/>
      <c r="E981" s="2"/>
      <c r="F981" s="2"/>
      <c r="G981" s="3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58"/>
      <c r="B982" s="2"/>
      <c r="C982" s="2"/>
      <c r="D982" s="2"/>
      <c r="E982" s="2"/>
      <c r="F982" s="2"/>
      <c r="G982" s="3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58"/>
      <c r="B983" s="2"/>
      <c r="C983" s="2"/>
      <c r="D983" s="2"/>
      <c r="E983" s="2"/>
      <c r="F983" s="2"/>
      <c r="G983" s="3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58"/>
      <c r="B984" s="2"/>
      <c r="C984" s="2"/>
      <c r="D984" s="2"/>
      <c r="E984" s="2"/>
      <c r="F984" s="2"/>
      <c r="G984" s="3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58"/>
      <c r="B985" s="2"/>
      <c r="C985" s="2"/>
      <c r="D985" s="2"/>
      <c r="E985" s="2"/>
      <c r="F985" s="2"/>
      <c r="G985" s="3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58"/>
      <c r="B986" s="2"/>
      <c r="C986" s="2"/>
      <c r="D986" s="2"/>
      <c r="E986" s="2"/>
      <c r="F986" s="2"/>
      <c r="G986" s="3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58"/>
      <c r="B987" s="2"/>
      <c r="C987" s="2"/>
      <c r="D987" s="2"/>
      <c r="E987" s="2"/>
      <c r="F987" s="2"/>
      <c r="G987" s="3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58"/>
      <c r="B988" s="2"/>
      <c r="C988" s="2"/>
      <c r="D988" s="2"/>
      <c r="E988" s="2"/>
      <c r="F988" s="2"/>
      <c r="G988" s="3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58"/>
      <c r="B989" s="2"/>
      <c r="C989" s="2"/>
      <c r="D989" s="2"/>
      <c r="E989" s="2"/>
      <c r="F989" s="2"/>
      <c r="G989" s="3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58"/>
      <c r="B990" s="2"/>
      <c r="C990" s="2"/>
      <c r="D990" s="2"/>
      <c r="E990" s="2"/>
      <c r="F990" s="2"/>
      <c r="G990" s="3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58"/>
      <c r="B991" s="2"/>
      <c r="C991" s="2"/>
      <c r="D991" s="2"/>
      <c r="E991" s="2"/>
      <c r="F991" s="2"/>
      <c r="G991" s="3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58"/>
      <c r="B992" s="2"/>
      <c r="C992" s="2"/>
      <c r="D992" s="2"/>
      <c r="E992" s="2"/>
      <c r="F992" s="2"/>
      <c r="G992" s="3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58"/>
      <c r="B993" s="2"/>
      <c r="C993" s="2"/>
      <c r="D993" s="2"/>
      <c r="E993" s="2"/>
      <c r="F993" s="2"/>
      <c r="G993" s="3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58"/>
      <c r="B994" s="2"/>
      <c r="C994" s="2"/>
      <c r="D994" s="2"/>
      <c r="E994" s="2"/>
      <c r="F994" s="2"/>
      <c r="G994" s="3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58"/>
      <c r="B995" s="2"/>
      <c r="C995" s="2"/>
      <c r="D995" s="2"/>
      <c r="E995" s="2"/>
      <c r="F995" s="2"/>
      <c r="G995" s="3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58"/>
      <c r="B996" s="2"/>
      <c r="C996" s="2"/>
      <c r="D996" s="2"/>
      <c r="E996" s="2"/>
      <c r="F996" s="2"/>
      <c r="G996" s="3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58"/>
      <c r="B997" s="2"/>
      <c r="C997" s="2"/>
      <c r="D997" s="2"/>
      <c r="E997" s="2"/>
      <c r="F997" s="2"/>
      <c r="G997" s="3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58"/>
      <c r="B998" s="2"/>
      <c r="C998" s="2"/>
      <c r="D998" s="2"/>
      <c r="E998" s="2"/>
      <c r="F998" s="2"/>
      <c r="G998" s="3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58"/>
      <c r="B999" s="2"/>
      <c r="C999" s="2"/>
      <c r="D999" s="2"/>
      <c r="E999" s="2"/>
      <c r="F999" s="2"/>
      <c r="G999" s="3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58"/>
      <c r="B1000" s="2"/>
      <c r="C1000" s="2"/>
      <c r="D1000" s="2"/>
      <c r="E1000" s="2"/>
      <c r="F1000" s="2"/>
      <c r="G1000" s="3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58"/>
      <c r="B1001" s="2"/>
      <c r="C1001" s="2"/>
      <c r="D1001" s="2"/>
      <c r="E1001" s="2"/>
      <c r="F1001" s="2"/>
      <c r="G1001" s="3"/>
      <c r="H1001" s="4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58"/>
      <c r="B1002" s="2"/>
      <c r="C1002" s="2"/>
      <c r="D1002" s="2"/>
      <c r="E1002" s="2"/>
      <c r="F1002" s="2"/>
      <c r="G1002" s="3"/>
      <c r="H1002" s="4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58"/>
      <c r="B1003" s="2"/>
      <c r="C1003" s="2"/>
      <c r="D1003" s="2"/>
      <c r="E1003" s="2"/>
      <c r="F1003" s="2"/>
      <c r="G1003" s="3"/>
      <c r="H1003" s="4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58"/>
      <c r="B1004" s="2"/>
      <c r="C1004" s="2"/>
      <c r="D1004" s="2"/>
      <c r="E1004" s="2"/>
      <c r="F1004" s="2"/>
      <c r="G1004" s="3"/>
      <c r="H1004" s="4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58"/>
      <c r="B1005" s="2"/>
      <c r="C1005" s="2"/>
      <c r="D1005" s="2"/>
      <c r="E1005" s="2"/>
      <c r="F1005" s="2"/>
      <c r="G1005" s="3"/>
      <c r="H1005" s="4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58"/>
      <c r="B1006" s="2"/>
      <c r="C1006" s="2"/>
      <c r="D1006" s="2"/>
      <c r="E1006" s="2"/>
      <c r="F1006" s="2"/>
      <c r="G1006" s="3"/>
      <c r="H1006" s="4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</sheetData>
  <mergeCells count="73">
    <mergeCell ref="D91:D92"/>
    <mergeCell ref="E91:E92"/>
    <mergeCell ref="D93:D94"/>
    <mergeCell ref="E93:E94"/>
    <mergeCell ref="B91:B92"/>
    <mergeCell ref="C91:C92"/>
    <mergeCell ref="A93:A94"/>
    <mergeCell ref="B93:B94"/>
    <mergeCell ref="C93:C94"/>
    <mergeCell ref="B115:B117"/>
    <mergeCell ref="C115:C117"/>
    <mergeCell ref="E133:E134"/>
    <mergeCell ref="F133:F134"/>
    <mergeCell ref="B127:B128"/>
    <mergeCell ref="C127:C128"/>
    <mergeCell ref="D127:D128"/>
    <mergeCell ref="E127:E128"/>
    <mergeCell ref="F127:F128"/>
    <mergeCell ref="G127:G128"/>
    <mergeCell ref="B133:B134"/>
    <mergeCell ref="G133:G134"/>
    <mergeCell ref="B147:B148"/>
    <mergeCell ref="B167:B168"/>
    <mergeCell ref="C167:C168"/>
    <mergeCell ref="D167:D168"/>
    <mergeCell ref="E167:E168"/>
    <mergeCell ref="F167:F168"/>
    <mergeCell ref="G167:G168"/>
    <mergeCell ref="C133:C134"/>
    <mergeCell ref="D133:D134"/>
    <mergeCell ref="C147:C148"/>
    <mergeCell ref="D147:D148"/>
    <mergeCell ref="E147:E148"/>
    <mergeCell ref="F147:F148"/>
    <mergeCell ref="G147:G148"/>
    <mergeCell ref="A2:G2"/>
    <mergeCell ref="I2:P2"/>
    <mergeCell ref="A12:A13"/>
    <mergeCell ref="B12:B13"/>
    <mergeCell ref="C12:C13"/>
    <mergeCell ref="D12:D13"/>
    <mergeCell ref="E12:E13"/>
    <mergeCell ref="F40:F41"/>
    <mergeCell ref="G40:G41"/>
    <mergeCell ref="F12:F13"/>
    <mergeCell ref="G12:G13"/>
    <mergeCell ref="A40:A41"/>
    <mergeCell ref="B40:B41"/>
    <mergeCell ref="C40:C41"/>
    <mergeCell ref="D40:D41"/>
    <mergeCell ref="E40:E41"/>
    <mergeCell ref="A51:A52"/>
    <mergeCell ref="B51:B52"/>
    <mergeCell ref="C51:C52"/>
    <mergeCell ref="D51:D52"/>
    <mergeCell ref="E51:E52"/>
    <mergeCell ref="F51:F52"/>
    <mergeCell ref="G51:G52"/>
    <mergeCell ref="F91:F92"/>
    <mergeCell ref="G91:G92"/>
    <mergeCell ref="F93:F94"/>
    <mergeCell ref="G93:G94"/>
    <mergeCell ref="B58:B60"/>
    <mergeCell ref="C58:C60"/>
    <mergeCell ref="D58:D60"/>
    <mergeCell ref="E58:E60"/>
    <mergeCell ref="F58:F60"/>
    <mergeCell ref="G58:G60"/>
    <mergeCell ref="A91:A92"/>
    <mergeCell ref="D115:D117"/>
    <mergeCell ref="E115:E117"/>
    <mergeCell ref="F115:F117"/>
    <mergeCell ref="G115:G117"/>
  </mergeCells>
  <hyperlinks>
    <hyperlink r:id="rId4" ref="G145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.13"/>
    <col customWidth="1" min="4" max="4" width="24.5"/>
    <col customWidth="1" min="5" max="5" width="15.63"/>
    <col customWidth="1" min="6" max="6" width="34.88"/>
  </cols>
  <sheetData>
    <row r="1">
      <c r="B1" s="2"/>
      <c r="C1" s="2"/>
      <c r="D1" s="2"/>
      <c r="E1" s="58"/>
      <c r="F1" s="2"/>
      <c r="G1" s="2"/>
      <c r="H1" s="2"/>
    </row>
    <row r="2" ht="33.0" customHeight="1">
      <c r="A2" s="59"/>
      <c r="B2" s="59"/>
      <c r="C2" s="59" t="s">
        <v>1232</v>
      </c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</row>
    <row r="3" ht="19.5" customHeight="1">
      <c r="A3" s="61"/>
      <c r="B3" s="61" t="s">
        <v>1233</v>
      </c>
      <c r="C3" s="61" t="s">
        <v>1234</v>
      </c>
      <c r="D3" s="61" t="s">
        <v>1235</v>
      </c>
      <c r="E3" s="61" t="s">
        <v>1236</v>
      </c>
      <c r="F3" s="61" t="s">
        <v>1237</v>
      </c>
      <c r="G3" s="61" t="s">
        <v>1238</v>
      </c>
      <c r="H3" s="61" t="s">
        <v>1239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>
      <c r="A4" s="63" t="s">
        <v>1240</v>
      </c>
      <c r="B4" s="64">
        <v>1.0</v>
      </c>
      <c r="C4" s="65">
        <v>45883.0</v>
      </c>
      <c r="D4" s="64" t="s">
        <v>1241</v>
      </c>
      <c r="E4" s="66" t="s">
        <v>1242</v>
      </c>
      <c r="F4" s="67" t="s">
        <v>1243</v>
      </c>
      <c r="G4" s="64" t="s">
        <v>1244</v>
      </c>
      <c r="H4" s="68" t="s">
        <v>1245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</row>
    <row r="5">
      <c r="B5" s="35">
        <v>2.0</v>
      </c>
      <c r="C5" s="41">
        <v>45884.0</v>
      </c>
      <c r="D5" s="35" t="s">
        <v>1246</v>
      </c>
      <c r="E5" s="1" t="s">
        <v>1247</v>
      </c>
      <c r="F5" s="2"/>
      <c r="G5" s="35" t="s">
        <v>1248</v>
      </c>
      <c r="H5" s="70" t="s">
        <v>1249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B6" s="64">
        <v>3.0</v>
      </c>
      <c r="C6" s="65">
        <v>45884.0</v>
      </c>
      <c r="D6" s="64" t="s">
        <v>30</v>
      </c>
      <c r="E6" s="66" t="s">
        <v>36</v>
      </c>
      <c r="F6" s="67" t="s">
        <v>1243</v>
      </c>
      <c r="G6" s="64" t="s">
        <v>1250</v>
      </c>
      <c r="H6" s="68" t="s">
        <v>1245</v>
      </c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</row>
    <row r="7">
      <c r="B7" s="48">
        <v>4.0</v>
      </c>
      <c r="C7" s="56">
        <v>45884.0</v>
      </c>
      <c r="D7" s="35" t="s">
        <v>1251</v>
      </c>
      <c r="E7" s="1" t="s">
        <v>1252</v>
      </c>
      <c r="F7" s="32" t="s">
        <v>1253</v>
      </c>
      <c r="G7" s="35" t="s">
        <v>1254</v>
      </c>
      <c r="H7" s="68" t="s">
        <v>1245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B8" s="64">
        <v>5.0</v>
      </c>
      <c r="C8" s="65">
        <v>45884.0</v>
      </c>
      <c r="D8" s="32" t="s">
        <v>38</v>
      </c>
      <c r="E8" s="31" t="s">
        <v>1255</v>
      </c>
      <c r="F8" s="64" t="s">
        <v>1256</v>
      </c>
      <c r="G8" s="64" t="s">
        <v>1257</v>
      </c>
      <c r="H8" s="68" t="s">
        <v>1245</v>
      </c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</row>
    <row r="9">
      <c r="B9" s="36">
        <v>6.0</v>
      </c>
      <c r="C9" s="71">
        <v>45887.0</v>
      </c>
      <c r="D9" s="36" t="s">
        <v>1258</v>
      </c>
      <c r="E9" s="38" t="s">
        <v>1259</v>
      </c>
      <c r="F9" s="35" t="s">
        <v>1260</v>
      </c>
      <c r="G9" s="36" t="s">
        <v>1261</v>
      </c>
      <c r="H9" s="68" t="s">
        <v>1245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B10" s="32">
        <v>7.0</v>
      </c>
      <c r="C10" s="33">
        <v>45890.0</v>
      </c>
      <c r="D10" s="32" t="s">
        <v>1262</v>
      </c>
      <c r="E10" s="31" t="s">
        <v>69</v>
      </c>
      <c r="F10" s="32" t="s">
        <v>1253</v>
      </c>
      <c r="G10" s="32" t="s">
        <v>1263</v>
      </c>
      <c r="H10" s="68" t="s">
        <v>1245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>
      <c r="B11" s="36">
        <v>8.0</v>
      </c>
      <c r="C11" s="71">
        <v>45890.0</v>
      </c>
      <c r="D11" s="36" t="s">
        <v>73</v>
      </c>
      <c r="E11" s="38" t="s">
        <v>79</v>
      </c>
      <c r="F11" s="36" t="s">
        <v>1253</v>
      </c>
      <c r="G11" s="36" t="s">
        <v>1264</v>
      </c>
      <c r="H11" s="68" t="s">
        <v>1245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B12" s="32">
        <v>9.0</v>
      </c>
      <c r="C12" s="33">
        <v>45891.0</v>
      </c>
      <c r="D12" s="32" t="s">
        <v>82</v>
      </c>
      <c r="E12" s="31" t="s">
        <v>88</v>
      </c>
      <c r="F12" s="32" t="s">
        <v>1260</v>
      </c>
      <c r="G12" s="32" t="s">
        <v>1265</v>
      </c>
      <c r="H12" s="68" t="s">
        <v>1245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>
      <c r="B13" s="35">
        <v>10.0</v>
      </c>
      <c r="C13" s="41">
        <v>45892.0</v>
      </c>
      <c r="D13" s="35" t="s">
        <v>1266</v>
      </c>
      <c r="E13" s="1" t="s">
        <v>1267</v>
      </c>
      <c r="F13" s="35" t="s">
        <v>1268</v>
      </c>
      <c r="G13" s="35" t="s">
        <v>1269</v>
      </c>
      <c r="H13" s="68" t="s">
        <v>1245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B14" s="32">
        <v>11.0</v>
      </c>
      <c r="C14" s="33">
        <v>45892.0</v>
      </c>
      <c r="D14" s="32" t="s">
        <v>1270</v>
      </c>
      <c r="E14" s="31" t="s">
        <v>1271</v>
      </c>
      <c r="F14" s="32" t="s">
        <v>1272</v>
      </c>
      <c r="G14" s="32" t="s">
        <v>1273</v>
      </c>
      <c r="H14" s="68" t="s">
        <v>1245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>
      <c r="B15" s="35">
        <v>12.0</v>
      </c>
      <c r="C15" s="41">
        <v>45892.0</v>
      </c>
      <c r="D15" s="35" t="s">
        <v>1274</v>
      </c>
      <c r="E15" s="1" t="s">
        <v>106</v>
      </c>
      <c r="F15" s="35" t="s">
        <v>1275</v>
      </c>
      <c r="G15" s="35" t="s">
        <v>1263</v>
      </c>
      <c r="H15" s="68" t="s">
        <v>1245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B16" s="32">
        <v>13.0</v>
      </c>
      <c r="C16" s="33">
        <v>45892.0</v>
      </c>
      <c r="D16" s="32" t="s">
        <v>119</v>
      </c>
      <c r="E16" s="31" t="s">
        <v>125</v>
      </c>
      <c r="F16" s="32" t="s">
        <v>1256</v>
      </c>
      <c r="G16" s="32" t="s">
        <v>1276</v>
      </c>
      <c r="H16" s="68" t="s">
        <v>1245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>
      <c r="B17" s="35">
        <v>14.0</v>
      </c>
      <c r="C17" s="41">
        <v>45892.0</v>
      </c>
      <c r="D17" s="35" t="s">
        <v>1277</v>
      </c>
      <c r="E17" s="1" t="s">
        <v>1278</v>
      </c>
      <c r="F17" s="35" t="s">
        <v>1279</v>
      </c>
      <c r="G17" s="35" t="s">
        <v>1280</v>
      </c>
      <c r="H17" s="68" t="s">
        <v>1245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B18" s="32">
        <v>15.0</v>
      </c>
      <c r="C18" s="33">
        <v>45893.0</v>
      </c>
      <c r="D18" s="32" t="s">
        <v>1281</v>
      </c>
      <c r="E18" s="31" t="s">
        <v>1282</v>
      </c>
      <c r="F18" s="32" t="s">
        <v>1253</v>
      </c>
      <c r="G18" s="32" t="s">
        <v>1283</v>
      </c>
      <c r="H18" s="68" t="s">
        <v>1245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>
      <c r="B19" s="36">
        <v>16.0</v>
      </c>
      <c r="C19" s="71">
        <v>45893.0</v>
      </c>
      <c r="D19" s="44" t="s">
        <v>146</v>
      </c>
      <c r="E19" s="38" t="s">
        <v>1284</v>
      </c>
      <c r="F19" s="36" t="s">
        <v>1253</v>
      </c>
      <c r="G19" s="36" t="s">
        <v>1273</v>
      </c>
      <c r="H19" s="68" t="s">
        <v>1245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B20" s="35">
        <v>14.0</v>
      </c>
      <c r="C20" s="41">
        <v>45895.0</v>
      </c>
      <c r="D20" s="35" t="s">
        <v>165</v>
      </c>
      <c r="E20" s="1" t="s">
        <v>170</v>
      </c>
      <c r="F20" s="35" t="s">
        <v>1285</v>
      </c>
      <c r="G20" s="35" t="s">
        <v>1264</v>
      </c>
      <c r="H20" s="68" t="s">
        <v>1245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B21" s="32">
        <v>18.0</v>
      </c>
      <c r="C21" s="33">
        <v>45895.0</v>
      </c>
      <c r="D21" s="32" t="s">
        <v>154</v>
      </c>
      <c r="E21" s="31" t="s">
        <v>329</v>
      </c>
      <c r="F21" s="32" t="s">
        <v>1253</v>
      </c>
      <c r="G21" s="32" t="s">
        <v>1286</v>
      </c>
      <c r="H21" s="68" t="s">
        <v>1245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>
      <c r="B22" s="35">
        <v>19.0</v>
      </c>
      <c r="C22" s="41">
        <v>45897.0</v>
      </c>
      <c r="D22" s="35" t="s">
        <v>1287</v>
      </c>
      <c r="E22" s="1" t="s">
        <v>1288</v>
      </c>
      <c r="F22" s="35" t="s">
        <v>1275</v>
      </c>
      <c r="G22" s="35" t="s">
        <v>1289</v>
      </c>
      <c r="H22" s="68" t="s">
        <v>1245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B23" s="37">
        <v>20.0</v>
      </c>
      <c r="C23" s="72">
        <v>45898.0</v>
      </c>
      <c r="D23" s="37" t="s">
        <v>1290</v>
      </c>
      <c r="E23" s="73" t="s">
        <v>184</v>
      </c>
      <c r="F23" s="74" t="s">
        <v>1256</v>
      </c>
      <c r="G23" s="37" t="s">
        <v>1291</v>
      </c>
      <c r="H23" s="68" t="s">
        <v>1292</v>
      </c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</row>
    <row r="24">
      <c r="B24" s="35">
        <v>21.0</v>
      </c>
      <c r="C24" s="41">
        <v>45899.0</v>
      </c>
      <c r="D24" s="35" t="s">
        <v>1293</v>
      </c>
      <c r="E24" s="1" t="s">
        <v>190</v>
      </c>
      <c r="F24" s="35" t="s">
        <v>1294</v>
      </c>
      <c r="G24" s="35" t="s">
        <v>1283</v>
      </c>
      <c r="H24" s="70" t="s">
        <v>1249</v>
      </c>
    </row>
    <row r="25">
      <c r="B25" s="2"/>
      <c r="C25" s="2"/>
      <c r="D25" s="2"/>
      <c r="E25" s="58"/>
      <c r="F25" s="2"/>
      <c r="G25" s="2"/>
      <c r="H25" s="2"/>
    </row>
    <row r="26">
      <c r="A26" s="63" t="s">
        <v>1295</v>
      </c>
      <c r="B26" s="61" t="s">
        <v>1233</v>
      </c>
      <c r="C26" s="61" t="s">
        <v>1234</v>
      </c>
      <c r="D26" s="61" t="s">
        <v>1235</v>
      </c>
      <c r="E26" s="61" t="s">
        <v>1236</v>
      </c>
      <c r="F26" s="61" t="s">
        <v>1237</v>
      </c>
      <c r="G26" s="61" t="s">
        <v>1238</v>
      </c>
      <c r="H26" s="61" t="s">
        <v>1239</v>
      </c>
    </row>
    <row r="27">
      <c r="B27" s="35">
        <v>1.0</v>
      </c>
      <c r="C27" s="41">
        <v>45901.0</v>
      </c>
      <c r="D27" s="35" t="s">
        <v>192</v>
      </c>
      <c r="E27" s="35" t="s">
        <v>1296</v>
      </c>
      <c r="F27" s="35" t="s">
        <v>1275</v>
      </c>
      <c r="G27" s="76">
        <v>0.3958333333333333</v>
      </c>
      <c r="H27" s="68" t="s">
        <v>1245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B28" s="32">
        <v>2.0</v>
      </c>
      <c r="C28" s="33">
        <v>45901.0</v>
      </c>
      <c r="D28" s="32" t="s">
        <v>197</v>
      </c>
      <c r="E28" s="31" t="s">
        <v>202</v>
      </c>
      <c r="F28" s="67" t="s">
        <v>1243</v>
      </c>
      <c r="G28" s="32" t="s">
        <v>1297</v>
      </c>
      <c r="H28" s="68" t="s">
        <v>1245</v>
      </c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</row>
    <row r="29">
      <c r="B29" s="35">
        <v>3.0</v>
      </c>
      <c r="C29" s="41">
        <v>45902.0</v>
      </c>
      <c r="D29" s="35" t="s">
        <v>204</v>
      </c>
      <c r="E29" s="1" t="s">
        <v>207</v>
      </c>
      <c r="F29" s="35" t="s">
        <v>1298</v>
      </c>
      <c r="G29" s="35" t="s">
        <v>1299</v>
      </c>
      <c r="H29" s="78" t="s">
        <v>1300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B30" s="32">
        <v>3.0</v>
      </c>
      <c r="C30" s="33">
        <v>45905.0</v>
      </c>
      <c r="D30" s="32" t="s">
        <v>1301</v>
      </c>
      <c r="E30" s="31" t="s">
        <v>1302</v>
      </c>
      <c r="F30" s="32" t="s">
        <v>1303</v>
      </c>
      <c r="G30" s="32" t="s">
        <v>1304</v>
      </c>
      <c r="H30" s="79" t="s">
        <v>1305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B31" s="44">
        <v>4.0</v>
      </c>
      <c r="C31" s="80">
        <v>45903.0</v>
      </c>
      <c r="D31" s="44" t="s">
        <v>1306</v>
      </c>
      <c r="E31" s="38" t="s">
        <v>1307</v>
      </c>
      <c r="F31" s="36" t="s">
        <v>208</v>
      </c>
      <c r="G31" s="81" t="s">
        <v>1308</v>
      </c>
      <c r="J31" s="36" t="s">
        <v>1309</v>
      </c>
    </row>
    <row r="32">
      <c r="E32" s="38" t="s">
        <v>1310</v>
      </c>
      <c r="F32" s="36" t="s">
        <v>208</v>
      </c>
      <c r="J32" s="36" t="s">
        <v>297</v>
      </c>
    </row>
    <row r="33">
      <c r="E33" s="38" t="s">
        <v>1311</v>
      </c>
      <c r="F33" s="36" t="s">
        <v>161</v>
      </c>
      <c r="G33" s="82" t="s">
        <v>1312</v>
      </c>
      <c r="J33" s="36" t="s">
        <v>242</v>
      </c>
    </row>
    <row r="34">
      <c r="B34" s="32">
        <v>5.0</v>
      </c>
      <c r="C34" s="33">
        <v>45904.0</v>
      </c>
      <c r="D34" s="32" t="s">
        <v>209</v>
      </c>
      <c r="E34" s="32" t="s">
        <v>214</v>
      </c>
      <c r="F34" s="83" t="s">
        <v>1256</v>
      </c>
      <c r="G34" s="34"/>
      <c r="H34" s="68" t="s">
        <v>1245</v>
      </c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</row>
    <row r="35">
      <c r="B35" s="35">
        <v>6.0</v>
      </c>
      <c r="C35" s="41">
        <v>45905.0</v>
      </c>
      <c r="D35" s="2"/>
      <c r="E35" s="35" t="s">
        <v>1302</v>
      </c>
      <c r="F35" s="2"/>
      <c r="G35" s="2"/>
      <c r="H35" s="68" t="s">
        <v>1245</v>
      </c>
    </row>
    <row r="36">
      <c r="B36" s="32">
        <v>7.0</v>
      </c>
      <c r="C36" s="33">
        <v>45905.0</v>
      </c>
      <c r="D36" s="34"/>
      <c r="E36" s="32" t="s">
        <v>1313</v>
      </c>
      <c r="F36" s="34"/>
      <c r="G36" s="34"/>
      <c r="H36" s="68" t="s">
        <v>1245</v>
      </c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</row>
    <row r="37">
      <c r="B37" s="35">
        <v>8.0</v>
      </c>
      <c r="C37" s="41">
        <v>45905.0</v>
      </c>
      <c r="D37" s="2"/>
      <c r="E37" s="35" t="s">
        <v>1314</v>
      </c>
      <c r="F37" s="2"/>
      <c r="G37" s="2"/>
      <c r="H37" s="68" t="s">
        <v>1245</v>
      </c>
    </row>
    <row r="38">
      <c r="B38" s="32">
        <v>9.0</v>
      </c>
      <c r="C38" s="33">
        <v>45906.0</v>
      </c>
      <c r="D38" s="34"/>
      <c r="E38" s="32" t="s">
        <v>1315</v>
      </c>
      <c r="F38" s="34"/>
      <c r="G38" s="34"/>
      <c r="H38" s="68" t="s">
        <v>1245</v>
      </c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</row>
    <row r="39">
      <c r="B39" s="35">
        <v>10.0</v>
      </c>
      <c r="C39" s="41">
        <v>45908.0</v>
      </c>
      <c r="D39" s="2"/>
      <c r="E39" s="48" t="s">
        <v>190</v>
      </c>
      <c r="F39" s="2"/>
      <c r="G39" s="2"/>
      <c r="H39" s="68" t="s">
        <v>1245</v>
      </c>
    </row>
    <row r="40">
      <c r="B40" s="32">
        <v>11.0</v>
      </c>
      <c r="C40" s="33">
        <v>45909.0</v>
      </c>
      <c r="D40" s="34"/>
      <c r="E40" s="32" t="s">
        <v>236</v>
      </c>
      <c r="F40" s="34"/>
      <c r="G40" s="34"/>
      <c r="H40" s="68" t="s">
        <v>1245</v>
      </c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</row>
    <row r="41">
      <c r="B41" s="35">
        <v>12.0</v>
      </c>
      <c r="C41" s="41">
        <v>45910.0</v>
      </c>
      <c r="D41" s="2"/>
      <c r="E41" s="35" t="s">
        <v>1316</v>
      </c>
      <c r="F41" s="2"/>
      <c r="G41" s="2"/>
      <c r="H41" s="68" t="s">
        <v>1245</v>
      </c>
    </row>
    <row r="42">
      <c r="B42" s="32">
        <v>13.0</v>
      </c>
      <c r="C42" s="33">
        <v>45913.0</v>
      </c>
      <c r="D42" s="34"/>
      <c r="E42" s="31" t="s">
        <v>246</v>
      </c>
      <c r="F42" s="32" t="s">
        <v>1317</v>
      </c>
      <c r="G42" s="32" t="s">
        <v>1283</v>
      </c>
      <c r="H42" s="68" t="s">
        <v>1245</v>
      </c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</row>
    <row r="43">
      <c r="B43" s="35">
        <v>14.0</v>
      </c>
      <c r="C43" s="41">
        <v>45913.0</v>
      </c>
      <c r="D43" s="35" t="s">
        <v>250</v>
      </c>
      <c r="E43" s="1" t="s">
        <v>255</v>
      </c>
      <c r="F43" s="35" t="s">
        <v>1243</v>
      </c>
      <c r="G43" s="76">
        <v>0.4583333333333333</v>
      </c>
      <c r="H43" s="2"/>
    </row>
    <row r="44">
      <c r="B44" s="2"/>
      <c r="C44" s="2"/>
      <c r="D44" s="2"/>
      <c r="E44" s="58"/>
      <c r="F44" s="2"/>
      <c r="G44" s="2"/>
      <c r="H44" s="2"/>
    </row>
    <row r="45">
      <c r="B45" s="2"/>
      <c r="C45" s="2"/>
      <c r="D45" s="2"/>
      <c r="E45" s="58"/>
      <c r="F45" s="2"/>
      <c r="G45" s="2"/>
      <c r="H45" s="2"/>
    </row>
    <row r="46">
      <c r="B46" s="2"/>
      <c r="C46" s="2"/>
      <c r="D46" s="2"/>
      <c r="E46" s="58"/>
      <c r="F46" s="2"/>
      <c r="G46" s="2"/>
      <c r="H46" s="2"/>
    </row>
    <row r="47">
      <c r="B47" s="2"/>
      <c r="C47" s="2"/>
      <c r="D47" s="2"/>
      <c r="E47" s="58"/>
      <c r="F47" s="2"/>
      <c r="G47" s="2"/>
      <c r="H47" s="2"/>
    </row>
    <row r="48">
      <c r="B48" s="2"/>
      <c r="C48" s="2"/>
      <c r="D48" s="2"/>
      <c r="E48" s="58"/>
      <c r="F48" s="2"/>
      <c r="G48" s="2"/>
      <c r="H48" s="2"/>
    </row>
    <row r="49">
      <c r="B49" s="2"/>
      <c r="C49" s="2"/>
      <c r="D49" s="2"/>
      <c r="E49" s="58"/>
      <c r="F49" s="2"/>
      <c r="G49" s="2"/>
      <c r="H49" s="2"/>
    </row>
    <row r="50">
      <c r="B50" s="2"/>
      <c r="C50" s="2"/>
      <c r="D50" s="2"/>
      <c r="E50" s="58"/>
      <c r="F50" s="2"/>
      <c r="G50" s="2"/>
      <c r="H50" s="2"/>
    </row>
    <row r="51">
      <c r="B51" s="2"/>
      <c r="C51" s="2"/>
      <c r="D51" s="2"/>
      <c r="E51" s="58"/>
      <c r="F51" s="2"/>
      <c r="G51" s="2"/>
      <c r="H51" s="2"/>
    </row>
    <row r="52">
      <c r="B52" s="2"/>
      <c r="C52" s="2"/>
      <c r="D52" s="2"/>
      <c r="E52" s="58"/>
      <c r="F52" s="2"/>
      <c r="G52" s="2"/>
      <c r="H52" s="2"/>
    </row>
    <row r="53">
      <c r="B53" s="2"/>
      <c r="C53" s="2"/>
      <c r="D53" s="2"/>
      <c r="E53" s="58"/>
      <c r="F53" s="2"/>
      <c r="G53" s="2"/>
      <c r="H53" s="2"/>
    </row>
    <row r="54">
      <c r="B54" s="2"/>
      <c r="C54" s="2"/>
      <c r="D54" s="2"/>
      <c r="E54" s="58"/>
      <c r="F54" s="2"/>
      <c r="G54" s="2"/>
      <c r="H54" s="2"/>
    </row>
    <row r="55">
      <c r="B55" s="2"/>
      <c r="C55" s="2"/>
      <c r="D55" s="2"/>
      <c r="E55" s="58"/>
      <c r="F55" s="2"/>
      <c r="G55" s="2"/>
      <c r="H55" s="2"/>
    </row>
    <row r="56">
      <c r="B56" s="2"/>
      <c r="C56" s="2"/>
      <c r="D56" s="2"/>
      <c r="E56" s="58"/>
      <c r="F56" s="2"/>
      <c r="G56" s="2"/>
      <c r="H56" s="2"/>
    </row>
    <row r="57">
      <c r="B57" s="2"/>
      <c r="C57" s="2"/>
      <c r="D57" s="2"/>
      <c r="E57" s="58"/>
      <c r="F57" s="2"/>
      <c r="G57" s="2"/>
      <c r="H57" s="2"/>
    </row>
    <row r="58">
      <c r="B58" s="2"/>
      <c r="C58" s="2"/>
      <c r="D58" s="2"/>
      <c r="E58" s="58"/>
      <c r="F58" s="2"/>
      <c r="G58" s="2"/>
      <c r="H58" s="2"/>
    </row>
    <row r="59">
      <c r="B59" s="2"/>
      <c r="C59" s="2"/>
      <c r="D59" s="2"/>
      <c r="E59" s="58"/>
      <c r="F59" s="2"/>
      <c r="G59" s="2"/>
      <c r="H59" s="2"/>
    </row>
    <row r="60">
      <c r="B60" s="2"/>
      <c r="C60" s="2"/>
      <c r="D60" s="2"/>
      <c r="E60" s="58"/>
      <c r="F60" s="2"/>
      <c r="G60" s="2"/>
      <c r="H60" s="2"/>
    </row>
    <row r="61">
      <c r="B61" s="2"/>
      <c r="C61" s="2"/>
      <c r="D61" s="2"/>
      <c r="E61" s="58"/>
      <c r="F61" s="2"/>
      <c r="G61" s="2"/>
      <c r="H61" s="2"/>
    </row>
    <row r="62">
      <c r="B62" s="2"/>
      <c r="C62" s="2"/>
      <c r="D62" s="2"/>
      <c r="E62" s="58"/>
      <c r="F62" s="2"/>
      <c r="G62" s="2"/>
      <c r="H62" s="2"/>
    </row>
    <row r="63">
      <c r="B63" s="2"/>
      <c r="C63" s="2"/>
      <c r="D63" s="2"/>
      <c r="E63" s="58"/>
      <c r="F63" s="2"/>
      <c r="G63" s="2"/>
      <c r="H63" s="2"/>
    </row>
    <row r="64">
      <c r="B64" s="2"/>
      <c r="C64" s="2"/>
      <c r="D64" s="2"/>
      <c r="E64" s="58"/>
      <c r="F64" s="2"/>
      <c r="G64" s="2"/>
      <c r="H64" s="2"/>
    </row>
    <row r="65">
      <c r="B65" s="2"/>
      <c r="C65" s="2"/>
      <c r="D65" s="2"/>
      <c r="E65" s="58"/>
      <c r="F65" s="2"/>
      <c r="G65" s="2"/>
      <c r="H65" s="2"/>
    </row>
    <row r="66">
      <c r="B66" s="2"/>
      <c r="C66" s="2"/>
      <c r="D66" s="2"/>
      <c r="E66" s="58"/>
      <c r="F66" s="2"/>
      <c r="G66" s="2"/>
      <c r="H66" s="2"/>
    </row>
    <row r="67">
      <c r="B67" s="2"/>
      <c r="C67" s="2"/>
      <c r="D67" s="2"/>
      <c r="E67" s="58"/>
      <c r="F67" s="2"/>
      <c r="G67" s="2"/>
      <c r="H67" s="2"/>
    </row>
    <row r="68">
      <c r="B68" s="2"/>
      <c r="C68" s="2"/>
      <c r="D68" s="2"/>
      <c r="E68" s="58"/>
      <c r="F68" s="2"/>
      <c r="G68" s="2"/>
      <c r="H68" s="2"/>
    </row>
    <row r="69">
      <c r="B69" s="2"/>
      <c r="C69" s="2"/>
      <c r="D69" s="2"/>
      <c r="E69" s="58"/>
      <c r="F69" s="2"/>
      <c r="G69" s="2"/>
      <c r="H69" s="2"/>
    </row>
    <row r="70">
      <c r="B70" s="2"/>
      <c r="C70" s="2"/>
      <c r="D70" s="2"/>
      <c r="E70" s="58"/>
      <c r="F70" s="2"/>
      <c r="G70" s="2"/>
      <c r="H70" s="2"/>
    </row>
    <row r="71">
      <c r="B71" s="2"/>
      <c r="C71" s="2"/>
      <c r="D71" s="2"/>
      <c r="E71" s="58"/>
      <c r="F71" s="2"/>
      <c r="G71" s="2"/>
      <c r="H71" s="2"/>
    </row>
    <row r="72">
      <c r="B72" s="2"/>
      <c r="C72" s="2"/>
      <c r="D72" s="2"/>
      <c r="E72" s="58"/>
      <c r="F72" s="2"/>
      <c r="G72" s="2"/>
      <c r="H72" s="2"/>
    </row>
    <row r="73">
      <c r="B73" s="2"/>
      <c r="C73" s="2"/>
      <c r="D73" s="2"/>
      <c r="E73" s="58"/>
      <c r="F73" s="2"/>
      <c r="G73" s="2"/>
      <c r="H73" s="2"/>
    </row>
    <row r="74">
      <c r="B74" s="2"/>
      <c r="C74" s="2"/>
      <c r="D74" s="2"/>
      <c r="E74" s="58"/>
      <c r="F74" s="2"/>
      <c r="G74" s="2"/>
      <c r="H74" s="2"/>
    </row>
    <row r="75">
      <c r="B75" s="2"/>
      <c r="C75" s="2"/>
      <c r="D75" s="2"/>
      <c r="E75" s="58"/>
      <c r="F75" s="2"/>
      <c r="G75" s="2"/>
      <c r="H75" s="2"/>
    </row>
    <row r="76">
      <c r="B76" s="2"/>
      <c r="C76" s="2"/>
      <c r="D76" s="2"/>
      <c r="E76" s="58"/>
      <c r="F76" s="2"/>
      <c r="G76" s="2"/>
      <c r="H76" s="2"/>
    </row>
    <row r="77">
      <c r="B77" s="2"/>
      <c r="C77" s="2"/>
      <c r="D77" s="2"/>
      <c r="E77" s="58"/>
      <c r="F77" s="2"/>
      <c r="G77" s="2"/>
      <c r="H77" s="2"/>
    </row>
    <row r="78">
      <c r="B78" s="2"/>
      <c r="C78" s="2"/>
      <c r="D78" s="2"/>
      <c r="E78" s="58"/>
      <c r="F78" s="2"/>
      <c r="G78" s="2"/>
      <c r="H78" s="2"/>
    </row>
    <row r="79">
      <c r="B79" s="2"/>
      <c r="C79" s="2"/>
      <c r="D79" s="2"/>
      <c r="E79" s="58"/>
      <c r="F79" s="2"/>
      <c r="G79" s="2"/>
      <c r="H79" s="2"/>
    </row>
    <row r="80">
      <c r="B80" s="2"/>
      <c r="C80" s="2"/>
      <c r="D80" s="2"/>
      <c r="E80" s="58"/>
      <c r="F80" s="2"/>
      <c r="G80" s="2"/>
      <c r="H80" s="2"/>
    </row>
    <row r="81">
      <c r="B81" s="2"/>
      <c r="C81" s="2"/>
      <c r="D81" s="2"/>
      <c r="E81" s="58"/>
      <c r="F81" s="2"/>
      <c r="G81" s="2"/>
      <c r="H81" s="2"/>
    </row>
    <row r="82">
      <c r="B82" s="2"/>
      <c r="C82" s="2"/>
      <c r="D82" s="2"/>
      <c r="E82" s="58"/>
      <c r="F82" s="2"/>
      <c r="G82" s="2"/>
      <c r="H82" s="2"/>
    </row>
    <row r="83">
      <c r="B83" s="2"/>
      <c r="C83" s="2"/>
      <c r="D83" s="2"/>
      <c r="E83" s="58"/>
      <c r="F83" s="2"/>
      <c r="G83" s="2"/>
      <c r="H83" s="2"/>
    </row>
    <row r="84">
      <c r="B84" s="2"/>
      <c r="C84" s="2"/>
      <c r="D84" s="2"/>
      <c r="E84" s="58"/>
      <c r="F84" s="2"/>
      <c r="G84" s="2"/>
      <c r="H84" s="2"/>
    </row>
    <row r="85">
      <c r="B85" s="2"/>
      <c r="C85" s="2"/>
      <c r="D85" s="2"/>
      <c r="E85" s="58"/>
      <c r="F85" s="2"/>
      <c r="G85" s="2"/>
      <c r="H85" s="2"/>
    </row>
    <row r="86">
      <c r="B86" s="2"/>
      <c r="C86" s="2"/>
      <c r="D86" s="2"/>
      <c r="E86" s="58"/>
      <c r="F86" s="2"/>
      <c r="G86" s="2"/>
      <c r="H86" s="2"/>
    </row>
    <row r="87">
      <c r="B87" s="2"/>
      <c r="C87" s="2"/>
      <c r="D87" s="2"/>
      <c r="E87" s="58"/>
      <c r="F87" s="2"/>
      <c r="G87" s="2"/>
      <c r="H87" s="2"/>
    </row>
    <row r="88">
      <c r="B88" s="2"/>
      <c r="C88" s="2"/>
      <c r="D88" s="2"/>
      <c r="E88" s="58"/>
      <c r="F88" s="2"/>
      <c r="G88" s="2"/>
      <c r="H88" s="2"/>
    </row>
    <row r="89">
      <c r="B89" s="2"/>
      <c r="C89" s="2"/>
      <c r="D89" s="2"/>
      <c r="E89" s="58"/>
      <c r="F89" s="2"/>
      <c r="G89" s="2"/>
      <c r="H89" s="2"/>
    </row>
    <row r="90">
      <c r="B90" s="2"/>
      <c r="C90" s="2"/>
      <c r="D90" s="2"/>
      <c r="E90" s="58"/>
      <c r="F90" s="2"/>
      <c r="G90" s="2"/>
      <c r="H90" s="2"/>
    </row>
    <row r="91">
      <c r="B91" s="2"/>
      <c r="C91" s="2"/>
      <c r="D91" s="2"/>
      <c r="E91" s="58"/>
      <c r="F91" s="2"/>
      <c r="G91" s="2"/>
      <c r="H91" s="2"/>
    </row>
    <row r="92">
      <c r="B92" s="2"/>
      <c r="C92" s="2"/>
      <c r="D92" s="2"/>
      <c r="E92" s="58"/>
      <c r="F92" s="2"/>
      <c r="G92" s="2"/>
      <c r="H92" s="2"/>
    </row>
    <row r="93">
      <c r="B93" s="2"/>
      <c r="C93" s="2"/>
      <c r="D93" s="2"/>
      <c r="E93" s="58"/>
      <c r="F93" s="2"/>
      <c r="G93" s="2"/>
      <c r="H93" s="2"/>
    </row>
    <row r="94">
      <c r="B94" s="2"/>
      <c r="C94" s="2"/>
      <c r="D94" s="2"/>
      <c r="E94" s="58"/>
      <c r="F94" s="2"/>
      <c r="G94" s="2"/>
      <c r="H94" s="2"/>
    </row>
    <row r="95">
      <c r="B95" s="2"/>
      <c r="C95" s="2"/>
      <c r="D95" s="2"/>
      <c r="E95" s="58"/>
      <c r="F95" s="2"/>
      <c r="G95" s="2"/>
      <c r="H95" s="2"/>
    </row>
    <row r="96">
      <c r="B96" s="2"/>
      <c r="C96" s="2"/>
      <c r="D96" s="2"/>
      <c r="E96" s="58"/>
      <c r="F96" s="2"/>
      <c r="G96" s="2"/>
      <c r="H96" s="2"/>
    </row>
    <row r="97">
      <c r="B97" s="2"/>
      <c r="C97" s="2"/>
      <c r="D97" s="2"/>
      <c r="E97" s="58"/>
      <c r="F97" s="2"/>
      <c r="G97" s="2"/>
      <c r="H97" s="2"/>
    </row>
    <row r="98">
      <c r="B98" s="2"/>
      <c r="C98" s="2"/>
      <c r="D98" s="2"/>
      <c r="E98" s="58"/>
      <c r="F98" s="2"/>
      <c r="G98" s="2"/>
      <c r="H98" s="2"/>
    </row>
    <row r="99">
      <c r="B99" s="2"/>
      <c r="C99" s="2"/>
      <c r="D99" s="2"/>
      <c r="E99" s="58"/>
      <c r="F99" s="2"/>
      <c r="G99" s="2"/>
      <c r="H99" s="2"/>
    </row>
    <row r="100">
      <c r="B100" s="2"/>
      <c r="C100" s="2"/>
      <c r="D100" s="2"/>
      <c r="E100" s="58"/>
      <c r="F100" s="2"/>
      <c r="G100" s="2"/>
      <c r="H100" s="2"/>
    </row>
    <row r="101">
      <c r="B101" s="2"/>
      <c r="C101" s="2"/>
      <c r="D101" s="2"/>
      <c r="E101" s="58"/>
      <c r="F101" s="2"/>
      <c r="G101" s="2"/>
      <c r="H101" s="2"/>
    </row>
    <row r="102">
      <c r="B102" s="2"/>
      <c r="C102" s="2"/>
      <c r="D102" s="2"/>
      <c r="E102" s="58"/>
      <c r="F102" s="2"/>
      <c r="G102" s="2"/>
      <c r="H102" s="2"/>
    </row>
    <row r="103">
      <c r="B103" s="2"/>
      <c r="C103" s="2"/>
      <c r="D103" s="2"/>
      <c r="E103" s="58"/>
      <c r="F103" s="2"/>
      <c r="G103" s="2"/>
      <c r="H103" s="2"/>
    </row>
    <row r="104">
      <c r="B104" s="2"/>
      <c r="C104" s="2"/>
      <c r="D104" s="2"/>
      <c r="E104" s="58"/>
      <c r="F104" s="2"/>
      <c r="G104" s="2"/>
      <c r="H104" s="2"/>
    </row>
    <row r="105">
      <c r="B105" s="2"/>
      <c r="C105" s="2"/>
      <c r="D105" s="2"/>
      <c r="E105" s="58"/>
      <c r="F105" s="2"/>
      <c r="G105" s="2"/>
      <c r="H105" s="2"/>
    </row>
    <row r="106">
      <c r="B106" s="2"/>
      <c r="C106" s="2"/>
      <c r="D106" s="2"/>
      <c r="E106" s="58"/>
      <c r="F106" s="2"/>
      <c r="G106" s="2"/>
      <c r="H106" s="2"/>
    </row>
    <row r="107">
      <c r="B107" s="2"/>
      <c r="C107" s="2"/>
      <c r="D107" s="2"/>
      <c r="E107" s="58"/>
      <c r="F107" s="2"/>
      <c r="G107" s="2"/>
      <c r="H107" s="2"/>
    </row>
    <row r="108">
      <c r="B108" s="2"/>
      <c r="C108" s="2"/>
      <c r="D108" s="2"/>
      <c r="E108" s="58"/>
      <c r="F108" s="2"/>
      <c r="G108" s="2"/>
      <c r="H108" s="2"/>
    </row>
    <row r="109">
      <c r="B109" s="2"/>
      <c r="C109" s="2"/>
      <c r="D109" s="2"/>
      <c r="E109" s="58"/>
      <c r="F109" s="2"/>
      <c r="G109" s="2"/>
      <c r="H109" s="2"/>
    </row>
    <row r="110">
      <c r="B110" s="2"/>
      <c r="C110" s="2"/>
      <c r="D110" s="2"/>
      <c r="E110" s="58"/>
      <c r="F110" s="2"/>
      <c r="G110" s="2"/>
      <c r="H110" s="2"/>
    </row>
    <row r="111">
      <c r="B111" s="2"/>
      <c r="C111" s="2"/>
      <c r="D111" s="2"/>
      <c r="E111" s="58"/>
      <c r="F111" s="2"/>
      <c r="G111" s="2"/>
      <c r="H111" s="2"/>
    </row>
    <row r="112">
      <c r="B112" s="2"/>
      <c r="C112" s="2"/>
      <c r="D112" s="2"/>
      <c r="E112" s="58"/>
      <c r="F112" s="2"/>
      <c r="G112" s="2"/>
      <c r="H112" s="2"/>
    </row>
    <row r="113">
      <c r="B113" s="2"/>
      <c r="C113" s="2"/>
      <c r="D113" s="2"/>
      <c r="E113" s="58"/>
      <c r="F113" s="2"/>
      <c r="G113" s="2"/>
      <c r="H113" s="2"/>
    </row>
    <row r="114">
      <c r="B114" s="2"/>
      <c r="C114" s="2"/>
      <c r="D114" s="2"/>
      <c r="E114" s="58"/>
      <c r="F114" s="2"/>
      <c r="G114" s="2"/>
      <c r="H114" s="2"/>
    </row>
    <row r="115">
      <c r="B115" s="2"/>
      <c r="C115" s="2"/>
      <c r="D115" s="2"/>
      <c r="E115" s="58"/>
      <c r="F115" s="2"/>
      <c r="G115" s="2"/>
      <c r="H115" s="2"/>
    </row>
    <row r="116">
      <c r="B116" s="2"/>
      <c r="C116" s="2"/>
      <c r="D116" s="2"/>
      <c r="E116" s="58"/>
      <c r="F116" s="2"/>
      <c r="G116" s="2"/>
      <c r="H116" s="2"/>
    </row>
    <row r="117">
      <c r="B117" s="2"/>
      <c r="C117" s="2"/>
      <c r="D117" s="2"/>
      <c r="E117" s="58"/>
      <c r="F117" s="2"/>
      <c r="G117" s="2"/>
      <c r="H117" s="2"/>
    </row>
    <row r="118">
      <c r="B118" s="2"/>
      <c r="C118" s="2"/>
      <c r="D118" s="2"/>
      <c r="E118" s="58"/>
      <c r="F118" s="2"/>
      <c r="G118" s="2"/>
      <c r="H118" s="2"/>
    </row>
    <row r="119">
      <c r="B119" s="2"/>
      <c r="C119" s="2"/>
      <c r="D119" s="2"/>
      <c r="E119" s="58"/>
      <c r="F119" s="2"/>
      <c r="G119" s="2"/>
      <c r="H119" s="2"/>
    </row>
    <row r="120">
      <c r="B120" s="2"/>
      <c r="C120" s="2"/>
      <c r="D120" s="2"/>
      <c r="E120" s="58"/>
      <c r="F120" s="2"/>
      <c r="G120" s="2"/>
      <c r="H120" s="2"/>
    </row>
    <row r="121">
      <c r="B121" s="2"/>
      <c r="C121" s="2"/>
      <c r="D121" s="2"/>
      <c r="E121" s="58"/>
      <c r="F121" s="2"/>
      <c r="G121" s="2"/>
      <c r="H121" s="2"/>
    </row>
    <row r="122">
      <c r="B122" s="2"/>
      <c r="C122" s="2"/>
      <c r="D122" s="2"/>
      <c r="E122" s="58"/>
      <c r="F122" s="2"/>
      <c r="G122" s="2"/>
      <c r="H122" s="2"/>
    </row>
    <row r="123">
      <c r="B123" s="2"/>
      <c r="C123" s="2"/>
      <c r="D123" s="2"/>
      <c r="E123" s="58"/>
      <c r="F123" s="2"/>
      <c r="G123" s="2"/>
      <c r="H123" s="2"/>
    </row>
    <row r="124">
      <c r="B124" s="2"/>
      <c r="C124" s="2"/>
      <c r="D124" s="2"/>
      <c r="E124" s="58"/>
      <c r="F124" s="2"/>
      <c r="G124" s="2"/>
      <c r="H124" s="2"/>
    </row>
    <row r="125">
      <c r="B125" s="2"/>
      <c r="C125" s="2"/>
      <c r="D125" s="2"/>
      <c r="E125" s="58"/>
      <c r="F125" s="2"/>
      <c r="G125" s="2"/>
      <c r="H125" s="2"/>
    </row>
    <row r="126">
      <c r="B126" s="2"/>
      <c r="C126" s="2"/>
      <c r="D126" s="2"/>
      <c r="E126" s="58"/>
      <c r="F126" s="2"/>
      <c r="G126" s="2"/>
      <c r="H126" s="2"/>
    </row>
    <row r="127">
      <c r="B127" s="2"/>
      <c r="C127" s="2"/>
      <c r="D127" s="2"/>
      <c r="E127" s="58"/>
      <c r="F127" s="2"/>
      <c r="G127" s="2"/>
      <c r="H127" s="2"/>
    </row>
    <row r="128">
      <c r="B128" s="2"/>
      <c r="C128" s="2"/>
      <c r="D128" s="2"/>
      <c r="E128" s="58"/>
      <c r="F128" s="2"/>
      <c r="G128" s="2"/>
      <c r="H128" s="2"/>
    </row>
    <row r="129">
      <c r="B129" s="2"/>
      <c r="C129" s="2"/>
      <c r="D129" s="2"/>
      <c r="E129" s="58"/>
      <c r="F129" s="2"/>
      <c r="G129" s="2"/>
      <c r="H129" s="2"/>
    </row>
    <row r="130">
      <c r="B130" s="2"/>
      <c r="C130" s="2"/>
      <c r="D130" s="2"/>
      <c r="E130" s="58"/>
      <c r="F130" s="2"/>
      <c r="G130" s="2"/>
      <c r="H130" s="2"/>
    </row>
    <row r="131">
      <c r="B131" s="2"/>
      <c r="C131" s="2"/>
      <c r="D131" s="2"/>
      <c r="E131" s="58"/>
      <c r="F131" s="2"/>
      <c r="G131" s="2"/>
      <c r="H131" s="2"/>
    </row>
    <row r="132">
      <c r="B132" s="2"/>
      <c r="C132" s="2"/>
      <c r="D132" s="2"/>
      <c r="E132" s="58"/>
      <c r="F132" s="2"/>
      <c r="G132" s="2"/>
      <c r="H132" s="2"/>
    </row>
    <row r="133">
      <c r="B133" s="2"/>
      <c r="C133" s="2"/>
      <c r="D133" s="2"/>
      <c r="E133" s="58"/>
      <c r="F133" s="2"/>
      <c r="G133" s="2"/>
      <c r="H133" s="2"/>
    </row>
    <row r="134">
      <c r="B134" s="2"/>
      <c r="C134" s="2"/>
      <c r="D134" s="2"/>
      <c r="E134" s="58"/>
      <c r="F134" s="2"/>
      <c r="G134" s="2"/>
      <c r="H134" s="2"/>
    </row>
    <row r="135">
      <c r="B135" s="2"/>
      <c r="C135" s="2"/>
      <c r="D135" s="2"/>
      <c r="E135" s="58"/>
      <c r="F135" s="2"/>
      <c r="G135" s="2"/>
      <c r="H135" s="2"/>
    </row>
    <row r="136">
      <c r="B136" s="2"/>
      <c r="C136" s="2"/>
      <c r="D136" s="2"/>
      <c r="E136" s="58"/>
      <c r="F136" s="2"/>
      <c r="G136" s="2"/>
      <c r="H136" s="2"/>
    </row>
    <row r="137">
      <c r="B137" s="2"/>
      <c r="C137" s="2"/>
      <c r="D137" s="2"/>
      <c r="E137" s="58"/>
      <c r="F137" s="2"/>
      <c r="G137" s="2"/>
      <c r="H137" s="2"/>
    </row>
    <row r="138">
      <c r="B138" s="2"/>
      <c r="C138" s="2"/>
      <c r="D138" s="2"/>
      <c r="E138" s="58"/>
      <c r="F138" s="2"/>
      <c r="G138" s="2"/>
      <c r="H138" s="2"/>
    </row>
    <row r="139">
      <c r="B139" s="2"/>
      <c r="C139" s="2"/>
      <c r="D139" s="2"/>
      <c r="E139" s="58"/>
      <c r="F139" s="2"/>
      <c r="G139" s="2"/>
      <c r="H139" s="2"/>
    </row>
    <row r="140">
      <c r="B140" s="2"/>
      <c r="C140" s="2"/>
      <c r="D140" s="2"/>
      <c r="E140" s="58"/>
      <c r="F140" s="2"/>
      <c r="G140" s="2"/>
      <c r="H140" s="2"/>
    </row>
    <row r="141">
      <c r="B141" s="2"/>
      <c r="C141" s="2"/>
      <c r="D141" s="2"/>
      <c r="E141" s="58"/>
      <c r="F141" s="2"/>
      <c r="G141" s="2"/>
      <c r="H141" s="2"/>
    </row>
    <row r="142">
      <c r="B142" s="2"/>
      <c r="C142" s="2"/>
      <c r="D142" s="2"/>
      <c r="E142" s="58"/>
      <c r="F142" s="2"/>
      <c r="G142" s="2"/>
      <c r="H142" s="2"/>
    </row>
    <row r="143">
      <c r="B143" s="2"/>
      <c r="C143" s="2"/>
      <c r="D143" s="2"/>
      <c r="E143" s="58"/>
      <c r="F143" s="2"/>
      <c r="G143" s="2"/>
      <c r="H143" s="2"/>
    </row>
    <row r="144">
      <c r="B144" s="2"/>
      <c r="C144" s="2"/>
      <c r="D144" s="2"/>
      <c r="E144" s="58"/>
      <c r="F144" s="2"/>
      <c r="G144" s="2"/>
      <c r="H144" s="2"/>
    </row>
    <row r="145">
      <c r="B145" s="2"/>
      <c r="C145" s="2"/>
      <c r="D145" s="2"/>
      <c r="E145" s="58"/>
      <c r="F145" s="2"/>
      <c r="G145" s="2"/>
      <c r="H145" s="2"/>
    </row>
    <row r="146">
      <c r="B146" s="2"/>
      <c r="C146" s="2"/>
      <c r="D146" s="2"/>
      <c r="E146" s="58"/>
      <c r="F146" s="2"/>
      <c r="G146" s="2"/>
      <c r="H146" s="2"/>
    </row>
    <row r="147">
      <c r="B147" s="2"/>
      <c r="C147" s="2"/>
      <c r="D147" s="2"/>
      <c r="E147" s="58"/>
      <c r="F147" s="2"/>
      <c r="G147" s="2"/>
      <c r="H147" s="2"/>
    </row>
    <row r="148">
      <c r="B148" s="2"/>
      <c r="C148" s="2"/>
      <c r="D148" s="2"/>
      <c r="E148" s="58"/>
      <c r="F148" s="2"/>
      <c r="G148" s="2"/>
      <c r="H148" s="2"/>
    </row>
    <row r="149">
      <c r="B149" s="2"/>
      <c r="C149" s="2"/>
      <c r="D149" s="2"/>
      <c r="E149" s="58"/>
      <c r="F149" s="2"/>
      <c r="G149" s="2"/>
      <c r="H149" s="2"/>
    </row>
    <row r="150">
      <c r="B150" s="2"/>
      <c r="C150" s="2"/>
      <c r="D150" s="2"/>
      <c r="E150" s="58"/>
      <c r="F150" s="2"/>
      <c r="G150" s="2"/>
      <c r="H150" s="2"/>
    </row>
    <row r="151">
      <c r="B151" s="2"/>
      <c r="C151" s="2"/>
      <c r="D151" s="2"/>
      <c r="E151" s="58"/>
      <c r="F151" s="2"/>
      <c r="G151" s="2"/>
      <c r="H151" s="2"/>
    </row>
    <row r="152">
      <c r="B152" s="2"/>
      <c r="C152" s="2"/>
      <c r="D152" s="2"/>
      <c r="E152" s="58"/>
      <c r="F152" s="2"/>
      <c r="G152" s="2"/>
      <c r="H152" s="2"/>
    </row>
    <row r="153">
      <c r="B153" s="2"/>
      <c r="C153" s="2"/>
      <c r="D153" s="2"/>
      <c r="E153" s="58"/>
      <c r="F153" s="2"/>
      <c r="G153" s="2"/>
      <c r="H153" s="2"/>
    </row>
    <row r="154">
      <c r="B154" s="2"/>
      <c r="C154" s="2"/>
      <c r="D154" s="2"/>
      <c r="E154" s="58"/>
      <c r="F154" s="2"/>
      <c r="G154" s="2"/>
      <c r="H154" s="2"/>
    </row>
    <row r="155">
      <c r="B155" s="2"/>
      <c r="C155" s="2"/>
      <c r="D155" s="2"/>
      <c r="E155" s="58"/>
      <c r="F155" s="2"/>
      <c r="G155" s="2"/>
      <c r="H155" s="2"/>
    </row>
    <row r="156">
      <c r="B156" s="2"/>
      <c r="C156" s="2"/>
      <c r="D156" s="2"/>
      <c r="E156" s="58"/>
      <c r="F156" s="2"/>
      <c r="G156" s="2"/>
      <c r="H156" s="2"/>
    </row>
    <row r="157">
      <c r="B157" s="2"/>
      <c r="C157" s="2"/>
      <c r="D157" s="2"/>
      <c r="E157" s="58"/>
      <c r="F157" s="2"/>
      <c r="G157" s="2"/>
      <c r="H157" s="2"/>
    </row>
    <row r="158">
      <c r="B158" s="2"/>
      <c r="C158" s="2"/>
      <c r="D158" s="2"/>
      <c r="E158" s="58"/>
      <c r="F158" s="2"/>
      <c r="G158" s="2"/>
      <c r="H158" s="2"/>
    </row>
    <row r="159">
      <c r="B159" s="2"/>
      <c r="C159" s="2"/>
      <c r="D159" s="2"/>
      <c r="E159" s="58"/>
      <c r="F159" s="2"/>
      <c r="G159" s="2"/>
      <c r="H159" s="2"/>
    </row>
    <row r="160">
      <c r="B160" s="2"/>
      <c r="C160" s="2"/>
      <c r="D160" s="2"/>
      <c r="E160" s="58"/>
      <c r="F160" s="2"/>
      <c r="G160" s="2"/>
      <c r="H160" s="2"/>
    </row>
    <row r="161">
      <c r="B161" s="2"/>
      <c r="C161" s="2"/>
      <c r="D161" s="2"/>
      <c r="E161" s="58"/>
      <c r="F161" s="2"/>
      <c r="G161" s="2"/>
      <c r="H161" s="2"/>
    </row>
    <row r="162">
      <c r="B162" s="2"/>
      <c r="C162" s="2"/>
      <c r="D162" s="2"/>
      <c r="E162" s="58"/>
      <c r="F162" s="2"/>
      <c r="G162" s="2"/>
      <c r="H162" s="2"/>
    </row>
    <row r="163">
      <c r="B163" s="2"/>
      <c r="C163" s="2"/>
      <c r="D163" s="2"/>
      <c r="E163" s="58"/>
      <c r="F163" s="2"/>
      <c r="G163" s="2"/>
      <c r="H163" s="2"/>
    </row>
    <row r="164">
      <c r="B164" s="2"/>
      <c r="C164" s="2"/>
      <c r="D164" s="2"/>
      <c r="E164" s="58"/>
      <c r="F164" s="2"/>
      <c r="G164" s="2"/>
      <c r="H164" s="2"/>
    </row>
    <row r="165">
      <c r="B165" s="2"/>
      <c r="C165" s="2"/>
      <c r="D165" s="2"/>
      <c r="E165" s="58"/>
      <c r="F165" s="2"/>
      <c r="G165" s="2"/>
      <c r="H165" s="2"/>
    </row>
    <row r="166">
      <c r="B166" s="2"/>
      <c r="C166" s="2"/>
      <c r="D166" s="2"/>
      <c r="E166" s="58"/>
      <c r="F166" s="2"/>
      <c r="G166" s="2"/>
      <c r="H166" s="2"/>
    </row>
    <row r="167">
      <c r="B167" s="2"/>
      <c r="C167" s="2"/>
      <c r="D167" s="2"/>
      <c r="E167" s="58"/>
      <c r="F167" s="2"/>
      <c r="G167" s="2"/>
      <c r="H167" s="2"/>
    </row>
    <row r="168">
      <c r="B168" s="2"/>
      <c r="C168" s="2"/>
      <c r="D168" s="2"/>
      <c r="E168" s="58"/>
      <c r="F168" s="2"/>
      <c r="G168" s="2"/>
      <c r="H168" s="2"/>
    </row>
    <row r="169">
      <c r="B169" s="2"/>
      <c r="C169" s="2"/>
      <c r="D169" s="2"/>
      <c r="E169" s="58"/>
      <c r="F169" s="2"/>
      <c r="G169" s="2"/>
      <c r="H169" s="2"/>
    </row>
    <row r="170">
      <c r="B170" s="2"/>
      <c r="C170" s="2"/>
      <c r="D170" s="2"/>
      <c r="E170" s="58"/>
      <c r="F170" s="2"/>
      <c r="G170" s="2"/>
      <c r="H170" s="2"/>
    </row>
    <row r="171">
      <c r="B171" s="2"/>
      <c r="C171" s="2"/>
      <c r="D171" s="2"/>
      <c r="E171" s="58"/>
      <c r="F171" s="2"/>
      <c r="G171" s="2"/>
      <c r="H171" s="2"/>
    </row>
    <row r="172">
      <c r="B172" s="2"/>
      <c r="C172" s="2"/>
      <c r="D172" s="2"/>
      <c r="E172" s="58"/>
      <c r="F172" s="2"/>
      <c r="G172" s="2"/>
      <c r="H172" s="2"/>
    </row>
    <row r="173">
      <c r="B173" s="2"/>
      <c r="C173" s="2"/>
      <c r="D173" s="2"/>
      <c r="E173" s="58"/>
      <c r="F173" s="2"/>
      <c r="G173" s="2"/>
      <c r="H173" s="2"/>
    </row>
    <row r="174">
      <c r="B174" s="2"/>
      <c r="C174" s="2"/>
      <c r="D174" s="2"/>
      <c r="E174" s="58"/>
      <c r="F174" s="2"/>
      <c r="G174" s="2"/>
      <c r="H174" s="2"/>
    </row>
    <row r="175">
      <c r="B175" s="2"/>
      <c r="C175" s="2"/>
      <c r="D175" s="2"/>
      <c r="E175" s="58"/>
      <c r="F175" s="2"/>
      <c r="G175" s="2"/>
      <c r="H175" s="2"/>
    </row>
    <row r="176">
      <c r="B176" s="2"/>
      <c r="C176" s="2"/>
      <c r="D176" s="2"/>
      <c r="E176" s="58"/>
      <c r="F176" s="2"/>
      <c r="G176" s="2"/>
      <c r="H176" s="2"/>
    </row>
    <row r="177">
      <c r="B177" s="2"/>
      <c r="C177" s="2"/>
      <c r="D177" s="2"/>
      <c r="E177" s="58"/>
      <c r="F177" s="2"/>
      <c r="G177" s="2"/>
      <c r="H177" s="2"/>
    </row>
    <row r="178">
      <c r="B178" s="2"/>
      <c r="C178" s="2"/>
      <c r="D178" s="2"/>
      <c r="E178" s="58"/>
      <c r="F178" s="2"/>
      <c r="G178" s="2"/>
      <c r="H178" s="2"/>
    </row>
    <row r="179">
      <c r="B179" s="2"/>
      <c r="C179" s="2"/>
      <c r="D179" s="2"/>
      <c r="E179" s="58"/>
      <c r="F179" s="2"/>
      <c r="G179" s="2"/>
      <c r="H179" s="2"/>
    </row>
    <row r="180">
      <c r="B180" s="2"/>
      <c r="C180" s="2"/>
      <c r="D180" s="2"/>
      <c r="E180" s="58"/>
      <c r="F180" s="2"/>
      <c r="G180" s="2"/>
      <c r="H180" s="2"/>
    </row>
    <row r="181">
      <c r="B181" s="2"/>
      <c r="C181" s="2"/>
      <c r="D181" s="2"/>
      <c r="E181" s="58"/>
      <c r="F181" s="2"/>
      <c r="G181" s="2"/>
      <c r="H181" s="2"/>
    </row>
    <row r="182">
      <c r="B182" s="2"/>
      <c r="C182" s="2"/>
      <c r="D182" s="2"/>
      <c r="E182" s="58"/>
      <c r="F182" s="2"/>
      <c r="G182" s="2"/>
      <c r="H182" s="2"/>
    </row>
    <row r="183">
      <c r="B183" s="2"/>
      <c r="C183" s="2"/>
      <c r="D183" s="2"/>
      <c r="E183" s="58"/>
      <c r="F183" s="2"/>
      <c r="G183" s="2"/>
      <c r="H183" s="2"/>
    </row>
    <row r="184">
      <c r="B184" s="2"/>
      <c r="C184" s="2"/>
      <c r="D184" s="2"/>
      <c r="E184" s="58"/>
      <c r="F184" s="2"/>
      <c r="G184" s="2"/>
      <c r="H184" s="2"/>
    </row>
    <row r="185">
      <c r="B185" s="2"/>
      <c r="C185" s="2"/>
      <c r="D185" s="2"/>
      <c r="E185" s="58"/>
      <c r="F185" s="2"/>
      <c r="G185" s="2"/>
      <c r="H185" s="2"/>
    </row>
    <row r="186">
      <c r="B186" s="2"/>
      <c r="C186" s="2"/>
      <c r="D186" s="2"/>
      <c r="E186" s="58"/>
      <c r="F186" s="2"/>
      <c r="G186" s="2"/>
      <c r="H186" s="2"/>
    </row>
    <row r="187">
      <c r="B187" s="2"/>
      <c r="C187" s="2"/>
      <c r="D187" s="2"/>
      <c r="E187" s="58"/>
      <c r="F187" s="2"/>
      <c r="G187" s="2"/>
      <c r="H187" s="2"/>
    </row>
    <row r="188">
      <c r="B188" s="2"/>
      <c r="C188" s="2"/>
      <c r="D188" s="2"/>
      <c r="E188" s="58"/>
      <c r="F188" s="2"/>
      <c r="G188" s="2"/>
      <c r="H188" s="2"/>
    </row>
    <row r="189">
      <c r="B189" s="2"/>
      <c r="C189" s="2"/>
      <c r="D189" s="2"/>
      <c r="E189" s="58"/>
      <c r="F189" s="2"/>
      <c r="G189" s="2"/>
      <c r="H189" s="2"/>
    </row>
    <row r="190">
      <c r="B190" s="2"/>
      <c r="C190" s="2"/>
      <c r="D190" s="2"/>
      <c r="E190" s="58"/>
      <c r="F190" s="2"/>
      <c r="G190" s="2"/>
      <c r="H190" s="2"/>
    </row>
    <row r="191">
      <c r="B191" s="2"/>
      <c r="C191" s="2"/>
      <c r="D191" s="2"/>
      <c r="E191" s="58"/>
      <c r="F191" s="2"/>
      <c r="G191" s="2"/>
      <c r="H191" s="2"/>
    </row>
    <row r="192">
      <c r="B192" s="2"/>
      <c r="C192" s="2"/>
      <c r="D192" s="2"/>
      <c r="E192" s="58"/>
      <c r="F192" s="2"/>
      <c r="G192" s="2"/>
      <c r="H192" s="2"/>
    </row>
    <row r="193">
      <c r="B193" s="2"/>
      <c r="C193" s="2"/>
      <c r="D193" s="2"/>
      <c r="E193" s="58"/>
      <c r="F193" s="2"/>
      <c r="G193" s="2"/>
      <c r="H193" s="2"/>
    </row>
    <row r="194">
      <c r="B194" s="2"/>
      <c r="C194" s="2"/>
      <c r="D194" s="2"/>
      <c r="E194" s="58"/>
      <c r="F194" s="2"/>
      <c r="G194" s="2"/>
      <c r="H194" s="2"/>
    </row>
    <row r="195">
      <c r="B195" s="2"/>
      <c r="C195" s="2"/>
      <c r="D195" s="2"/>
      <c r="E195" s="58"/>
      <c r="F195" s="2"/>
      <c r="G195" s="2"/>
      <c r="H195" s="2"/>
    </row>
    <row r="196">
      <c r="B196" s="2"/>
      <c r="C196" s="2"/>
      <c r="D196" s="2"/>
      <c r="E196" s="58"/>
      <c r="F196" s="2"/>
      <c r="G196" s="2"/>
      <c r="H196" s="2"/>
    </row>
    <row r="197">
      <c r="B197" s="2"/>
      <c r="C197" s="2"/>
      <c r="D197" s="2"/>
      <c r="E197" s="58"/>
      <c r="F197" s="2"/>
      <c r="G197" s="2"/>
      <c r="H197" s="2"/>
    </row>
    <row r="198">
      <c r="B198" s="2"/>
      <c r="C198" s="2"/>
      <c r="D198" s="2"/>
      <c r="E198" s="58"/>
      <c r="F198" s="2"/>
      <c r="G198" s="2"/>
      <c r="H198" s="2"/>
    </row>
    <row r="199">
      <c r="B199" s="2"/>
      <c r="C199" s="2"/>
      <c r="D199" s="2"/>
      <c r="E199" s="58"/>
      <c r="F199" s="2"/>
      <c r="G199" s="2"/>
      <c r="H199" s="2"/>
    </row>
    <row r="200">
      <c r="B200" s="2"/>
      <c r="C200" s="2"/>
      <c r="D200" s="2"/>
      <c r="E200" s="58"/>
      <c r="F200" s="2"/>
      <c r="G200" s="2"/>
      <c r="H200" s="2"/>
    </row>
    <row r="201">
      <c r="B201" s="2"/>
      <c r="C201" s="2"/>
      <c r="D201" s="2"/>
      <c r="E201" s="58"/>
      <c r="F201" s="2"/>
      <c r="G201" s="2"/>
      <c r="H201" s="2"/>
    </row>
    <row r="202">
      <c r="B202" s="2"/>
      <c r="C202" s="2"/>
      <c r="D202" s="2"/>
      <c r="E202" s="58"/>
      <c r="F202" s="2"/>
      <c r="G202" s="2"/>
      <c r="H202" s="2"/>
    </row>
    <row r="203">
      <c r="B203" s="2"/>
      <c r="C203" s="2"/>
      <c r="D203" s="2"/>
      <c r="E203" s="58"/>
      <c r="F203" s="2"/>
      <c r="G203" s="2"/>
      <c r="H203" s="2"/>
    </row>
    <row r="204">
      <c r="B204" s="2"/>
      <c r="C204" s="2"/>
      <c r="D204" s="2"/>
      <c r="E204" s="58"/>
      <c r="F204" s="2"/>
      <c r="G204" s="2"/>
      <c r="H204" s="2"/>
    </row>
    <row r="205">
      <c r="B205" s="2"/>
      <c r="C205" s="2"/>
      <c r="D205" s="2"/>
      <c r="E205" s="58"/>
      <c r="F205" s="2"/>
      <c r="G205" s="2"/>
      <c r="H205" s="2"/>
    </row>
    <row r="206">
      <c r="B206" s="2"/>
      <c r="C206" s="2"/>
      <c r="D206" s="2"/>
      <c r="E206" s="58"/>
      <c r="F206" s="2"/>
      <c r="G206" s="2"/>
      <c r="H206" s="2"/>
    </row>
    <row r="207">
      <c r="B207" s="2"/>
      <c r="C207" s="2"/>
      <c r="D207" s="2"/>
      <c r="E207" s="58"/>
      <c r="F207" s="2"/>
      <c r="G207" s="2"/>
      <c r="H207" s="2"/>
    </row>
    <row r="208">
      <c r="B208" s="2"/>
      <c r="C208" s="2"/>
      <c r="D208" s="2"/>
      <c r="E208" s="58"/>
      <c r="F208" s="2"/>
      <c r="G208" s="2"/>
      <c r="H208" s="2"/>
    </row>
    <row r="209">
      <c r="B209" s="2"/>
      <c r="C209" s="2"/>
      <c r="D209" s="2"/>
      <c r="E209" s="58"/>
      <c r="F209" s="2"/>
      <c r="G209" s="2"/>
      <c r="H209" s="2"/>
    </row>
    <row r="210">
      <c r="B210" s="2"/>
      <c r="C210" s="2"/>
      <c r="D210" s="2"/>
      <c r="E210" s="58"/>
      <c r="F210" s="2"/>
      <c r="G210" s="2"/>
      <c r="H210" s="2"/>
    </row>
    <row r="211">
      <c r="B211" s="2"/>
      <c r="C211" s="2"/>
      <c r="D211" s="2"/>
      <c r="E211" s="58"/>
      <c r="F211" s="2"/>
      <c r="G211" s="2"/>
      <c r="H211" s="2"/>
    </row>
    <row r="212">
      <c r="B212" s="2"/>
      <c r="C212" s="2"/>
      <c r="D212" s="2"/>
      <c r="E212" s="58"/>
      <c r="F212" s="2"/>
      <c r="G212" s="2"/>
      <c r="H212" s="2"/>
    </row>
    <row r="213">
      <c r="B213" s="2"/>
      <c r="C213" s="2"/>
      <c r="D213" s="2"/>
      <c r="E213" s="58"/>
      <c r="F213" s="2"/>
      <c r="G213" s="2"/>
      <c r="H213" s="2"/>
    </row>
    <row r="214">
      <c r="B214" s="2"/>
      <c r="C214" s="2"/>
      <c r="D214" s="2"/>
      <c r="E214" s="58"/>
      <c r="F214" s="2"/>
      <c r="G214" s="2"/>
      <c r="H214" s="2"/>
    </row>
    <row r="215">
      <c r="B215" s="2"/>
      <c r="C215" s="2"/>
      <c r="D215" s="2"/>
      <c r="E215" s="58"/>
      <c r="F215" s="2"/>
      <c r="G215" s="2"/>
      <c r="H215" s="2"/>
    </row>
    <row r="216">
      <c r="B216" s="2"/>
      <c r="C216" s="2"/>
      <c r="D216" s="2"/>
      <c r="E216" s="58"/>
      <c r="F216" s="2"/>
      <c r="G216" s="2"/>
      <c r="H216" s="2"/>
    </row>
    <row r="217">
      <c r="B217" s="2"/>
      <c r="C217" s="2"/>
      <c r="D217" s="2"/>
      <c r="E217" s="58"/>
      <c r="F217" s="2"/>
      <c r="G217" s="2"/>
      <c r="H217" s="2"/>
    </row>
    <row r="218">
      <c r="B218" s="2"/>
      <c r="C218" s="2"/>
      <c r="D218" s="2"/>
      <c r="E218" s="58"/>
      <c r="F218" s="2"/>
      <c r="G218" s="2"/>
      <c r="H218" s="2"/>
    </row>
    <row r="219">
      <c r="B219" s="2"/>
      <c r="C219" s="2"/>
      <c r="D219" s="2"/>
      <c r="E219" s="58"/>
      <c r="F219" s="2"/>
      <c r="G219" s="2"/>
      <c r="H219" s="2"/>
    </row>
    <row r="220">
      <c r="B220" s="2"/>
      <c r="C220" s="2"/>
      <c r="D220" s="2"/>
      <c r="E220" s="58"/>
      <c r="F220" s="2"/>
      <c r="G220" s="2"/>
      <c r="H220" s="2"/>
    </row>
    <row r="221">
      <c r="B221" s="2"/>
      <c r="C221" s="2"/>
      <c r="D221" s="2"/>
      <c r="E221" s="58"/>
      <c r="F221" s="2"/>
      <c r="G221" s="2"/>
      <c r="H221" s="2"/>
    </row>
    <row r="222">
      <c r="B222" s="2"/>
      <c r="C222" s="2"/>
      <c r="D222" s="2"/>
      <c r="E222" s="58"/>
      <c r="F222" s="2"/>
      <c r="G222" s="2"/>
      <c r="H222" s="2"/>
    </row>
    <row r="223">
      <c r="B223" s="2"/>
      <c r="C223" s="2"/>
      <c r="D223" s="2"/>
      <c r="E223" s="58"/>
      <c r="F223" s="2"/>
      <c r="G223" s="2"/>
      <c r="H223" s="2"/>
    </row>
    <row r="224">
      <c r="B224" s="2"/>
      <c r="C224" s="2"/>
      <c r="D224" s="2"/>
      <c r="E224" s="58"/>
      <c r="F224" s="2"/>
      <c r="G224" s="2"/>
      <c r="H224" s="2"/>
    </row>
    <row r="225">
      <c r="B225" s="2"/>
      <c r="C225" s="2"/>
      <c r="D225" s="2"/>
      <c r="E225" s="58"/>
      <c r="F225" s="2"/>
      <c r="G225" s="2"/>
      <c r="H225" s="2"/>
    </row>
    <row r="226">
      <c r="B226" s="2"/>
      <c r="C226" s="2"/>
      <c r="D226" s="2"/>
      <c r="E226" s="58"/>
      <c r="F226" s="2"/>
      <c r="G226" s="2"/>
      <c r="H226" s="2"/>
    </row>
    <row r="227">
      <c r="B227" s="2"/>
      <c r="C227" s="2"/>
      <c r="D227" s="2"/>
      <c r="E227" s="58"/>
      <c r="F227" s="2"/>
      <c r="G227" s="2"/>
      <c r="H227" s="2"/>
    </row>
    <row r="228">
      <c r="B228" s="2"/>
      <c r="C228" s="2"/>
      <c r="D228" s="2"/>
      <c r="E228" s="58"/>
      <c r="F228" s="2"/>
      <c r="G228" s="2"/>
      <c r="H228" s="2"/>
    </row>
    <row r="229">
      <c r="B229" s="2"/>
      <c r="C229" s="2"/>
      <c r="D229" s="2"/>
      <c r="E229" s="58"/>
      <c r="F229" s="2"/>
      <c r="G229" s="2"/>
      <c r="H229" s="2"/>
    </row>
    <row r="230">
      <c r="B230" s="2"/>
      <c r="C230" s="2"/>
      <c r="D230" s="2"/>
      <c r="E230" s="58"/>
      <c r="F230" s="2"/>
      <c r="G230" s="2"/>
      <c r="H230" s="2"/>
    </row>
    <row r="231">
      <c r="B231" s="2"/>
      <c r="C231" s="2"/>
      <c r="D231" s="2"/>
      <c r="E231" s="58"/>
      <c r="F231" s="2"/>
      <c r="G231" s="2"/>
      <c r="H231" s="2"/>
    </row>
    <row r="232">
      <c r="B232" s="2"/>
      <c r="C232" s="2"/>
      <c r="D232" s="2"/>
      <c r="E232" s="58"/>
      <c r="F232" s="2"/>
      <c r="G232" s="2"/>
      <c r="H232" s="2"/>
    </row>
    <row r="233">
      <c r="B233" s="2"/>
      <c r="C233" s="2"/>
      <c r="D233" s="2"/>
      <c r="E233" s="58"/>
      <c r="F233" s="2"/>
      <c r="G233" s="2"/>
      <c r="H233" s="2"/>
    </row>
    <row r="234">
      <c r="B234" s="2"/>
      <c r="C234" s="2"/>
      <c r="D234" s="2"/>
      <c r="E234" s="58"/>
      <c r="F234" s="2"/>
      <c r="G234" s="2"/>
      <c r="H234" s="2"/>
    </row>
    <row r="235">
      <c r="B235" s="2"/>
      <c r="C235" s="2"/>
      <c r="D235" s="2"/>
      <c r="E235" s="58"/>
      <c r="F235" s="2"/>
      <c r="G235" s="2"/>
      <c r="H235" s="2"/>
    </row>
    <row r="236">
      <c r="B236" s="2"/>
      <c r="C236" s="2"/>
      <c r="D236" s="2"/>
      <c r="E236" s="58"/>
      <c r="F236" s="2"/>
      <c r="G236" s="2"/>
      <c r="H236" s="2"/>
    </row>
    <row r="237">
      <c r="B237" s="2"/>
      <c r="C237" s="2"/>
      <c r="D237" s="2"/>
      <c r="E237" s="58"/>
      <c r="F237" s="2"/>
      <c r="G237" s="2"/>
      <c r="H237" s="2"/>
    </row>
    <row r="238">
      <c r="B238" s="2"/>
      <c r="C238" s="2"/>
      <c r="D238" s="2"/>
      <c r="E238" s="58"/>
      <c r="F238" s="2"/>
      <c r="G238" s="2"/>
      <c r="H238" s="2"/>
    </row>
    <row r="239">
      <c r="B239" s="2"/>
      <c r="C239" s="2"/>
      <c r="D239" s="2"/>
      <c r="E239" s="58"/>
      <c r="F239" s="2"/>
      <c r="G239" s="2"/>
      <c r="H239" s="2"/>
    </row>
    <row r="240">
      <c r="B240" s="2"/>
      <c r="C240" s="2"/>
      <c r="D240" s="2"/>
      <c r="E240" s="58"/>
      <c r="F240" s="2"/>
      <c r="G240" s="2"/>
      <c r="H240" s="2"/>
    </row>
    <row r="241">
      <c r="B241" s="2"/>
      <c r="C241" s="2"/>
      <c r="D241" s="2"/>
      <c r="E241" s="58"/>
      <c r="F241" s="2"/>
      <c r="G241" s="2"/>
      <c r="H241" s="2"/>
    </row>
    <row r="242">
      <c r="B242" s="2"/>
      <c r="C242" s="2"/>
      <c r="D242" s="2"/>
      <c r="E242" s="58"/>
      <c r="F242" s="2"/>
      <c r="G242" s="2"/>
      <c r="H242" s="2"/>
    </row>
    <row r="243">
      <c r="B243" s="2"/>
      <c r="C243" s="2"/>
      <c r="D243" s="2"/>
      <c r="E243" s="58"/>
      <c r="F243" s="2"/>
      <c r="G243" s="2"/>
      <c r="H243" s="2"/>
    </row>
    <row r="244">
      <c r="B244" s="2"/>
      <c r="C244" s="2"/>
      <c r="D244" s="2"/>
      <c r="E244" s="58"/>
      <c r="F244" s="2"/>
      <c r="G244" s="2"/>
      <c r="H244" s="2"/>
    </row>
    <row r="245">
      <c r="B245" s="2"/>
      <c r="C245" s="2"/>
      <c r="D245" s="2"/>
      <c r="E245" s="58"/>
      <c r="F245" s="2"/>
      <c r="G245" s="2"/>
      <c r="H245" s="2"/>
    </row>
    <row r="246">
      <c r="B246" s="2"/>
      <c r="C246" s="2"/>
      <c r="D246" s="2"/>
      <c r="E246" s="58"/>
      <c r="F246" s="2"/>
      <c r="G246" s="2"/>
      <c r="H246" s="2"/>
    </row>
    <row r="247">
      <c r="B247" s="2"/>
      <c r="C247" s="2"/>
      <c r="D247" s="2"/>
      <c r="E247" s="58"/>
      <c r="F247" s="2"/>
      <c r="G247" s="2"/>
      <c r="H247" s="2"/>
    </row>
    <row r="248">
      <c r="B248" s="2"/>
      <c r="C248" s="2"/>
      <c r="D248" s="2"/>
      <c r="E248" s="58"/>
      <c r="F248" s="2"/>
      <c r="G248" s="2"/>
      <c r="H248" s="2"/>
    </row>
    <row r="249">
      <c r="B249" s="2"/>
      <c r="C249" s="2"/>
      <c r="D249" s="2"/>
      <c r="E249" s="58"/>
      <c r="F249" s="2"/>
      <c r="G249" s="2"/>
      <c r="H249" s="2"/>
    </row>
    <row r="250">
      <c r="B250" s="2"/>
      <c r="C250" s="2"/>
      <c r="D250" s="2"/>
      <c r="E250" s="58"/>
      <c r="F250" s="2"/>
      <c r="G250" s="2"/>
      <c r="H250" s="2"/>
    </row>
    <row r="251">
      <c r="B251" s="2"/>
      <c r="C251" s="2"/>
      <c r="D251" s="2"/>
      <c r="E251" s="58"/>
      <c r="F251" s="2"/>
      <c r="G251" s="2"/>
      <c r="H251" s="2"/>
    </row>
    <row r="252">
      <c r="B252" s="2"/>
      <c r="C252" s="2"/>
      <c r="D252" s="2"/>
      <c r="E252" s="58"/>
      <c r="F252" s="2"/>
      <c r="G252" s="2"/>
      <c r="H252" s="2"/>
    </row>
    <row r="253">
      <c r="B253" s="2"/>
      <c r="C253" s="2"/>
      <c r="D253" s="2"/>
      <c r="E253" s="58"/>
      <c r="F253" s="2"/>
      <c r="G253" s="2"/>
      <c r="H253" s="2"/>
    </row>
    <row r="254">
      <c r="B254" s="2"/>
      <c r="C254" s="2"/>
      <c r="D254" s="2"/>
      <c r="E254" s="58"/>
      <c r="F254" s="2"/>
      <c r="G254" s="2"/>
      <c r="H254" s="2"/>
    </row>
    <row r="255">
      <c r="B255" s="2"/>
      <c r="C255" s="2"/>
      <c r="D255" s="2"/>
      <c r="E255" s="58"/>
      <c r="F255" s="2"/>
      <c r="G255" s="2"/>
      <c r="H255" s="2"/>
    </row>
    <row r="256">
      <c r="B256" s="2"/>
      <c r="C256" s="2"/>
      <c r="D256" s="2"/>
      <c r="E256" s="58"/>
      <c r="F256" s="2"/>
      <c r="G256" s="2"/>
      <c r="H256" s="2"/>
    </row>
    <row r="257">
      <c r="B257" s="2"/>
      <c r="C257" s="2"/>
      <c r="D257" s="2"/>
      <c r="E257" s="58"/>
      <c r="F257" s="2"/>
      <c r="G257" s="2"/>
      <c r="H257" s="2"/>
    </row>
    <row r="258">
      <c r="B258" s="2"/>
      <c r="C258" s="2"/>
      <c r="D258" s="2"/>
      <c r="E258" s="58"/>
      <c r="F258" s="2"/>
      <c r="G258" s="2"/>
      <c r="H258" s="2"/>
    </row>
    <row r="259">
      <c r="B259" s="2"/>
      <c r="C259" s="2"/>
      <c r="D259" s="2"/>
      <c r="E259" s="58"/>
      <c r="F259" s="2"/>
      <c r="G259" s="2"/>
      <c r="H259" s="2"/>
    </row>
    <row r="260">
      <c r="B260" s="2"/>
      <c r="C260" s="2"/>
      <c r="D260" s="2"/>
      <c r="E260" s="58"/>
      <c r="F260" s="2"/>
      <c r="G260" s="2"/>
      <c r="H260" s="2"/>
    </row>
    <row r="261">
      <c r="B261" s="2"/>
      <c r="C261" s="2"/>
      <c r="D261" s="2"/>
      <c r="E261" s="58"/>
      <c r="F261" s="2"/>
      <c r="G261" s="2"/>
      <c r="H261" s="2"/>
    </row>
    <row r="262">
      <c r="B262" s="2"/>
      <c r="C262" s="2"/>
      <c r="D262" s="2"/>
      <c r="E262" s="58"/>
      <c r="F262" s="2"/>
      <c r="G262" s="2"/>
      <c r="H262" s="2"/>
    </row>
    <row r="263">
      <c r="B263" s="2"/>
      <c r="C263" s="2"/>
      <c r="D263" s="2"/>
      <c r="E263" s="58"/>
      <c r="F263" s="2"/>
      <c r="G263" s="2"/>
      <c r="H263" s="2"/>
    </row>
    <row r="264">
      <c r="B264" s="2"/>
      <c r="C264" s="2"/>
      <c r="D264" s="2"/>
      <c r="E264" s="58"/>
      <c r="F264" s="2"/>
      <c r="G264" s="2"/>
      <c r="H264" s="2"/>
    </row>
    <row r="265">
      <c r="B265" s="2"/>
      <c r="C265" s="2"/>
      <c r="D265" s="2"/>
      <c r="E265" s="58"/>
      <c r="F265" s="2"/>
      <c r="G265" s="2"/>
      <c r="H265" s="2"/>
    </row>
    <row r="266">
      <c r="B266" s="2"/>
      <c r="C266" s="2"/>
      <c r="D266" s="2"/>
      <c r="E266" s="58"/>
      <c r="F266" s="2"/>
      <c r="G266" s="2"/>
      <c r="H266" s="2"/>
    </row>
    <row r="267">
      <c r="B267" s="2"/>
      <c r="C267" s="2"/>
      <c r="D267" s="2"/>
      <c r="E267" s="58"/>
      <c r="F267" s="2"/>
      <c r="G267" s="2"/>
      <c r="H267" s="2"/>
    </row>
    <row r="268">
      <c r="B268" s="2"/>
      <c r="C268" s="2"/>
      <c r="D268" s="2"/>
      <c r="E268" s="58"/>
      <c r="F268" s="2"/>
      <c r="G268" s="2"/>
      <c r="H268" s="2"/>
    </row>
    <row r="269">
      <c r="B269" s="2"/>
      <c r="C269" s="2"/>
      <c r="D269" s="2"/>
      <c r="E269" s="58"/>
      <c r="F269" s="2"/>
      <c r="G269" s="2"/>
      <c r="H269" s="2"/>
    </row>
    <row r="270">
      <c r="B270" s="2"/>
      <c r="C270" s="2"/>
      <c r="D270" s="2"/>
      <c r="E270" s="58"/>
      <c r="F270" s="2"/>
      <c r="G270" s="2"/>
      <c r="H270" s="2"/>
    </row>
    <row r="271">
      <c r="B271" s="2"/>
      <c r="C271" s="2"/>
      <c r="D271" s="2"/>
      <c r="E271" s="58"/>
      <c r="F271" s="2"/>
      <c r="G271" s="2"/>
      <c r="H271" s="2"/>
    </row>
    <row r="272">
      <c r="B272" s="2"/>
      <c r="C272" s="2"/>
      <c r="D272" s="2"/>
      <c r="E272" s="58"/>
      <c r="F272" s="2"/>
      <c r="G272" s="2"/>
      <c r="H272" s="2"/>
    </row>
    <row r="273">
      <c r="B273" s="2"/>
      <c r="C273" s="2"/>
      <c r="D273" s="2"/>
      <c r="E273" s="58"/>
      <c r="F273" s="2"/>
      <c r="G273" s="2"/>
      <c r="H273" s="2"/>
    </row>
    <row r="274">
      <c r="B274" s="2"/>
      <c r="C274" s="2"/>
      <c r="D274" s="2"/>
      <c r="E274" s="58"/>
      <c r="F274" s="2"/>
      <c r="G274" s="2"/>
      <c r="H274" s="2"/>
    </row>
    <row r="275">
      <c r="B275" s="2"/>
      <c r="C275" s="2"/>
      <c r="D275" s="2"/>
      <c r="E275" s="58"/>
      <c r="F275" s="2"/>
      <c r="G275" s="2"/>
      <c r="H275" s="2"/>
    </row>
    <row r="276">
      <c r="B276" s="2"/>
      <c r="C276" s="2"/>
      <c r="D276" s="2"/>
      <c r="E276" s="58"/>
      <c r="F276" s="2"/>
      <c r="G276" s="2"/>
      <c r="H276" s="2"/>
    </row>
    <row r="277">
      <c r="B277" s="2"/>
      <c r="C277" s="2"/>
      <c r="D277" s="2"/>
      <c r="E277" s="58"/>
      <c r="F277" s="2"/>
      <c r="G277" s="2"/>
      <c r="H277" s="2"/>
    </row>
    <row r="278">
      <c r="B278" s="2"/>
      <c r="C278" s="2"/>
      <c r="D278" s="2"/>
      <c r="E278" s="58"/>
      <c r="F278" s="2"/>
      <c r="G278" s="2"/>
      <c r="H278" s="2"/>
    </row>
    <row r="279">
      <c r="B279" s="2"/>
      <c r="C279" s="2"/>
      <c r="D279" s="2"/>
      <c r="E279" s="58"/>
      <c r="F279" s="2"/>
      <c r="G279" s="2"/>
      <c r="H279" s="2"/>
    </row>
    <row r="280">
      <c r="B280" s="2"/>
      <c r="C280" s="2"/>
      <c r="D280" s="2"/>
      <c r="E280" s="58"/>
      <c r="F280" s="2"/>
      <c r="G280" s="2"/>
      <c r="H280" s="2"/>
    </row>
    <row r="281">
      <c r="B281" s="2"/>
      <c r="C281" s="2"/>
      <c r="D281" s="2"/>
      <c r="E281" s="58"/>
      <c r="F281" s="2"/>
      <c r="G281" s="2"/>
      <c r="H281" s="2"/>
    </row>
    <row r="282">
      <c r="B282" s="2"/>
      <c r="C282" s="2"/>
      <c r="D282" s="2"/>
      <c r="E282" s="58"/>
      <c r="F282" s="2"/>
      <c r="G282" s="2"/>
      <c r="H282" s="2"/>
    </row>
    <row r="283">
      <c r="B283" s="2"/>
      <c r="C283" s="2"/>
      <c r="D283" s="2"/>
      <c r="E283" s="58"/>
      <c r="F283" s="2"/>
      <c r="G283" s="2"/>
      <c r="H283" s="2"/>
    </row>
    <row r="284">
      <c r="B284" s="2"/>
      <c r="C284" s="2"/>
      <c r="D284" s="2"/>
      <c r="E284" s="58"/>
      <c r="F284" s="2"/>
      <c r="G284" s="2"/>
      <c r="H284" s="2"/>
    </row>
    <row r="285">
      <c r="B285" s="2"/>
      <c r="C285" s="2"/>
      <c r="D285" s="2"/>
      <c r="E285" s="58"/>
      <c r="F285" s="2"/>
      <c r="G285" s="2"/>
      <c r="H285" s="2"/>
    </row>
    <row r="286">
      <c r="B286" s="2"/>
      <c r="C286" s="2"/>
      <c r="D286" s="2"/>
      <c r="E286" s="58"/>
      <c r="F286" s="2"/>
      <c r="G286" s="2"/>
      <c r="H286" s="2"/>
    </row>
    <row r="287">
      <c r="B287" s="2"/>
      <c r="C287" s="2"/>
      <c r="D287" s="2"/>
      <c r="E287" s="58"/>
      <c r="F287" s="2"/>
      <c r="G287" s="2"/>
      <c r="H287" s="2"/>
    </row>
    <row r="288">
      <c r="B288" s="2"/>
      <c r="C288" s="2"/>
      <c r="D288" s="2"/>
      <c r="E288" s="58"/>
      <c r="F288" s="2"/>
      <c r="G288" s="2"/>
      <c r="H288" s="2"/>
    </row>
    <row r="289">
      <c r="B289" s="2"/>
      <c r="C289" s="2"/>
      <c r="D289" s="2"/>
      <c r="E289" s="58"/>
      <c r="F289" s="2"/>
      <c r="G289" s="2"/>
      <c r="H289" s="2"/>
    </row>
    <row r="290">
      <c r="B290" s="2"/>
      <c r="C290" s="2"/>
      <c r="D290" s="2"/>
      <c r="E290" s="58"/>
      <c r="F290" s="2"/>
      <c r="G290" s="2"/>
      <c r="H290" s="2"/>
    </row>
    <row r="291">
      <c r="B291" s="2"/>
      <c r="C291" s="2"/>
      <c r="D291" s="2"/>
      <c r="E291" s="58"/>
      <c r="F291" s="2"/>
      <c r="G291" s="2"/>
      <c r="H291" s="2"/>
    </row>
    <row r="292">
      <c r="B292" s="2"/>
      <c r="C292" s="2"/>
      <c r="D292" s="2"/>
      <c r="E292" s="58"/>
      <c r="F292" s="2"/>
      <c r="G292" s="2"/>
      <c r="H292" s="2"/>
    </row>
    <row r="293">
      <c r="B293" s="2"/>
      <c r="C293" s="2"/>
      <c r="D293" s="2"/>
      <c r="E293" s="58"/>
      <c r="F293" s="2"/>
      <c r="G293" s="2"/>
      <c r="H293" s="2"/>
    </row>
    <row r="294">
      <c r="B294" s="2"/>
      <c r="C294" s="2"/>
      <c r="D294" s="2"/>
      <c r="E294" s="58"/>
      <c r="F294" s="2"/>
      <c r="G294" s="2"/>
      <c r="H294" s="2"/>
    </row>
    <row r="295">
      <c r="B295" s="2"/>
      <c r="C295" s="2"/>
      <c r="D295" s="2"/>
      <c r="E295" s="58"/>
      <c r="F295" s="2"/>
      <c r="G295" s="2"/>
      <c r="H295" s="2"/>
    </row>
    <row r="296">
      <c r="B296" s="2"/>
      <c r="C296" s="2"/>
      <c r="D296" s="2"/>
      <c r="E296" s="58"/>
      <c r="F296" s="2"/>
      <c r="G296" s="2"/>
      <c r="H296" s="2"/>
    </row>
    <row r="297">
      <c r="B297" s="2"/>
      <c r="C297" s="2"/>
      <c r="D297" s="2"/>
      <c r="E297" s="58"/>
      <c r="F297" s="2"/>
      <c r="G297" s="2"/>
      <c r="H297" s="2"/>
    </row>
    <row r="298">
      <c r="B298" s="2"/>
      <c r="C298" s="2"/>
      <c r="D298" s="2"/>
      <c r="E298" s="58"/>
      <c r="F298" s="2"/>
      <c r="G298" s="2"/>
      <c r="H298" s="2"/>
    </row>
    <row r="299">
      <c r="B299" s="2"/>
      <c r="C299" s="2"/>
      <c r="D299" s="2"/>
      <c r="E299" s="58"/>
      <c r="F299" s="2"/>
      <c r="G299" s="2"/>
      <c r="H299" s="2"/>
    </row>
    <row r="300">
      <c r="B300" s="2"/>
      <c r="C300" s="2"/>
      <c r="D300" s="2"/>
      <c r="E300" s="58"/>
      <c r="F300" s="2"/>
      <c r="G300" s="2"/>
      <c r="H300" s="2"/>
    </row>
    <row r="301">
      <c r="B301" s="2"/>
      <c r="C301" s="2"/>
      <c r="D301" s="2"/>
      <c r="E301" s="58"/>
      <c r="F301" s="2"/>
      <c r="G301" s="2"/>
      <c r="H301" s="2"/>
    </row>
    <row r="302">
      <c r="B302" s="2"/>
      <c r="C302" s="2"/>
      <c r="D302" s="2"/>
      <c r="E302" s="58"/>
      <c r="F302" s="2"/>
      <c r="G302" s="2"/>
      <c r="H302" s="2"/>
    </row>
    <row r="303">
      <c r="B303" s="2"/>
      <c r="C303" s="2"/>
      <c r="D303" s="2"/>
      <c r="E303" s="58"/>
      <c r="F303" s="2"/>
      <c r="G303" s="2"/>
      <c r="H303" s="2"/>
    </row>
    <row r="304">
      <c r="B304" s="2"/>
      <c r="C304" s="2"/>
      <c r="D304" s="2"/>
      <c r="E304" s="58"/>
      <c r="F304" s="2"/>
      <c r="G304" s="2"/>
      <c r="H304" s="2"/>
    </row>
    <row r="305">
      <c r="B305" s="2"/>
      <c r="C305" s="2"/>
      <c r="D305" s="2"/>
      <c r="E305" s="58"/>
      <c r="F305" s="2"/>
      <c r="G305" s="2"/>
      <c r="H305" s="2"/>
    </row>
    <row r="306">
      <c r="B306" s="2"/>
      <c r="C306" s="2"/>
      <c r="D306" s="2"/>
      <c r="E306" s="58"/>
      <c r="F306" s="2"/>
      <c r="G306" s="2"/>
      <c r="H306" s="2"/>
    </row>
    <row r="307">
      <c r="B307" s="2"/>
      <c r="C307" s="2"/>
      <c r="D307" s="2"/>
      <c r="E307" s="58"/>
      <c r="F307" s="2"/>
      <c r="G307" s="2"/>
      <c r="H307" s="2"/>
    </row>
    <row r="308">
      <c r="B308" s="2"/>
      <c r="C308" s="2"/>
      <c r="D308" s="2"/>
      <c r="E308" s="58"/>
      <c r="F308" s="2"/>
      <c r="G308" s="2"/>
      <c r="H308" s="2"/>
    </row>
    <row r="309">
      <c r="B309" s="2"/>
      <c r="C309" s="2"/>
      <c r="D309" s="2"/>
      <c r="E309" s="58"/>
      <c r="F309" s="2"/>
      <c r="G309" s="2"/>
      <c r="H309" s="2"/>
    </row>
    <row r="310">
      <c r="B310" s="2"/>
      <c r="C310" s="2"/>
      <c r="D310" s="2"/>
      <c r="E310" s="58"/>
      <c r="F310" s="2"/>
      <c r="G310" s="2"/>
      <c r="H310" s="2"/>
    </row>
    <row r="311">
      <c r="B311" s="2"/>
      <c r="C311" s="2"/>
      <c r="D311" s="2"/>
      <c r="E311" s="58"/>
      <c r="F311" s="2"/>
      <c r="G311" s="2"/>
      <c r="H311" s="2"/>
    </row>
    <row r="312">
      <c r="B312" s="2"/>
      <c r="C312" s="2"/>
      <c r="D312" s="2"/>
      <c r="E312" s="58"/>
      <c r="F312" s="2"/>
      <c r="G312" s="2"/>
      <c r="H312" s="2"/>
    </row>
    <row r="313">
      <c r="B313" s="2"/>
      <c r="C313" s="2"/>
      <c r="D313" s="2"/>
      <c r="E313" s="58"/>
      <c r="F313" s="2"/>
      <c r="G313" s="2"/>
      <c r="H313" s="2"/>
    </row>
    <row r="314">
      <c r="B314" s="2"/>
      <c r="C314" s="2"/>
      <c r="D314" s="2"/>
      <c r="E314" s="58"/>
      <c r="F314" s="2"/>
      <c r="G314" s="2"/>
      <c r="H314" s="2"/>
    </row>
    <row r="315">
      <c r="B315" s="2"/>
      <c r="C315" s="2"/>
      <c r="D315" s="2"/>
      <c r="E315" s="58"/>
      <c r="F315" s="2"/>
      <c r="G315" s="2"/>
      <c r="H315" s="2"/>
    </row>
    <row r="316">
      <c r="B316" s="2"/>
      <c r="C316" s="2"/>
      <c r="D316" s="2"/>
      <c r="E316" s="58"/>
      <c r="F316" s="2"/>
      <c r="G316" s="2"/>
      <c r="H316" s="2"/>
    </row>
    <row r="317">
      <c r="B317" s="2"/>
      <c r="C317" s="2"/>
      <c r="D317" s="2"/>
      <c r="E317" s="58"/>
      <c r="F317" s="2"/>
      <c r="G317" s="2"/>
      <c r="H317" s="2"/>
    </row>
    <row r="318">
      <c r="B318" s="2"/>
      <c r="C318" s="2"/>
      <c r="D318" s="2"/>
      <c r="E318" s="58"/>
      <c r="F318" s="2"/>
      <c r="G318" s="2"/>
      <c r="H318" s="2"/>
    </row>
    <row r="319">
      <c r="B319" s="2"/>
      <c r="C319" s="2"/>
      <c r="D319" s="2"/>
      <c r="E319" s="58"/>
      <c r="F319" s="2"/>
      <c r="G319" s="2"/>
      <c r="H319" s="2"/>
    </row>
    <row r="320">
      <c r="B320" s="2"/>
      <c r="C320" s="2"/>
      <c r="D320" s="2"/>
      <c r="E320" s="58"/>
      <c r="F320" s="2"/>
      <c r="G320" s="2"/>
      <c r="H320" s="2"/>
    </row>
    <row r="321">
      <c r="B321" s="2"/>
      <c r="C321" s="2"/>
      <c r="D321" s="2"/>
      <c r="E321" s="58"/>
      <c r="F321" s="2"/>
      <c r="G321" s="2"/>
      <c r="H321" s="2"/>
    </row>
    <row r="322">
      <c r="B322" s="2"/>
      <c r="C322" s="2"/>
      <c r="D322" s="2"/>
      <c r="E322" s="58"/>
      <c r="F322" s="2"/>
      <c r="G322" s="2"/>
      <c r="H322" s="2"/>
    </row>
    <row r="323">
      <c r="B323" s="2"/>
      <c r="C323" s="2"/>
      <c r="D323" s="2"/>
      <c r="E323" s="58"/>
      <c r="F323" s="2"/>
      <c r="G323" s="2"/>
      <c r="H323" s="2"/>
    </row>
    <row r="324">
      <c r="B324" s="2"/>
      <c r="C324" s="2"/>
      <c r="D324" s="2"/>
      <c r="E324" s="58"/>
      <c r="F324" s="2"/>
      <c r="G324" s="2"/>
      <c r="H324" s="2"/>
    </row>
    <row r="325">
      <c r="B325" s="2"/>
      <c r="C325" s="2"/>
      <c r="D325" s="2"/>
      <c r="E325" s="58"/>
      <c r="F325" s="2"/>
      <c r="G325" s="2"/>
      <c r="H325" s="2"/>
    </row>
    <row r="326">
      <c r="B326" s="2"/>
      <c r="C326" s="2"/>
      <c r="D326" s="2"/>
      <c r="E326" s="58"/>
      <c r="F326" s="2"/>
      <c r="G326" s="2"/>
      <c r="H326" s="2"/>
    </row>
    <row r="327">
      <c r="B327" s="2"/>
      <c r="C327" s="2"/>
      <c r="D327" s="2"/>
      <c r="E327" s="58"/>
      <c r="F327" s="2"/>
      <c r="G327" s="2"/>
      <c r="H327" s="2"/>
    </row>
    <row r="328">
      <c r="B328" s="2"/>
      <c r="C328" s="2"/>
      <c r="D328" s="2"/>
      <c r="E328" s="58"/>
      <c r="F328" s="2"/>
      <c r="G328" s="2"/>
      <c r="H328" s="2"/>
    </row>
    <row r="329">
      <c r="B329" s="2"/>
      <c r="C329" s="2"/>
      <c r="D329" s="2"/>
      <c r="E329" s="58"/>
      <c r="F329" s="2"/>
      <c r="G329" s="2"/>
      <c r="H329" s="2"/>
    </row>
    <row r="330">
      <c r="B330" s="2"/>
      <c r="C330" s="2"/>
      <c r="D330" s="2"/>
      <c r="E330" s="58"/>
      <c r="F330" s="2"/>
      <c r="G330" s="2"/>
      <c r="H330" s="2"/>
    </row>
    <row r="331">
      <c r="B331" s="2"/>
      <c r="C331" s="2"/>
      <c r="D331" s="2"/>
      <c r="E331" s="58"/>
      <c r="F331" s="2"/>
      <c r="G331" s="2"/>
      <c r="H331" s="2"/>
    </row>
    <row r="332">
      <c r="B332" s="2"/>
      <c r="C332" s="2"/>
      <c r="D332" s="2"/>
      <c r="E332" s="58"/>
      <c r="F332" s="2"/>
      <c r="G332" s="2"/>
      <c r="H332" s="2"/>
    </row>
    <row r="333">
      <c r="B333" s="2"/>
      <c r="C333" s="2"/>
      <c r="D333" s="2"/>
      <c r="E333" s="58"/>
      <c r="F333" s="2"/>
      <c r="G333" s="2"/>
      <c r="H333" s="2"/>
    </row>
    <row r="334">
      <c r="B334" s="2"/>
      <c r="C334" s="2"/>
      <c r="D334" s="2"/>
      <c r="E334" s="58"/>
      <c r="F334" s="2"/>
      <c r="G334" s="2"/>
      <c r="H334" s="2"/>
    </row>
    <row r="335">
      <c r="B335" s="2"/>
      <c r="C335" s="2"/>
      <c r="D335" s="2"/>
      <c r="E335" s="58"/>
      <c r="F335" s="2"/>
      <c r="G335" s="2"/>
      <c r="H335" s="2"/>
    </row>
    <row r="336">
      <c r="B336" s="2"/>
      <c r="C336" s="2"/>
      <c r="D336" s="2"/>
      <c r="E336" s="58"/>
      <c r="F336" s="2"/>
      <c r="G336" s="2"/>
      <c r="H336" s="2"/>
    </row>
    <row r="337">
      <c r="B337" s="2"/>
      <c r="C337" s="2"/>
      <c r="D337" s="2"/>
      <c r="E337" s="58"/>
      <c r="F337" s="2"/>
      <c r="G337" s="2"/>
      <c r="H337" s="2"/>
    </row>
    <row r="338">
      <c r="B338" s="2"/>
      <c r="C338" s="2"/>
      <c r="D338" s="2"/>
      <c r="E338" s="58"/>
      <c r="F338" s="2"/>
      <c r="G338" s="2"/>
      <c r="H338" s="2"/>
    </row>
    <row r="339">
      <c r="B339" s="2"/>
      <c r="C339" s="2"/>
      <c r="D339" s="2"/>
      <c r="E339" s="58"/>
      <c r="F339" s="2"/>
      <c r="G339" s="2"/>
      <c r="H339" s="2"/>
    </row>
    <row r="340">
      <c r="B340" s="2"/>
      <c r="C340" s="2"/>
      <c r="D340" s="2"/>
      <c r="E340" s="58"/>
      <c r="F340" s="2"/>
      <c r="G340" s="2"/>
      <c r="H340" s="2"/>
    </row>
    <row r="341">
      <c r="B341" s="2"/>
      <c r="C341" s="2"/>
      <c r="D341" s="2"/>
      <c r="E341" s="58"/>
      <c r="F341" s="2"/>
      <c r="G341" s="2"/>
      <c r="H341" s="2"/>
    </row>
    <row r="342">
      <c r="B342" s="2"/>
      <c r="C342" s="2"/>
      <c r="D342" s="2"/>
      <c r="E342" s="58"/>
      <c r="F342" s="2"/>
      <c r="G342" s="2"/>
      <c r="H342" s="2"/>
    </row>
    <row r="343">
      <c r="B343" s="2"/>
      <c r="C343" s="2"/>
      <c r="D343" s="2"/>
      <c r="E343" s="58"/>
      <c r="F343" s="2"/>
      <c r="G343" s="2"/>
      <c r="H343" s="2"/>
    </row>
    <row r="344">
      <c r="B344" s="2"/>
      <c r="C344" s="2"/>
      <c r="D344" s="2"/>
      <c r="E344" s="58"/>
      <c r="F344" s="2"/>
      <c r="G344" s="2"/>
      <c r="H344" s="2"/>
    </row>
    <row r="345">
      <c r="B345" s="2"/>
      <c r="C345" s="2"/>
      <c r="D345" s="2"/>
      <c r="E345" s="58"/>
      <c r="F345" s="2"/>
      <c r="G345" s="2"/>
      <c r="H345" s="2"/>
    </row>
    <row r="346">
      <c r="B346" s="2"/>
      <c r="C346" s="2"/>
      <c r="D346" s="2"/>
      <c r="E346" s="58"/>
      <c r="F346" s="2"/>
      <c r="G346" s="2"/>
      <c r="H346" s="2"/>
    </row>
    <row r="347">
      <c r="B347" s="2"/>
      <c r="C347" s="2"/>
      <c r="D347" s="2"/>
      <c r="E347" s="58"/>
      <c r="F347" s="2"/>
      <c r="G347" s="2"/>
      <c r="H347" s="2"/>
    </row>
    <row r="348">
      <c r="B348" s="2"/>
      <c r="C348" s="2"/>
      <c r="D348" s="2"/>
      <c r="E348" s="58"/>
      <c r="F348" s="2"/>
      <c r="G348" s="2"/>
      <c r="H348" s="2"/>
    </row>
    <row r="349">
      <c r="B349" s="2"/>
      <c r="C349" s="2"/>
      <c r="D349" s="2"/>
      <c r="E349" s="58"/>
      <c r="F349" s="2"/>
      <c r="G349" s="2"/>
      <c r="H349" s="2"/>
    </row>
    <row r="350">
      <c r="B350" s="2"/>
      <c r="C350" s="2"/>
      <c r="D350" s="2"/>
      <c r="E350" s="58"/>
      <c r="F350" s="2"/>
      <c r="G350" s="2"/>
      <c r="H350" s="2"/>
    </row>
    <row r="351">
      <c r="B351" s="2"/>
      <c r="C351" s="2"/>
      <c r="D351" s="2"/>
      <c r="E351" s="58"/>
      <c r="F351" s="2"/>
      <c r="G351" s="2"/>
      <c r="H351" s="2"/>
    </row>
    <row r="352">
      <c r="B352" s="2"/>
      <c r="C352" s="2"/>
      <c r="D352" s="2"/>
      <c r="E352" s="58"/>
      <c r="F352" s="2"/>
      <c r="G352" s="2"/>
      <c r="H352" s="2"/>
    </row>
    <row r="353">
      <c r="B353" s="2"/>
      <c r="C353" s="2"/>
      <c r="D353" s="2"/>
      <c r="E353" s="58"/>
      <c r="F353" s="2"/>
      <c r="G353" s="2"/>
      <c r="H353" s="2"/>
    </row>
    <row r="354">
      <c r="B354" s="2"/>
      <c r="C354" s="2"/>
      <c r="D354" s="2"/>
      <c r="E354" s="58"/>
      <c r="F354" s="2"/>
      <c r="G354" s="2"/>
      <c r="H354" s="2"/>
    </row>
    <row r="355">
      <c r="B355" s="2"/>
      <c r="C355" s="2"/>
      <c r="D355" s="2"/>
      <c r="E355" s="58"/>
      <c r="F355" s="2"/>
      <c r="G355" s="2"/>
      <c r="H355" s="2"/>
    </row>
    <row r="356">
      <c r="B356" s="2"/>
      <c r="C356" s="2"/>
      <c r="D356" s="2"/>
      <c r="E356" s="58"/>
      <c r="F356" s="2"/>
      <c r="G356" s="2"/>
      <c r="H356" s="2"/>
    </row>
    <row r="357">
      <c r="B357" s="2"/>
      <c r="C357" s="2"/>
      <c r="D357" s="2"/>
      <c r="E357" s="58"/>
      <c r="F357" s="2"/>
      <c r="G357" s="2"/>
      <c r="H357" s="2"/>
    </row>
    <row r="358">
      <c r="B358" s="2"/>
      <c r="C358" s="2"/>
      <c r="D358" s="2"/>
      <c r="E358" s="58"/>
      <c r="F358" s="2"/>
      <c r="G358" s="2"/>
      <c r="H358" s="2"/>
    </row>
    <row r="359">
      <c r="B359" s="2"/>
      <c r="C359" s="2"/>
      <c r="D359" s="2"/>
      <c r="E359" s="58"/>
      <c r="F359" s="2"/>
      <c r="G359" s="2"/>
      <c r="H359" s="2"/>
    </row>
    <row r="360">
      <c r="B360" s="2"/>
      <c r="C360" s="2"/>
      <c r="D360" s="2"/>
      <c r="E360" s="58"/>
      <c r="F360" s="2"/>
      <c r="G360" s="2"/>
      <c r="H360" s="2"/>
    </row>
    <row r="361">
      <c r="B361" s="2"/>
      <c r="C361" s="2"/>
      <c r="D361" s="2"/>
      <c r="E361" s="58"/>
      <c r="F361" s="2"/>
      <c r="G361" s="2"/>
      <c r="H361" s="2"/>
    </row>
    <row r="362">
      <c r="B362" s="2"/>
      <c r="C362" s="2"/>
      <c r="D362" s="2"/>
      <c r="E362" s="58"/>
      <c r="F362" s="2"/>
      <c r="G362" s="2"/>
      <c r="H362" s="2"/>
    </row>
    <row r="363">
      <c r="B363" s="2"/>
      <c r="C363" s="2"/>
      <c r="D363" s="2"/>
      <c r="E363" s="58"/>
      <c r="F363" s="2"/>
      <c r="G363" s="2"/>
      <c r="H363" s="2"/>
    </row>
    <row r="364">
      <c r="B364" s="2"/>
      <c r="C364" s="2"/>
      <c r="D364" s="2"/>
      <c r="E364" s="58"/>
      <c r="F364" s="2"/>
      <c r="G364" s="2"/>
      <c r="H364" s="2"/>
    </row>
    <row r="365">
      <c r="B365" s="2"/>
      <c r="C365" s="2"/>
      <c r="D365" s="2"/>
      <c r="E365" s="58"/>
      <c r="F365" s="2"/>
      <c r="G365" s="2"/>
      <c r="H365" s="2"/>
    </row>
    <row r="366">
      <c r="B366" s="2"/>
      <c r="C366" s="2"/>
      <c r="D366" s="2"/>
      <c r="E366" s="58"/>
      <c r="F366" s="2"/>
      <c r="G366" s="2"/>
      <c r="H366" s="2"/>
    </row>
    <row r="367">
      <c r="B367" s="2"/>
      <c r="C367" s="2"/>
      <c r="D367" s="2"/>
      <c r="E367" s="58"/>
      <c r="F367" s="2"/>
      <c r="G367" s="2"/>
      <c r="H367" s="2"/>
    </row>
    <row r="368">
      <c r="B368" s="2"/>
      <c r="C368" s="2"/>
      <c r="D368" s="2"/>
      <c r="E368" s="58"/>
      <c r="F368" s="2"/>
      <c r="G368" s="2"/>
      <c r="H368" s="2"/>
    </row>
    <row r="369">
      <c r="B369" s="2"/>
      <c r="C369" s="2"/>
      <c r="D369" s="2"/>
      <c r="E369" s="58"/>
      <c r="F369" s="2"/>
      <c r="G369" s="2"/>
      <c r="H369" s="2"/>
    </row>
    <row r="370">
      <c r="B370" s="2"/>
      <c r="C370" s="2"/>
      <c r="D370" s="2"/>
      <c r="E370" s="58"/>
      <c r="F370" s="2"/>
      <c r="G370" s="2"/>
      <c r="H370" s="2"/>
    </row>
    <row r="371">
      <c r="B371" s="2"/>
      <c r="C371" s="2"/>
      <c r="D371" s="2"/>
      <c r="E371" s="58"/>
      <c r="F371" s="2"/>
      <c r="G371" s="2"/>
      <c r="H371" s="2"/>
    </row>
    <row r="372">
      <c r="B372" s="2"/>
      <c r="C372" s="2"/>
      <c r="D372" s="2"/>
      <c r="E372" s="58"/>
      <c r="F372" s="2"/>
      <c r="G372" s="2"/>
      <c r="H372" s="2"/>
    </row>
    <row r="373">
      <c r="B373" s="2"/>
      <c r="C373" s="2"/>
      <c r="D373" s="2"/>
      <c r="E373" s="58"/>
      <c r="F373" s="2"/>
      <c r="G373" s="2"/>
      <c r="H373" s="2"/>
    </row>
    <row r="374">
      <c r="B374" s="2"/>
      <c r="C374" s="2"/>
      <c r="D374" s="2"/>
      <c r="E374" s="58"/>
      <c r="F374" s="2"/>
      <c r="G374" s="2"/>
      <c r="H374" s="2"/>
    </row>
    <row r="375">
      <c r="B375" s="2"/>
      <c r="C375" s="2"/>
      <c r="D375" s="2"/>
      <c r="E375" s="58"/>
      <c r="F375" s="2"/>
      <c r="G375" s="2"/>
      <c r="H375" s="2"/>
    </row>
    <row r="376">
      <c r="B376" s="2"/>
      <c r="C376" s="2"/>
      <c r="D376" s="2"/>
      <c r="E376" s="58"/>
      <c r="F376" s="2"/>
      <c r="G376" s="2"/>
      <c r="H376" s="2"/>
    </row>
    <row r="377">
      <c r="B377" s="2"/>
      <c r="C377" s="2"/>
      <c r="D377" s="2"/>
      <c r="E377" s="58"/>
      <c r="F377" s="2"/>
      <c r="G377" s="2"/>
      <c r="H377" s="2"/>
    </row>
    <row r="378">
      <c r="B378" s="2"/>
      <c r="C378" s="2"/>
      <c r="D378" s="2"/>
      <c r="E378" s="58"/>
      <c r="F378" s="2"/>
      <c r="G378" s="2"/>
      <c r="H378" s="2"/>
    </row>
    <row r="379">
      <c r="B379" s="2"/>
      <c r="C379" s="2"/>
      <c r="D379" s="2"/>
      <c r="E379" s="58"/>
      <c r="F379" s="2"/>
      <c r="G379" s="2"/>
      <c r="H379" s="2"/>
    </row>
    <row r="380">
      <c r="B380" s="2"/>
      <c r="C380" s="2"/>
      <c r="D380" s="2"/>
      <c r="E380" s="58"/>
      <c r="F380" s="2"/>
      <c r="G380" s="2"/>
      <c r="H380" s="2"/>
    </row>
    <row r="381">
      <c r="B381" s="2"/>
      <c r="C381" s="2"/>
      <c r="D381" s="2"/>
      <c r="E381" s="58"/>
      <c r="F381" s="2"/>
      <c r="G381" s="2"/>
      <c r="H381" s="2"/>
    </row>
    <row r="382">
      <c r="B382" s="2"/>
      <c r="C382" s="2"/>
      <c r="D382" s="2"/>
      <c r="E382" s="58"/>
      <c r="F382" s="2"/>
      <c r="G382" s="2"/>
      <c r="H382" s="2"/>
    </row>
    <row r="383">
      <c r="B383" s="2"/>
      <c r="C383" s="2"/>
      <c r="D383" s="2"/>
      <c r="E383" s="58"/>
      <c r="F383" s="2"/>
      <c r="G383" s="2"/>
      <c r="H383" s="2"/>
    </row>
    <row r="384">
      <c r="B384" s="2"/>
      <c r="C384" s="2"/>
      <c r="D384" s="2"/>
      <c r="E384" s="58"/>
      <c r="F384" s="2"/>
      <c r="G384" s="2"/>
      <c r="H384" s="2"/>
    </row>
    <row r="385">
      <c r="B385" s="2"/>
      <c r="C385" s="2"/>
      <c r="D385" s="2"/>
      <c r="E385" s="58"/>
      <c r="F385" s="2"/>
      <c r="G385" s="2"/>
      <c r="H385" s="2"/>
    </row>
    <row r="386">
      <c r="B386" s="2"/>
      <c r="C386" s="2"/>
      <c r="D386" s="2"/>
      <c r="E386" s="58"/>
      <c r="F386" s="2"/>
      <c r="G386" s="2"/>
      <c r="H386" s="2"/>
    </row>
    <row r="387">
      <c r="B387" s="2"/>
      <c r="C387" s="2"/>
      <c r="D387" s="2"/>
      <c r="E387" s="58"/>
      <c r="F387" s="2"/>
      <c r="G387" s="2"/>
      <c r="H387" s="2"/>
    </row>
    <row r="388">
      <c r="B388" s="2"/>
      <c r="C388" s="2"/>
      <c r="D388" s="2"/>
      <c r="E388" s="58"/>
      <c r="F388" s="2"/>
      <c r="G388" s="2"/>
      <c r="H388" s="2"/>
    </row>
    <row r="389">
      <c r="B389" s="2"/>
      <c r="C389" s="2"/>
      <c r="D389" s="2"/>
      <c r="E389" s="58"/>
      <c r="F389" s="2"/>
      <c r="G389" s="2"/>
      <c r="H389" s="2"/>
    </row>
    <row r="390">
      <c r="B390" s="2"/>
      <c r="C390" s="2"/>
      <c r="D390" s="2"/>
      <c r="E390" s="58"/>
      <c r="F390" s="2"/>
      <c r="G390" s="2"/>
      <c r="H390" s="2"/>
    </row>
    <row r="391">
      <c r="B391" s="2"/>
      <c r="C391" s="2"/>
      <c r="D391" s="2"/>
      <c r="E391" s="58"/>
      <c r="F391" s="2"/>
      <c r="G391" s="2"/>
      <c r="H391" s="2"/>
    </row>
    <row r="392">
      <c r="B392" s="2"/>
      <c r="C392" s="2"/>
      <c r="D392" s="2"/>
      <c r="E392" s="58"/>
      <c r="F392" s="2"/>
      <c r="G392" s="2"/>
      <c r="H392" s="2"/>
    </row>
    <row r="393">
      <c r="B393" s="2"/>
      <c r="C393" s="2"/>
      <c r="D393" s="2"/>
      <c r="E393" s="58"/>
      <c r="F393" s="2"/>
      <c r="G393" s="2"/>
      <c r="H393" s="2"/>
    </row>
    <row r="394">
      <c r="B394" s="2"/>
      <c r="C394" s="2"/>
      <c r="D394" s="2"/>
      <c r="E394" s="58"/>
      <c r="F394" s="2"/>
      <c r="G394" s="2"/>
      <c r="H394" s="2"/>
    </row>
    <row r="395">
      <c r="B395" s="2"/>
      <c r="C395" s="2"/>
      <c r="D395" s="2"/>
      <c r="E395" s="58"/>
      <c r="F395" s="2"/>
      <c r="G395" s="2"/>
      <c r="H395" s="2"/>
    </row>
    <row r="396">
      <c r="B396" s="2"/>
      <c r="C396" s="2"/>
      <c r="D396" s="2"/>
      <c r="E396" s="58"/>
      <c r="F396" s="2"/>
      <c r="G396" s="2"/>
      <c r="H396" s="2"/>
    </row>
    <row r="397">
      <c r="B397" s="2"/>
      <c r="C397" s="2"/>
      <c r="D397" s="2"/>
      <c r="E397" s="58"/>
      <c r="F397" s="2"/>
      <c r="G397" s="2"/>
      <c r="H397" s="2"/>
    </row>
    <row r="398">
      <c r="B398" s="2"/>
      <c r="C398" s="2"/>
      <c r="D398" s="2"/>
      <c r="E398" s="58"/>
      <c r="F398" s="2"/>
      <c r="G398" s="2"/>
      <c r="H398" s="2"/>
    </row>
    <row r="399">
      <c r="B399" s="2"/>
      <c r="C399" s="2"/>
      <c r="D399" s="2"/>
      <c r="E399" s="58"/>
      <c r="F399" s="2"/>
      <c r="G399" s="2"/>
      <c r="H399" s="2"/>
    </row>
    <row r="400">
      <c r="B400" s="2"/>
      <c r="C400" s="2"/>
      <c r="D400" s="2"/>
      <c r="E400" s="58"/>
      <c r="F400" s="2"/>
      <c r="G400" s="2"/>
      <c r="H400" s="2"/>
    </row>
    <row r="401">
      <c r="B401" s="2"/>
      <c r="C401" s="2"/>
      <c r="D401" s="2"/>
      <c r="E401" s="58"/>
      <c r="F401" s="2"/>
      <c r="G401" s="2"/>
      <c r="H401" s="2"/>
    </row>
    <row r="402">
      <c r="B402" s="2"/>
      <c r="C402" s="2"/>
      <c r="D402" s="2"/>
      <c r="E402" s="58"/>
      <c r="F402" s="2"/>
      <c r="G402" s="2"/>
      <c r="H402" s="2"/>
    </row>
    <row r="403">
      <c r="B403" s="2"/>
      <c r="C403" s="2"/>
      <c r="D403" s="2"/>
      <c r="E403" s="58"/>
      <c r="F403" s="2"/>
      <c r="G403" s="2"/>
      <c r="H403" s="2"/>
    </row>
    <row r="404">
      <c r="B404" s="2"/>
      <c r="C404" s="2"/>
      <c r="D404" s="2"/>
      <c r="E404" s="58"/>
      <c r="F404" s="2"/>
      <c r="G404" s="2"/>
      <c r="H404" s="2"/>
    </row>
    <row r="405">
      <c r="B405" s="2"/>
      <c r="C405" s="2"/>
      <c r="D405" s="2"/>
      <c r="E405" s="58"/>
      <c r="F405" s="2"/>
      <c r="G405" s="2"/>
      <c r="H405" s="2"/>
    </row>
    <row r="406">
      <c r="B406" s="2"/>
      <c r="C406" s="2"/>
      <c r="D406" s="2"/>
      <c r="E406" s="58"/>
      <c r="F406" s="2"/>
      <c r="G406" s="2"/>
      <c r="H406" s="2"/>
    </row>
    <row r="407">
      <c r="B407" s="2"/>
      <c r="C407" s="2"/>
      <c r="D407" s="2"/>
      <c r="E407" s="58"/>
      <c r="F407" s="2"/>
      <c r="G407" s="2"/>
      <c r="H407" s="2"/>
    </row>
    <row r="408">
      <c r="B408" s="2"/>
      <c r="C408" s="2"/>
      <c r="D408" s="2"/>
      <c r="E408" s="58"/>
      <c r="F408" s="2"/>
      <c r="G408" s="2"/>
      <c r="H408" s="2"/>
    </row>
    <row r="409">
      <c r="B409" s="2"/>
      <c r="C409" s="2"/>
      <c r="D409" s="2"/>
      <c r="E409" s="58"/>
      <c r="F409" s="2"/>
      <c r="G409" s="2"/>
      <c r="H409" s="2"/>
    </row>
    <row r="410">
      <c r="B410" s="2"/>
      <c r="C410" s="2"/>
      <c r="D410" s="2"/>
      <c r="E410" s="58"/>
      <c r="F410" s="2"/>
      <c r="G410" s="2"/>
      <c r="H410" s="2"/>
    </row>
    <row r="411">
      <c r="B411" s="2"/>
      <c r="C411" s="2"/>
      <c r="D411" s="2"/>
      <c r="E411" s="58"/>
      <c r="F411" s="2"/>
      <c r="G411" s="2"/>
      <c r="H411" s="2"/>
    </row>
    <row r="412">
      <c r="B412" s="2"/>
      <c r="C412" s="2"/>
      <c r="D412" s="2"/>
      <c r="E412" s="58"/>
      <c r="F412" s="2"/>
      <c r="G412" s="2"/>
      <c r="H412" s="2"/>
    </row>
    <row r="413">
      <c r="B413" s="2"/>
      <c r="C413" s="2"/>
      <c r="D413" s="2"/>
      <c r="E413" s="58"/>
      <c r="F413" s="2"/>
      <c r="G413" s="2"/>
      <c r="H413" s="2"/>
    </row>
    <row r="414">
      <c r="B414" s="2"/>
      <c r="C414" s="2"/>
      <c r="D414" s="2"/>
      <c r="E414" s="58"/>
      <c r="F414" s="2"/>
      <c r="G414" s="2"/>
      <c r="H414" s="2"/>
    </row>
    <row r="415">
      <c r="B415" s="2"/>
      <c r="C415" s="2"/>
      <c r="D415" s="2"/>
      <c r="E415" s="58"/>
      <c r="F415" s="2"/>
      <c r="G415" s="2"/>
      <c r="H415" s="2"/>
    </row>
    <row r="416">
      <c r="B416" s="2"/>
      <c r="C416" s="2"/>
      <c r="D416" s="2"/>
      <c r="E416" s="58"/>
      <c r="F416" s="2"/>
      <c r="G416" s="2"/>
      <c r="H416" s="2"/>
    </row>
    <row r="417">
      <c r="B417" s="2"/>
      <c r="C417" s="2"/>
      <c r="D417" s="2"/>
      <c r="E417" s="58"/>
      <c r="F417" s="2"/>
      <c r="G417" s="2"/>
      <c r="H417" s="2"/>
    </row>
    <row r="418">
      <c r="B418" s="2"/>
      <c r="C418" s="2"/>
      <c r="D418" s="2"/>
      <c r="E418" s="58"/>
      <c r="F418" s="2"/>
      <c r="G418" s="2"/>
      <c r="H418" s="2"/>
    </row>
    <row r="419">
      <c r="B419" s="2"/>
      <c r="C419" s="2"/>
      <c r="D419" s="2"/>
      <c r="E419" s="58"/>
      <c r="F419" s="2"/>
      <c r="G419" s="2"/>
      <c r="H419" s="2"/>
    </row>
    <row r="420">
      <c r="B420" s="2"/>
      <c r="C420" s="2"/>
      <c r="D420" s="2"/>
      <c r="E420" s="58"/>
      <c r="F420" s="2"/>
      <c r="G420" s="2"/>
      <c r="H420" s="2"/>
    </row>
    <row r="421">
      <c r="B421" s="2"/>
      <c r="C421" s="2"/>
      <c r="D421" s="2"/>
      <c r="E421" s="58"/>
      <c r="F421" s="2"/>
      <c r="G421" s="2"/>
      <c r="H421" s="2"/>
    </row>
    <row r="422">
      <c r="B422" s="2"/>
      <c r="C422" s="2"/>
      <c r="D422" s="2"/>
      <c r="E422" s="58"/>
      <c r="F422" s="2"/>
      <c r="G422" s="2"/>
      <c r="H422" s="2"/>
    </row>
    <row r="423">
      <c r="B423" s="2"/>
      <c r="C423" s="2"/>
      <c r="D423" s="2"/>
      <c r="E423" s="58"/>
      <c r="F423" s="2"/>
      <c r="G423" s="2"/>
      <c r="H423" s="2"/>
    </row>
    <row r="424">
      <c r="B424" s="2"/>
      <c r="C424" s="2"/>
      <c r="D424" s="2"/>
      <c r="E424" s="58"/>
      <c r="F424" s="2"/>
      <c r="G424" s="2"/>
      <c r="H424" s="2"/>
    </row>
    <row r="425">
      <c r="B425" s="2"/>
      <c r="C425" s="2"/>
      <c r="D425" s="2"/>
      <c r="E425" s="58"/>
      <c r="F425" s="2"/>
      <c r="G425" s="2"/>
      <c r="H425" s="2"/>
    </row>
    <row r="426">
      <c r="B426" s="2"/>
      <c r="C426" s="2"/>
      <c r="D426" s="2"/>
      <c r="E426" s="58"/>
      <c r="F426" s="2"/>
      <c r="G426" s="2"/>
      <c r="H426" s="2"/>
    </row>
    <row r="427">
      <c r="B427" s="2"/>
      <c r="C427" s="2"/>
      <c r="D427" s="2"/>
      <c r="E427" s="58"/>
      <c r="F427" s="2"/>
      <c r="G427" s="2"/>
      <c r="H427" s="2"/>
    </row>
    <row r="428">
      <c r="B428" s="2"/>
      <c r="C428" s="2"/>
      <c r="D428" s="2"/>
      <c r="E428" s="58"/>
      <c r="F428" s="2"/>
      <c r="G428" s="2"/>
      <c r="H428" s="2"/>
    </row>
    <row r="429">
      <c r="B429" s="2"/>
      <c r="C429" s="2"/>
      <c r="D429" s="2"/>
      <c r="E429" s="58"/>
      <c r="F429" s="2"/>
      <c r="G429" s="2"/>
      <c r="H429" s="2"/>
    </row>
    <row r="430">
      <c r="B430" s="2"/>
      <c r="C430" s="2"/>
      <c r="D430" s="2"/>
      <c r="E430" s="58"/>
      <c r="F430" s="2"/>
      <c r="G430" s="2"/>
      <c r="H430" s="2"/>
    </row>
    <row r="431">
      <c r="B431" s="2"/>
      <c r="C431" s="2"/>
      <c r="D431" s="2"/>
      <c r="E431" s="58"/>
      <c r="F431" s="2"/>
      <c r="G431" s="2"/>
      <c r="H431" s="2"/>
    </row>
    <row r="432">
      <c r="B432" s="2"/>
      <c r="C432" s="2"/>
      <c r="D432" s="2"/>
      <c r="E432" s="58"/>
      <c r="F432" s="2"/>
      <c r="G432" s="2"/>
      <c r="H432" s="2"/>
    </row>
    <row r="433">
      <c r="B433" s="2"/>
      <c r="C433" s="2"/>
      <c r="D433" s="2"/>
      <c r="E433" s="58"/>
      <c r="F433" s="2"/>
      <c r="G433" s="2"/>
      <c r="H433" s="2"/>
    </row>
    <row r="434">
      <c r="B434" s="2"/>
      <c r="C434" s="2"/>
      <c r="D434" s="2"/>
      <c r="E434" s="58"/>
      <c r="F434" s="2"/>
      <c r="G434" s="2"/>
      <c r="H434" s="2"/>
    </row>
    <row r="435">
      <c r="B435" s="2"/>
      <c r="C435" s="2"/>
      <c r="D435" s="2"/>
      <c r="E435" s="58"/>
      <c r="F435" s="2"/>
      <c r="G435" s="2"/>
      <c r="H435" s="2"/>
    </row>
    <row r="436">
      <c r="B436" s="2"/>
      <c r="C436" s="2"/>
      <c r="D436" s="2"/>
      <c r="E436" s="58"/>
      <c r="F436" s="2"/>
      <c r="G436" s="2"/>
      <c r="H436" s="2"/>
    </row>
    <row r="437">
      <c r="B437" s="2"/>
      <c r="C437" s="2"/>
      <c r="D437" s="2"/>
      <c r="E437" s="58"/>
      <c r="F437" s="2"/>
      <c r="G437" s="2"/>
      <c r="H437" s="2"/>
    </row>
    <row r="438">
      <c r="B438" s="2"/>
      <c r="C438" s="2"/>
      <c r="D438" s="2"/>
      <c r="E438" s="58"/>
      <c r="F438" s="2"/>
      <c r="G438" s="2"/>
      <c r="H438" s="2"/>
    </row>
    <row r="439">
      <c r="B439" s="2"/>
      <c r="C439" s="2"/>
      <c r="D439" s="2"/>
      <c r="E439" s="58"/>
      <c r="F439" s="2"/>
      <c r="G439" s="2"/>
      <c r="H439" s="2"/>
    </row>
    <row r="440">
      <c r="B440" s="2"/>
      <c r="C440" s="2"/>
      <c r="D440" s="2"/>
      <c r="E440" s="58"/>
      <c r="F440" s="2"/>
      <c r="G440" s="2"/>
      <c r="H440" s="2"/>
    </row>
    <row r="441">
      <c r="B441" s="2"/>
      <c r="C441" s="2"/>
      <c r="D441" s="2"/>
      <c r="E441" s="58"/>
      <c r="F441" s="2"/>
      <c r="G441" s="2"/>
      <c r="H441" s="2"/>
    </row>
    <row r="442">
      <c r="B442" s="2"/>
      <c r="C442" s="2"/>
      <c r="D442" s="2"/>
      <c r="E442" s="58"/>
      <c r="F442" s="2"/>
      <c r="G442" s="2"/>
      <c r="H442" s="2"/>
    </row>
    <row r="443">
      <c r="B443" s="2"/>
      <c r="C443" s="2"/>
      <c r="D443" s="2"/>
      <c r="E443" s="58"/>
      <c r="F443" s="2"/>
      <c r="G443" s="2"/>
      <c r="H443" s="2"/>
    </row>
    <row r="444">
      <c r="B444" s="2"/>
      <c r="C444" s="2"/>
      <c r="D444" s="2"/>
      <c r="E444" s="58"/>
      <c r="F444" s="2"/>
      <c r="G444" s="2"/>
      <c r="H444" s="2"/>
    </row>
    <row r="445">
      <c r="B445" s="2"/>
      <c r="C445" s="2"/>
      <c r="D445" s="2"/>
      <c r="E445" s="58"/>
      <c r="F445" s="2"/>
      <c r="G445" s="2"/>
      <c r="H445" s="2"/>
    </row>
    <row r="446">
      <c r="B446" s="2"/>
      <c r="C446" s="2"/>
      <c r="D446" s="2"/>
      <c r="E446" s="58"/>
      <c r="F446" s="2"/>
      <c r="G446" s="2"/>
      <c r="H446" s="2"/>
    </row>
    <row r="447">
      <c r="B447" s="2"/>
      <c r="C447" s="2"/>
      <c r="D447" s="2"/>
      <c r="E447" s="58"/>
      <c r="F447" s="2"/>
      <c r="G447" s="2"/>
      <c r="H447" s="2"/>
    </row>
    <row r="448">
      <c r="B448" s="2"/>
      <c r="C448" s="2"/>
      <c r="D448" s="2"/>
      <c r="E448" s="58"/>
      <c r="F448" s="2"/>
      <c r="G448" s="2"/>
      <c r="H448" s="2"/>
    </row>
    <row r="449">
      <c r="B449" s="2"/>
      <c r="C449" s="2"/>
      <c r="D449" s="2"/>
      <c r="E449" s="58"/>
      <c r="F449" s="2"/>
      <c r="G449" s="2"/>
      <c r="H449" s="2"/>
    </row>
    <row r="450">
      <c r="B450" s="2"/>
      <c r="C450" s="2"/>
      <c r="D450" s="2"/>
      <c r="E450" s="58"/>
      <c r="F450" s="2"/>
      <c r="G450" s="2"/>
      <c r="H450" s="2"/>
    </row>
    <row r="451">
      <c r="B451" s="2"/>
      <c r="C451" s="2"/>
      <c r="D451" s="2"/>
      <c r="E451" s="58"/>
      <c r="F451" s="2"/>
      <c r="G451" s="2"/>
      <c r="H451" s="2"/>
    </row>
    <row r="452">
      <c r="B452" s="2"/>
      <c r="C452" s="2"/>
      <c r="D452" s="2"/>
      <c r="E452" s="58"/>
      <c r="F452" s="2"/>
      <c r="G452" s="2"/>
      <c r="H452" s="2"/>
    </row>
    <row r="453">
      <c r="B453" s="2"/>
      <c r="C453" s="2"/>
      <c r="D453" s="2"/>
      <c r="E453" s="58"/>
      <c r="F453" s="2"/>
      <c r="G453" s="2"/>
      <c r="H453" s="2"/>
    </row>
    <row r="454">
      <c r="B454" s="2"/>
      <c r="C454" s="2"/>
      <c r="D454" s="2"/>
      <c r="E454" s="58"/>
      <c r="F454" s="2"/>
      <c r="G454" s="2"/>
      <c r="H454" s="2"/>
    </row>
    <row r="455">
      <c r="B455" s="2"/>
      <c r="C455" s="2"/>
      <c r="D455" s="2"/>
      <c r="E455" s="58"/>
      <c r="F455" s="2"/>
      <c r="G455" s="2"/>
      <c r="H455" s="2"/>
    </row>
    <row r="456">
      <c r="B456" s="2"/>
      <c r="C456" s="2"/>
      <c r="D456" s="2"/>
      <c r="E456" s="58"/>
      <c r="F456" s="2"/>
      <c r="G456" s="2"/>
      <c r="H456" s="2"/>
    </row>
    <row r="457">
      <c r="B457" s="2"/>
      <c r="C457" s="2"/>
      <c r="D457" s="2"/>
      <c r="E457" s="58"/>
      <c r="F457" s="2"/>
      <c r="G457" s="2"/>
      <c r="H457" s="2"/>
    </row>
    <row r="458">
      <c r="B458" s="2"/>
      <c r="C458" s="2"/>
      <c r="D458" s="2"/>
      <c r="E458" s="58"/>
      <c r="F458" s="2"/>
      <c r="G458" s="2"/>
      <c r="H458" s="2"/>
    </row>
    <row r="459">
      <c r="B459" s="2"/>
      <c r="C459" s="2"/>
      <c r="D459" s="2"/>
      <c r="E459" s="58"/>
      <c r="F459" s="2"/>
      <c r="G459" s="2"/>
      <c r="H459" s="2"/>
    </row>
    <row r="460">
      <c r="B460" s="2"/>
      <c r="C460" s="2"/>
      <c r="D460" s="2"/>
      <c r="E460" s="58"/>
      <c r="F460" s="2"/>
      <c r="G460" s="2"/>
      <c r="H460" s="2"/>
    </row>
    <row r="461">
      <c r="B461" s="2"/>
      <c r="C461" s="2"/>
      <c r="D461" s="2"/>
      <c r="E461" s="58"/>
      <c r="F461" s="2"/>
      <c r="G461" s="2"/>
      <c r="H461" s="2"/>
    </row>
    <row r="462">
      <c r="B462" s="2"/>
      <c r="C462" s="2"/>
      <c r="D462" s="2"/>
      <c r="E462" s="58"/>
      <c r="F462" s="2"/>
      <c r="G462" s="2"/>
      <c r="H462" s="2"/>
    </row>
    <row r="463">
      <c r="B463" s="2"/>
      <c r="C463" s="2"/>
      <c r="D463" s="2"/>
      <c r="E463" s="58"/>
      <c r="F463" s="2"/>
      <c r="G463" s="2"/>
      <c r="H463" s="2"/>
    </row>
    <row r="464">
      <c r="B464" s="2"/>
      <c r="C464" s="2"/>
      <c r="D464" s="2"/>
      <c r="E464" s="58"/>
      <c r="F464" s="2"/>
      <c r="G464" s="2"/>
      <c r="H464" s="2"/>
    </row>
    <row r="465">
      <c r="B465" s="2"/>
      <c r="C465" s="2"/>
      <c r="D465" s="2"/>
      <c r="E465" s="58"/>
      <c r="F465" s="2"/>
      <c r="G465" s="2"/>
      <c r="H465" s="2"/>
    </row>
    <row r="466">
      <c r="B466" s="2"/>
      <c r="C466" s="2"/>
      <c r="D466" s="2"/>
      <c r="E466" s="58"/>
      <c r="F466" s="2"/>
      <c r="G466" s="2"/>
      <c r="H466" s="2"/>
    </row>
    <row r="467">
      <c r="B467" s="2"/>
      <c r="C467" s="2"/>
      <c r="D467" s="2"/>
      <c r="E467" s="58"/>
      <c r="F467" s="2"/>
      <c r="G467" s="2"/>
      <c r="H467" s="2"/>
    </row>
    <row r="468">
      <c r="B468" s="2"/>
      <c r="C468" s="2"/>
      <c r="D468" s="2"/>
      <c r="E468" s="58"/>
      <c r="F468" s="2"/>
      <c r="G468" s="2"/>
      <c r="H468" s="2"/>
    </row>
    <row r="469">
      <c r="B469" s="2"/>
      <c r="C469" s="2"/>
      <c r="D469" s="2"/>
      <c r="E469" s="58"/>
      <c r="F469" s="2"/>
      <c r="G469" s="2"/>
      <c r="H469" s="2"/>
    </row>
    <row r="470">
      <c r="B470" s="2"/>
      <c r="C470" s="2"/>
      <c r="D470" s="2"/>
      <c r="E470" s="58"/>
      <c r="F470" s="2"/>
      <c r="G470" s="2"/>
      <c r="H470" s="2"/>
    </row>
    <row r="471">
      <c r="B471" s="2"/>
      <c r="C471" s="2"/>
      <c r="D471" s="2"/>
      <c r="E471" s="58"/>
      <c r="F471" s="2"/>
      <c r="G471" s="2"/>
      <c r="H471" s="2"/>
    </row>
    <row r="472">
      <c r="B472" s="2"/>
      <c r="C472" s="2"/>
      <c r="D472" s="2"/>
      <c r="E472" s="58"/>
      <c r="F472" s="2"/>
      <c r="G472" s="2"/>
      <c r="H472" s="2"/>
    </row>
    <row r="473">
      <c r="B473" s="2"/>
      <c r="C473" s="2"/>
      <c r="D473" s="2"/>
      <c r="E473" s="58"/>
      <c r="F473" s="2"/>
      <c r="G473" s="2"/>
      <c r="H473" s="2"/>
    </row>
    <row r="474">
      <c r="B474" s="2"/>
      <c r="C474" s="2"/>
      <c r="D474" s="2"/>
      <c r="E474" s="58"/>
      <c r="F474" s="2"/>
      <c r="G474" s="2"/>
      <c r="H474" s="2"/>
    </row>
    <row r="475">
      <c r="B475" s="2"/>
      <c r="C475" s="2"/>
      <c r="D475" s="2"/>
      <c r="E475" s="58"/>
      <c r="F475" s="2"/>
      <c r="G475" s="2"/>
      <c r="H475" s="2"/>
    </row>
    <row r="476">
      <c r="B476" s="2"/>
      <c r="C476" s="2"/>
      <c r="D476" s="2"/>
      <c r="E476" s="58"/>
      <c r="F476" s="2"/>
      <c r="G476" s="2"/>
      <c r="H476" s="2"/>
    </row>
    <row r="477">
      <c r="B477" s="2"/>
      <c r="C477" s="2"/>
      <c r="D477" s="2"/>
      <c r="E477" s="58"/>
      <c r="F477" s="2"/>
      <c r="G477" s="2"/>
      <c r="H477" s="2"/>
    </row>
    <row r="478">
      <c r="B478" s="2"/>
      <c r="C478" s="2"/>
      <c r="D478" s="2"/>
      <c r="E478" s="58"/>
      <c r="F478" s="2"/>
      <c r="G478" s="2"/>
      <c r="H478" s="2"/>
    </row>
    <row r="479">
      <c r="B479" s="2"/>
      <c r="C479" s="2"/>
      <c r="D479" s="2"/>
      <c r="E479" s="58"/>
      <c r="F479" s="2"/>
      <c r="G479" s="2"/>
      <c r="H479" s="2"/>
    </row>
    <row r="480">
      <c r="B480" s="2"/>
      <c r="C480" s="2"/>
      <c r="D480" s="2"/>
      <c r="E480" s="58"/>
      <c r="F480" s="2"/>
      <c r="G480" s="2"/>
      <c r="H480" s="2"/>
    </row>
    <row r="481">
      <c r="B481" s="2"/>
      <c r="C481" s="2"/>
      <c r="D481" s="2"/>
      <c r="E481" s="58"/>
      <c r="F481" s="2"/>
      <c r="G481" s="2"/>
      <c r="H481" s="2"/>
    </row>
    <row r="482">
      <c r="B482" s="2"/>
      <c r="C482" s="2"/>
      <c r="D482" s="2"/>
      <c r="E482" s="58"/>
      <c r="F482" s="2"/>
      <c r="G482" s="2"/>
      <c r="H482" s="2"/>
    </row>
    <row r="483">
      <c r="B483" s="2"/>
      <c r="C483" s="2"/>
      <c r="D483" s="2"/>
      <c r="E483" s="58"/>
      <c r="F483" s="2"/>
      <c r="G483" s="2"/>
      <c r="H483" s="2"/>
    </row>
    <row r="484">
      <c r="B484" s="2"/>
      <c r="C484" s="2"/>
      <c r="D484" s="2"/>
      <c r="E484" s="58"/>
      <c r="F484" s="2"/>
      <c r="G484" s="2"/>
      <c r="H484" s="2"/>
    </row>
    <row r="485">
      <c r="B485" s="2"/>
      <c r="C485" s="2"/>
      <c r="D485" s="2"/>
      <c r="E485" s="58"/>
      <c r="F485" s="2"/>
      <c r="G485" s="2"/>
      <c r="H485" s="2"/>
    </row>
    <row r="486">
      <c r="B486" s="2"/>
      <c r="C486" s="2"/>
      <c r="D486" s="2"/>
      <c r="E486" s="58"/>
      <c r="F486" s="2"/>
      <c r="G486" s="2"/>
      <c r="H486" s="2"/>
    </row>
    <row r="487">
      <c r="B487" s="2"/>
      <c r="C487" s="2"/>
      <c r="D487" s="2"/>
      <c r="E487" s="58"/>
      <c r="F487" s="2"/>
      <c r="G487" s="2"/>
      <c r="H487" s="2"/>
    </row>
    <row r="488">
      <c r="B488" s="2"/>
      <c r="C488" s="2"/>
      <c r="D488" s="2"/>
      <c r="E488" s="58"/>
      <c r="F488" s="2"/>
      <c r="G488" s="2"/>
      <c r="H488" s="2"/>
    </row>
    <row r="489">
      <c r="B489" s="2"/>
      <c r="C489" s="2"/>
      <c r="D489" s="2"/>
      <c r="E489" s="58"/>
      <c r="F489" s="2"/>
      <c r="G489" s="2"/>
      <c r="H489" s="2"/>
    </row>
    <row r="490">
      <c r="B490" s="2"/>
      <c r="C490" s="2"/>
      <c r="D490" s="2"/>
      <c r="E490" s="58"/>
      <c r="F490" s="2"/>
      <c r="G490" s="2"/>
      <c r="H490" s="2"/>
    </row>
    <row r="491">
      <c r="B491" s="2"/>
      <c r="C491" s="2"/>
      <c r="D491" s="2"/>
      <c r="E491" s="58"/>
      <c r="F491" s="2"/>
      <c r="G491" s="2"/>
      <c r="H491" s="2"/>
    </row>
    <row r="492">
      <c r="B492" s="2"/>
      <c r="C492" s="2"/>
      <c r="D492" s="2"/>
      <c r="E492" s="58"/>
      <c r="F492" s="2"/>
      <c r="G492" s="2"/>
      <c r="H492" s="2"/>
    </row>
    <row r="493">
      <c r="B493" s="2"/>
      <c r="C493" s="2"/>
      <c r="D493" s="2"/>
      <c r="E493" s="58"/>
      <c r="F493" s="2"/>
      <c r="G493" s="2"/>
      <c r="H493" s="2"/>
    </row>
    <row r="494">
      <c r="B494" s="2"/>
      <c r="C494" s="2"/>
      <c r="D494" s="2"/>
      <c r="E494" s="58"/>
      <c r="F494" s="2"/>
      <c r="G494" s="2"/>
      <c r="H494" s="2"/>
    </row>
    <row r="495">
      <c r="B495" s="2"/>
      <c r="C495" s="2"/>
      <c r="D495" s="2"/>
      <c r="E495" s="58"/>
      <c r="F495" s="2"/>
      <c r="G495" s="2"/>
      <c r="H495" s="2"/>
    </row>
    <row r="496">
      <c r="B496" s="2"/>
      <c r="C496" s="2"/>
      <c r="D496" s="2"/>
      <c r="E496" s="58"/>
      <c r="F496" s="2"/>
      <c r="G496" s="2"/>
      <c r="H496" s="2"/>
    </row>
    <row r="497">
      <c r="B497" s="2"/>
      <c r="C497" s="2"/>
      <c r="D497" s="2"/>
      <c r="E497" s="58"/>
      <c r="F497" s="2"/>
      <c r="G497" s="2"/>
      <c r="H497" s="2"/>
    </row>
    <row r="498">
      <c r="B498" s="2"/>
      <c r="C498" s="2"/>
      <c r="D498" s="2"/>
      <c r="E498" s="58"/>
      <c r="F498" s="2"/>
      <c r="G498" s="2"/>
      <c r="H498" s="2"/>
    </row>
    <row r="499">
      <c r="B499" s="2"/>
      <c r="C499" s="2"/>
      <c r="D499" s="2"/>
      <c r="E499" s="58"/>
      <c r="F499" s="2"/>
      <c r="G499" s="2"/>
      <c r="H499" s="2"/>
    </row>
    <row r="500">
      <c r="B500" s="2"/>
      <c r="C500" s="2"/>
      <c r="D500" s="2"/>
      <c r="E500" s="58"/>
      <c r="F500" s="2"/>
      <c r="G500" s="2"/>
      <c r="H500" s="2"/>
    </row>
    <row r="501">
      <c r="B501" s="2"/>
      <c r="C501" s="2"/>
      <c r="D501" s="2"/>
      <c r="E501" s="58"/>
      <c r="F501" s="2"/>
      <c r="G501" s="2"/>
      <c r="H501" s="2"/>
    </row>
    <row r="502">
      <c r="B502" s="2"/>
      <c r="C502" s="2"/>
      <c r="D502" s="2"/>
      <c r="E502" s="58"/>
      <c r="F502" s="2"/>
      <c r="G502" s="2"/>
      <c r="H502" s="2"/>
    </row>
    <row r="503">
      <c r="B503" s="2"/>
      <c r="C503" s="2"/>
      <c r="D503" s="2"/>
      <c r="E503" s="58"/>
      <c r="F503" s="2"/>
      <c r="G503" s="2"/>
      <c r="H503" s="2"/>
    </row>
    <row r="504">
      <c r="B504" s="2"/>
      <c r="C504" s="2"/>
      <c r="D504" s="2"/>
      <c r="E504" s="58"/>
      <c r="F504" s="2"/>
      <c r="G504" s="2"/>
      <c r="H504" s="2"/>
    </row>
    <row r="505">
      <c r="B505" s="2"/>
      <c r="C505" s="2"/>
      <c r="D505" s="2"/>
      <c r="E505" s="58"/>
      <c r="F505" s="2"/>
      <c r="G505" s="2"/>
      <c r="H505" s="2"/>
    </row>
    <row r="506">
      <c r="B506" s="2"/>
      <c r="C506" s="2"/>
      <c r="D506" s="2"/>
      <c r="E506" s="58"/>
      <c r="F506" s="2"/>
      <c r="G506" s="2"/>
      <c r="H506" s="2"/>
    </row>
    <row r="507">
      <c r="B507" s="2"/>
      <c r="C507" s="2"/>
      <c r="D507" s="2"/>
      <c r="E507" s="58"/>
      <c r="F507" s="2"/>
      <c r="G507" s="2"/>
      <c r="H507" s="2"/>
    </row>
    <row r="508">
      <c r="B508" s="2"/>
      <c r="C508" s="2"/>
      <c r="D508" s="2"/>
      <c r="E508" s="58"/>
      <c r="F508" s="2"/>
      <c r="G508" s="2"/>
      <c r="H508" s="2"/>
    </row>
    <row r="509">
      <c r="B509" s="2"/>
      <c r="C509" s="2"/>
      <c r="D509" s="2"/>
      <c r="E509" s="58"/>
      <c r="F509" s="2"/>
      <c r="G509" s="2"/>
      <c r="H509" s="2"/>
    </row>
    <row r="510">
      <c r="B510" s="2"/>
      <c r="C510" s="2"/>
      <c r="D510" s="2"/>
      <c r="E510" s="58"/>
      <c r="F510" s="2"/>
      <c r="G510" s="2"/>
      <c r="H510" s="2"/>
    </row>
    <row r="511">
      <c r="B511" s="2"/>
      <c r="C511" s="2"/>
      <c r="D511" s="2"/>
      <c r="E511" s="58"/>
      <c r="F511" s="2"/>
      <c r="G511" s="2"/>
      <c r="H511" s="2"/>
    </row>
    <row r="512">
      <c r="B512" s="2"/>
      <c r="C512" s="2"/>
      <c r="D512" s="2"/>
      <c r="E512" s="58"/>
      <c r="F512" s="2"/>
      <c r="G512" s="2"/>
      <c r="H512" s="2"/>
    </row>
    <row r="513">
      <c r="B513" s="2"/>
      <c r="C513" s="2"/>
      <c r="D513" s="2"/>
      <c r="E513" s="58"/>
      <c r="F513" s="2"/>
      <c r="G513" s="2"/>
      <c r="H513" s="2"/>
    </row>
    <row r="514">
      <c r="B514" s="2"/>
      <c r="C514" s="2"/>
      <c r="D514" s="2"/>
      <c r="E514" s="58"/>
      <c r="F514" s="2"/>
      <c r="G514" s="2"/>
      <c r="H514" s="2"/>
    </row>
    <row r="515">
      <c r="B515" s="2"/>
      <c r="C515" s="2"/>
      <c r="D515" s="2"/>
      <c r="E515" s="58"/>
      <c r="F515" s="2"/>
      <c r="G515" s="2"/>
      <c r="H515" s="2"/>
    </row>
    <row r="516">
      <c r="B516" s="2"/>
      <c r="C516" s="2"/>
      <c r="D516" s="2"/>
      <c r="E516" s="58"/>
      <c r="F516" s="2"/>
      <c r="G516" s="2"/>
      <c r="H516" s="2"/>
    </row>
    <row r="517">
      <c r="B517" s="2"/>
      <c r="C517" s="2"/>
      <c r="D517" s="2"/>
      <c r="E517" s="58"/>
      <c r="F517" s="2"/>
      <c r="G517" s="2"/>
      <c r="H517" s="2"/>
    </row>
    <row r="518">
      <c r="B518" s="2"/>
      <c r="C518" s="2"/>
      <c r="D518" s="2"/>
      <c r="E518" s="58"/>
      <c r="F518" s="2"/>
      <c r="G518" s="2"/>
      <c r="H518" s="2"/>
    </row>
    <row r="519">
      <c r="B519" s="2"/>
      <c r="C519" s="2"/>
      <c r="D519" s="2"/>
      <c r="E519" s="58"/>
      <c r="F519" s="2"/>
      <c r="G519" s="2"/>
      <c r="H519" s="2"/>
    </row>
    <row r="520">
      <c r="B520" s="2"/>
      <c r="C520" s="2"/>
      <c r="D520" s="2"/>
      <c r="E520" s="58"/>
      <c r="F520" s="2"/>
      <c r="G520" s="2"/>
      <c r="H520" s="2"/>
    </row>
    <row r="521">
      <c r="B521" s="2"/>
      <c r="C521" s="2"/>
      <c r="D521" s="2"/>
      <c r="E521" s="58"/>
      <c r="F521" s="2"/>
      <c r="G521" s="2"/>
      <c r="H521" s="2"/>
    </row>
    <row r="522">
      <c r="B522" s="2"/>
      <c r="C522" s="2"/>
      <c r="D522" s="2"/>
      <c r="E522" s="58"/>
      <c r="F522" s="2"/>
      <c r="G522" s="2"/>
      <c r="H522" s="2"/>
    </row>
    <row r="523">
      <c r="B523" s="2"/>
      <c r="C523" s="2"/>
      <c r="D523" s="2"/>
      <c r="E523" s="58"/>
      <c r="F523" s="2"/>
      <c r="G523" s="2"/>
      <c r="H523" s="2"/>
    </row>
    <row r="524">
      <c r="B524" s="2"/>
      <c r="C524" s="2"/>
      <c r="D524" s="2"/>
      <c r="E524" s="58"/>
      <c r="F524" s="2"/>
      <c r="G524" s="2"/>
      <c r="H524" s="2"/>
    </row>
    <row r="525">
      <c r="B525" s="2"/>
      <c r="C525" s="2"/>
      <c r="D525" s="2"/>
      <c r="E525" s="58"/>
      <c r="F525" s="2"/>
      <c r="G525" s="2"/>
      <c r="H525" s="2"/>
    </row>
    <row r="526">
      <c r="B526" s="2"/>
      <c r="C526" s="2"/>
      <c r="D526" s="2"/>
      <c r="E526" s="58"/>
      <c r="F526" s="2"/>
      <c r="G526" s="2"/>
      <c r="H526" s="2"/>
    </row>
    <row r="527">
      <c r="B527" s="2"/>
      <c r="C527" s="2"/>
      <c r="D527" s="2"/>
      <c r="E527" s="58"/>
      <c r="F527" s="2"/>
      <c r="G527" s="2"/>
      <c r="H527" s="2"/>
    </row>
    <row r="528">
      <c r="B528" s="2"/>
      <c r="C528" s="2"/>
      <c r="D528" s="2"/>
      <c r="E528" s="58"/>
      <c r="F528" s="2"/>
      <c r="G528" s="2"/>
      <c r="H528" s="2"/>
    </row>
    <row r="529">
      <c r="B529" s="2"/>
      <c r="C529" s="2"/>
      <c r="D529" s="2"/>
      <c r="E529" s="58"/>
      <c r="F529" s="2"/>
      <c r="G529" s="2"/>
      <c r="H529" s="2"/>
    </row>
    <row r="530">
      <c r="B530" s="2"/>
      <c r="C530" s="2"/>
      <c r="D530" s="2"/>
      <c r="E530" s="58"/>
      <c r="F530" s="2"/>
      <c r="G530" s="2"/>
      <c r="H530" s="2"/>
    </row>
    <row r="531">
      <c r="B531" s="2"/>
      <c r="C531" s="2"/>
      <c r="D531" s="2"/>
      <c r="E531" s="58"/>
      <c r="F531" s="2"/>
      <c r="G531" s="2"/>
      <c r="H531" s="2"/>
    </row>
    <row r="532">
      <c r="B532" s="2"/>
      <c r="C532" s="2"/>
      <c r="D532" s="2"/>
      <c r="E532" s="58"/>
      <c r="F532" s="2"/>
      <c r="G532" s="2"/>
      <c r="H532" s="2"/>
    </row>
    <row r="533">
      <c r="B533" s="2"/>
      <c r="C533" s="2"/>
      <c r="D533" s="2"/>
      <c r="E533" s="58"/>
      <c r="F533" s="2"/>
      <c r="G533" s="2"/>
      <c r="H533" s="2"/>
    </row>
    <row r="534">
      <c r="B534" s="2"/>
      <c r="C534" s="2"/>
      <c r="D534" s="2"/>
      <c r="E534" s="58"/>
      <c r="F534" s="2"/>
      <c r="G534" s="2"/>
      <c r="H534" s="2"/>
    </row>
    <row r="535">
      <c r="B535" s="2"/>
      <c r="C535" s="2"/>
      <c r="D535" s="2"/>
      <c r="E535" s="58"/>
      <c r="F535" s="2"/>
      <c r="G535" s="2"/>
      <c r="H535" s="2"/>
    </row>
    <row r="536">
      <c r="B536" s="2"/>
      <c r="C536" s="2"/>
      <c r="D536" s="2"/>
      <c r="E536" s="58"/>
      <c r="F536" s="2"/>
      <c r="G536" s="2"/>
      <c r="H536" s="2"/>
    </row>
    <row r="537">
      <c r="B537" s="2"/>
      <c r="C537" s="2"/>
      <c r="D537" s="2"/>
      <c r="E537" s="58"/>
      <c r="F537" s="2"/>
      <c r="G537" s="2"/>
      <c r="H537" s="2"/>
    </row>
    <row r="538">
      <c r="B538" s="2"/>
      <c r="C538" s="2"/>
      <c r="D538" s="2"/>
      <c r="E538" s="58"/>
      <c r="F538" s="2"/>
      <c r="G538" s="2"/>
      <c r="H538" s="2"/>
    </row>
    <row r="539">
      <c r="B539" s="2"/>
      <c r="C539" s="2"/>
      <c r="D539" s="2"/>
      <c r="E539" s="58"/>
      <c r="F539" s="2"/>
      <c r="G539" s="2"/>
      <c r="H539" s="2"/>
    </row>
    <row r="540">
      <c r="B540" s="2"/>
      <c r="C540" s="2"/>
      <c r="D540" s="2"/>
      <c r="E540" s="58"/>
      <c r="F540" s="2"/>
      <c r="G540" s="2"/>
      <c r="H540" s="2"/>
    </row>
    <row r="541">
      <c r="B541" s="2"/>
      <c r="C541" s="2"/>
      <c r="D541" s="2"/>
      <c r="E541" s="58"/>
      <c r="F541" s="2"/>
      <c r="G541" s="2"/>
      <c r="H541" s="2"/>
    </row>
    <row r="542">
      <c r="B542" s="2"/>
      <c r="C542" s="2"/>
      <c r="D542" s="2"/>
      <c r="E542" s="58"/>
      <c r="F542" s="2"/>
      <c r="G542" s="2"/>
      <c r="H542" s="2"/>
    </row>
    <row r="543">
      <c r="B543" s="2"/>
      <c r="C543" s="2"/>
      <c r="D543" s="2"/>
      <c r="E543" s="58"/>
      <c r="F543" s="2"/>
      <c r="G543" s="2"/>
      <c r="H543" s="2"/>
    </row>
    <row r="544">
      <c r="B544" s="2"/>
      <c r="C544" s="2"/>
      <c r="D544" s="2"/>
      <c r="E544" s="58"/>
      <c r="F544" s="2"/>
      <c r="G544" s="2"/>
      <c r="H544" s="2"/>
    </row>
    <row r="545">
      <c r="B545" s="2"/>
      <c r="C545" s="2"/>
      <c r="D545" s="2"/>
      <c r="E545" s="58"/>
      <c r="F545" s="2"/>
      <c r="G545" s="2"/>
      <c r="H545" s="2"/>
    </row>
    <row r="546">
      <c r="B546" s="2"/>
      <c r="C546" s="2"/>
      <c r="D546" s="2"/>
      <c r="E546" s="58"/>
      <c r="F546" s="2"/>
      <c r="G546" s="2"/>
      <c r="H546" s="2"/>
    </row>
    <row r="547">
      <c r="B547" s="2"/>
      <c r="C547" s="2"/>
      <c r="D547" s="2"/>
      <c r="E547" s="58"/>
      <c r="F547" s="2"/>
      <c r="G547" s="2"/>
      <c r="H547" s="2"/>
    </row>
    <row r="548">
      <c r="B548" s="2"/>
      <c r="C548" s="2"/>
      <c r="D548" s="2"/>
      <c r="E548" s="58"/>
      <c r="F548" s="2"/>
      <c r="G548" s="2"/>
      <c r="H548" s="2"/>
    </row>
    <row r="549">
      <c r="B549" s="2"/>
      <c r="C549" s="2"/>
      <c r="D549" s="2"/>
      <c r="E549" s="58"/>
      <c r="F549" s="2"/>
      <c r="G549" s="2"/>
      <c r="H549" s="2"/>
    </row>
    <row r="550">
      <c r="B550" s="2"/>
      <c r="C550" s="2"/>
      <c r="D550" s="2"/>
      <c r="E550" s="58"/>
      <c r="F550" s="2"/>
      <c r="G550" s="2"/>
      <c r="H550" s="2"/>
    </row>
    <row r="551">
      <c r="B551" s="2"/>
      <c r="C551" s="2"/>
      <c r="D551" s="2"/>
      <c r="E551" s="58"/>
      <c r="F551" s="2"/>
      <c r="G551" s="2"/>
      <c r="H551" s="2"/>
    </row>
    <row r="552">
      <c r="B552" s="2"/>
      <c r="C552" s="2"/>
      <c r="D552" s="2"/>
      <c r="E552" s="58"/>
      <c r="F552" s="2"/>
      <c r="G552" s="2"/>
      <c r="H552" s="2"/>
    </row>
    <row r="553">
      <c r="B553" s="2"/>
      <c r="C553" s="2"/>
      <c r="D553" s="2"/>
      <c r="E553" s="58"/>
      <c r="F553" s="2"/>
      <c r="G553" s="2"/>
      <c r="H553" s="2"/>
    </row>
    <row r="554">
      <c r="B554" s="2"/>
      <c r="C554" s="2"/>
      <c r="D554" s="2"/>
      <c r="E554" s="58"/>
      <c r="F554" s="2"/>
      <c r="G554" s="2"/>
      <c r="H554" s="2"/>
    </row>
    <row r="555">
      <c r="B555" s="2"/>
      <c r="C555" s="2"/>
      <c r="D555" s="2"/>
      <c r="E555" s="58"/>
      <c r="F555" s="2"/>
      <c r="G555" s="2"/>
      <c r="H555" s="2"/>
    </row>
    <row r="556">
      <c r="B556" s="2"/>
      <c r="C556" s="2"/>
      <c r="D556" s="2"/>
      <c r="E556" s="58"/>
      <c r="F556" s="2"/>
      <c r="G556" s="2"/>
      <c r="H556" s="2"/>
    </row>
    <row r="557">
      <c r="B557" s="2"/>
      <c r="C557" s="2"/>
      <c r="D557" s="2"/>
      <c r="E557" s="58"/>
      <c r="F557" s="2"/>
      <c r="G557" s="2"/>
      <c r="H557" s="2"/>
    </row>
    <row r="558">
      <c r="B558" s="2"/>
      <c r="C558" s="2"/>
      <c r="D558" s="2"/>
      <c r="E558" s="58"/>
      <c r="F558" s="2"/>
      <c r="G558" s="2"/>
      <c r="H558" s="2"/>
    </row>
    <row r="559">
      <c r="B559" s="2"/>
      <c r="C559" s="2"/>
      <c r="D559" s="2"/>
      <c r="E559" s="58"/>
      <c r="F559" s="2"/>
      <c r="G559" s="2"/>
      <c r="H559" s="2"/>
    </row>
    <row r="560">
      <c r="B560" s="2"/>
      <c r="C560" s="2"/>
      <c r="D560" s="2"/>
      <c r="E560" s="58"/>
      <c r="F560" s="2"/>
      <c r="G560" s="2"/>
      <c r="H560" s="2"/>
    </row>
    <row r="561">
      <c r="B561" s="2"/>
      <c r="C561" s="2"/>
      <c r="D561" s="2"/>
      <c r="E561" s="58"/>
      <c r="F561" s="2"/>
      <c r="G561" s="2"/>
      <c r="H561" s="2"/>
    </row>
    <row r="562">
      <c r="B562" s="2"/>
      <c r="C562" s="2"/>
      <c r="D562" s="2"/>
      <c r="E562" s="58"/>
      <c r="F562" s="2"/>
      <c r="G562" s="2"/>
      <c r="H562" s="2"/>
    </row>
    <row r="563">
      <c r="B563" s="2"/>
      <c r="C563" s="2"/>
      <c r="D563" s="2"/>
      <c r="E563" s="58"/>
      <c r="F563" s="2"/>
      <c r="G563" s="2"/>
      <c r="H563" s="2"/>
    </row>
    <row r="564">
      <c r="B564" s="2"/>
      <c r="C564" s="2"/>
      <c r="D564" s="2"/>
      <c r="E564" s="58"/>
      <c r="F564" s="2"/>
      <c r="G564" s="2"/>
      <c r="H564" s="2"/>
    </row>
    <row r="565">
      <c r="B565" s="2"/>
      <c r="C565" s="2"/>
      <c r="D565" s="2"/>
      <c r="E565" s="58"/>
      <c r="F565" s="2"/>
      <c r="G565" s="2"/>
      <c r="H565" s="2"/>
    </row>
    <row r="566">
      <c r="B566" s="2"/>
      <c r="C566" s="2"/>
      <c r="D566" s="2"/>
      <c r="E566" s="58"/>
      <c r="F566" s="2"/>
      <c r="G566" s="2"/>
      <c r="H566" s="2"/>
    </row>
    <row r="567">
      <c r="B567" s="2"/>
      <c r="C567" s="2"/>
      <c r="D567" s="2"/>
      <c r="E567" s="58"/>
      <c r="F567" s="2"/>
      <c r="G567" s="2"/>
      <c r="H567" s="2"/>
    </row>
    <row r="568">
      <c r="B568" s="2"/>
      <c r="C568" s="2"/>
      <c r="D568" s="2"/>
      <c r="E568" s="58"/>
      <c r="F568" s="2"/>
      <c r="G568" s="2"/>
      <c r="H568" s="2"/>
    </row>
    <row r="569">
      <c r="B569" s="2"/>
      <c r="C569" s="2"/>
      <c r="D569" s="2"/>
      <c r="E569" s="58"/>
      <c r="F569" s="2"/>
      <c r="G569" s="2"/>
      <c r="H569" s="2"/>
    </row>
    <row r="570">
      <c r="B570" s="2"/>
      <c r="C570" s="2"/>
      <c r="D570" s="2"/>
      <c r="E570" s="58"/>
      <c r="F570" s="2"/>
      <c r="G570" s="2"/>
      <c r="H570" s="2"/>
    </row>
    <row r="571">
      <c r="B571" s="2"/>
      <c r="C571" s="2"/>
      <c r="D571" s="2"/>
      <c r="E571" s="58"/>
      <c r="F571" s="2"/>
      <c r="G571" s="2"/>
      <c r="H571" s="2"/>
    </row>
    <row r="572">
      <c r="B572" s="2"/>
      <c r="C572" s="2"/>
      <c r="D572" s="2"/>
      <c r="E572" s="58"/>
      <c r="F572" s="2"/>
      <c r="G572" s="2"/>
      <c r="H572" s="2"/>
    </row>
    <row r="573">
      <c r="B573" s="2"/>
      <c r="C573" s="2"/>
      <c r="D573" s="2"/>
      <c r="E573" s="58"/>
      <c r="F573" s="2"/>
      <c r="G573" s="2"/>
      <c r="H573" s="2"/>
    </row>
    <row r="574">
      <c r="B574" s="2"/>
      <c r="C574" s="2"/>
      <c r="D574" s="2"/>
      <c r="E574" s="58"/>
      <c r="F574" s="2"/>
      <c r="G574" s="2"/>
      <c r="H574" s="2"/>
    </row>
    <row r="575">
      <c r="B575" s="2"/>
      <c r="C575" s="2"/>
      <c r="D575" s="2"/>
      <c r="E575" s="58"/>
      <c r="F575" s="2"/>
      <c r="G575" s="2"/>
      <c r="H575" s="2"/>
    </row>
    <row r="576">
      <c r="B576" s="2"/>
      <c r="C576" s="2"/>
      <c r="D576" s="2"/>
      <c r="E576" s="58"/>
      <c r="F576" s="2"/>
      <c r="G576" s="2"/>
      <c r="H576" s="2"/>
    </row>
    <row r="577">
      <c r="B577" s="2"/>
      <c r="C577" s="2"/>
      <c r="D577" s="2"/>
      <c r="E577" s="58"/>
      <c r="F577" s="2"/>
      <c r="G577" s="2"/>
      <c r="H577" s="2"/>
    </row>
    <row r="578">
      <c r="B578" s="2"/>
      <c r="C578" s="2"/>
      <c r="D578" s="2"/>
      <c r="E578" s="58"/>
      <c r="F578" s="2"/>
      <c r="G578" s="2"/>
      <c r="H578" s="2"/>
    </row>
    <row r="579">
      <c r="B579" s="2"/>
      <c r="C579" s="2"/>
      <c r="D579" s="2"/>
      <c r="E579" s="58"/>
      <c r="F579" s="2"/>
      <c r="G579" s="2"/>
      <c r="H579" s="2"/>
    </row>
    <row r="580">
      <c r="B580" s="2"/>
      <c r="C580" s="2"/>
      <c r="D580" s="2"/>
      <c r="E580" s="58"/>
      <c r="F580" s="2"/>
      <c r="G580" s="2"/>
      <c r="H580" s="2"/>
    </row>
    <row r="581">
      <c r="B581" s="2"/>
      <c r="C581" s="2"/>
      <c r="D581" s="2"/>
      <c r="E581" s="58"/>
      <c r="F581" s="2"/>
      <c r="G581" s="2"/>
      <c r="H581" s="2"/>
    </row>
    <row r="582">
      <c r="B582" s="2"/>
      <c r="C582" s="2"/>
      <c r="D582" s="2"/>
      <c r="E582" s="58"/>
      <c r="F582" s="2"/>
      <c r="G582" s="2"/>
      <c r="H582" s="2"/>
    </row>
    <row r="583">
      <c r="B583" s="2"/>
      <c r="C583" s="2"/>
      <c r="D583" s="2"/>
      <c r="E583" s="58"/>
      <c r="F583" s="2"/>
      <c r="G583" s="2"/>
      <c r="H583" s="2"/>
    </row>
    <row r="584">
      <c r="B584" s="2"/>
      <c r="C584" s="2"/>
      <c r="D584" s="2"/>
      <c r="E584" s="58"/>
      <c r="F584" s="2"/>
      <c r="G584" s="2"/>
      <c r="H584" s="2"/>
    </row>
    <row r="585">
      <c r="B585" s="2"/>
      <c r="C585" s="2"/>
      <c r="D585" s="2"/>
      <c r="E585" s="58"/>
      <c r="F585" s="2"/>
      <c r="G585" s="2"/>
      <c r="H585" s="2"/>
    </row>
    <row r="586">
      <c r="B586" s="2"/>
      <c r="C586" s="2"/>
      <c r="D586" s="2"/>
      <c r="E586" s="58"/>
      <c r="F586" s="2"/>
      <c r="G586" s="2"/>
      <c r="H586" s="2"/>
    </row>
    <row r="587">
      <c r="B587" s="2"/>
      <c r="C587" s="2"/>
      <c r="D587" s="2"/>
      <c r="E587" s="58"/>
      <c r="F587" s="2"/>
      <c r="G587" s="2"/>
      <c r="H587" s="2"/>
    </row>
    <row r="588">
      <c r="B588" s="2"/>
      <c r="C588" s="2"/>
      <c r="D588" s="2"/>
      <c r="E588" s="58"/>
      <c r="F588" s="2"/>
      <c r="G588" s="2"/>
      <c r="H588" s="2"/>
    </row>
    <row r="589">
      <c r="B589" s="2"/>
      <c r="C589" s="2"/>
      <c r="D589" s="2"/>
      <c r="E589" s="58"/>
      <c r="F589" s="2"/>
      <c r="G589" s="2"/>
      <c r="H589" s="2"/>
    </row>
    <row r="590">
      <c r="B590" s="2"/>
      <c r="C590" s="2"/>
      <c r="D590" s="2"/>
      <c r="E590" s="58"/>
      <c r="F590" s="2"/>
      <c r="G590" s="2"/>
      <c r="H590" s="2"/>
    </row>
    <row r="591">
      <c r="B591" s="2"/>
      <c r="C591" s="2"/>
      <c r="D591" s="2"/>
      <c r="E591" s="58"/>
      <c r="F591" s="2"/>
      <c r="G591" s="2"/>
      <c r="H591" s="2"/>
    </row>
    <row r="592">
      <c r="B592" s="2"/>
      <c r="C592" s="2"/>
      <c r="D592" s="2"/>
      <c r="E592" s="58"/>
      <c r="F592" s="2"/>
      <c r="G592" s="2"/>
      <c r="H592" s="2"/>
    </row>
    <row r="593">
      <c r="B593" s="2"/>
      <c r="C593" s="2"/>
      <c r="D593" s="2"/>
      <c r="E593" s="58"/>
      <c r="F593" s="2"/>
      <c r="G593" s="2"/>
      <c r="H593" s="2"/>
    </row>
    <row r="594">
      <c r="B594" s="2"/>
      <c r="C594" s="2"/>
      <c r="D594" s="2"/>
      <c r="E594" s="58"/>
      <c r="F594" s="2"/>
      <c r="G594" s="2"/>
      <c r="H594" s="2"/>
    </row>
    <row r="595">
      <c r="B595" s="2"/>
      <c r="C595" s="2"/>
      <c r="D595" s="2"/>
      <c r="E595" s="58"/>
      <c r="F595" s="2"/>
      <c r="G595" s="2"/>
      <c r="H595" s="2"/>
    </row>
    <row r="596">
      <c r="B596" s="2"/>
      <c r="C596" s="2"/>
      <c r="D596" s="2"/>
      <c r="E596" s="58"/>
      <c r="F596" s="2"/>
      <c r="G596" s="2"/>
      <c r="H596" s="2"/>
    </row>
    <row r="597">
      <c r="B597" s="2"/>
      <c r="C597" s="2"/>
      <c r="D597" s="2"/>
      <c r="E597" s="58"/>
      <c r="F597" s="2"/>
      <c r="G597" s="2"/>
      <c r="H597" s="2"/>
    </row>
    <row r="598">
      <c r="B598" s="2"/>
      <c r="C598" s="2"/>
      <c r="D598" s="2"/>
      <c r="E598" s="58"/>
      <c r="F598" s="2"/>
      <c r="G598" s="2"/>
      <c r="H598" s="2"/>
    </row>
    <row r="599">
      <c r="B599" s="2"/>
      <c r="C599" s="2"/>
      <c r="D599" s="2"/>
      <c r="E599" s="58"/>
      <c r="F599" s="2"/>
      <c r="G599" s="2"/>
      <c r="H599" s="2"/>
    </row>
    <row r="600">
      <c r="B600" s="2"/>
      <c r="C600" s="2"/>
      <c r="D600" s="2"/>
      <c r="E600" s="58"/>
      <c r="F600" s="2"/>
      <c r="G600" s="2"/>
      <c r="H600" s="2"/>
    </row>
    <row r="601">
      <c r="B601" s="2"/>
      <c r="C601" s="2"/>
      <c r="D601" s="2"/>
      <c r="E601" s="58"/>
      <c r="F601" s="2"/>
      <c r="G601" s="2"/>
      <c r="H601" s="2"/>
    </row>
    <row r="602">
      <c r="B602" s="2"/>
      <c r="C602" s="2"/>
      <c r="D602" s="2"/>
      <c r="E602" s="58"/>
      <c r="F602" s="2"/>
      <c r="G602" s="2"/>
      <c r="H602" s="2"/>
    </row>
    <row r="603">
      <c r="B603" s="2"/>
      <c r="C603" s="2"/>
      <c r="D603" s="2"/>
      <c r="E603" s="58"/>
      <c r="F603" s="2"/>
      <c r="G603" s="2"/>
      <c r="H603" s="2"/>
    </row>
    <row r="604">
      <c r="B604" s="2"/>
      <c r="C604" s="2"/>
      <c r="D604" s="2"/>
      <c r="E604" s="58"/>
      <c r="F604" s="2"/>
      <c r="G604" s="2"/>
      <c r="H604" s="2"/>
    </row>
    <row r="605">
      <c r="B605" s="2"/>
      <c r="C605" s="2"/>
      <c r="D605" s="2"/>
      <c r="E605" s="58"/>
      <c r="F605" s="2"/>
      <c r="G605" s="2"/>
      <c r="H605" s="2"/>
    </row>
    <row r="606">
      <c r="B606" s="2"/>
      <c r="C606" s="2"/>
      <c r="D606" s="2"/>
      <c r="E606" s="58"/>
      <c r="F606" s="2"/>
      <c r="G606" s="2"/>
      <c r="H606" s="2"/>
    </row>
    <row r="607">
      <c r="B607" s="2"/>
      <c r="C607" s="2"/>
      <c r="D607" s="2"/>
      <c r="E607" s="58"/>
      <c r="F607" s="2"/>
      <c r="G607" s="2"/>
      <c r="H607" s="2"/>
    </row>
    <row r="608">
      <c r="B608" s="2"/>
      <c r="C608" s="2"/>
      <c r="D608" s="2"/>
      <c r="E608" s="58"/>
      <c r="F608" s="2"/>
      <c r="G608" s="2"/>
      <c r="H608" s="2"/>
    </row>
    <row r="609">
      <c r="B609" s="2"/>
      <c r="C609" s="2"/>
      <c r="D609" s="2"/>
      <c r="E609" s="58"/>
      <c r="F609" s="2"/>
      <c r="G609" s="2"/>
      <c r="H609" s="2"/>
    </row>
    <row r="610">
      <c r="B610" s="2"/>
      <c r="C610" s="2"/>
      <c r="D610" s="2"/>
      <c r="E610" s="58"/>
      <c r="F610" s="2"/>
      <c r="G610" s="2"/>
      <c r="H610" s="2"/>
    </row>
    <row r="611">
      <c r="B611" s="2"/>
      <c r="C611" s="2"/>
      <c r="D611" s="2"/>
      <c r="E611" s="58"/>
      <c r="F611" s="2"/>
      <c r="G611" s="2"/>
      <c r="H611" s="2"/>
    </row>
    <row r="612">
      <c r="B612" s="2"/>
      <c r="C612" s="2"/>
      <c r="D612" s="2"/>
      <c r="E612" s="58"/>
      <c r="F612" s="2"/>
      <c r="G612" s="2"/>
      <c r="H612" s="2"/>
    </row>
    <row r="613">
      <c r="B613" s="2"/>
      <c r="C613" s="2"/>
      <c r="D613" s="2"/>
      <c r="E613" s="58"/>
      <c r="F613" s="2"/>
      <c r="G613" s="2"/>
      <c r="H613" s="2"/>
    </row>
    <row r="614">
      <c r="B614" s="2"/>
      <c r="C614" s="2"/>
      <c r="D614" s="2"/>
      <c r="E614" s="58"/>
      <c r="F614" s="2"/>
      <c r="G614" s="2"/>
      <c r="H614" s="2"/>
    </row>
    <row r="615">
      <c r="B615" s="2"/>
      <c r="C615" s="2"/>
      <c r="D615" s="2"/>
      <c r="E615" s="58"/>
      <c r="F615" s="2"/>
      <c r="G615" s="2"/>
      <c r="H615" s="2"/>
    </row>
    <row r="616">
      <c r="B616" s="2"/>
      <c r="C616" s="2"/>
      <c r="D616" s="2"/>
      <c r="E616" s="58"/>
      <c r="F616" s="2"/>
      <c r="G616" s="2"/>
      <c r="H616" s="2"/>
    </row>
    <row r="617">
      <c r="B617" s="2"/>
      <c r="C617" s="2"/>
      <c r="D617" s="2"/>
      <c r="E617" s="58"/>
      <c r="F617" s="2"/>
      <c r="G617" s="2"/>
      <c r="H617" s="2"/>
    </row>
    <row r="618">
      <c r="B618" s="2"/>
      <c r="C618" s="2"/>
      <c r="D618" s="2"/>
      <c r="E618" s="58"/>
      <c r="F618" s="2"/>
      <c r="G618" s="2"/>
      <c r="H618" s="2"/>
    </row>
    <row r="619">
      <c r="B619" s="2"/>
      <c r="C619" s="2"/>
      <c r="D619" s="2"/>
      <c r="E619" s="58"/>
      <c r="F619" s="2"/>
      <c r="G619" s="2"/>
      <c r="H619" s="2"/>
    </row>
    <row r="620">
      <c r="B620" s="2"/>
      <c r="C620" s="2"/>
      <c r="D620" s="2"/>
      <c r="E620" s="58"/>
      <c r="F620" s="2"/>
      <c r="G620" s="2"/>
      <c r="H620" s="2"/>
    </row>
    <row r="621">
      <c r="B621" s="2"/>
      <c r="C621" s="2"/>
      <c r="D621" s="2"/>
      <c r="E621" s="58"/>
      <c r="F621" s="2"/>
      <c r="G621" s="2"/>
      <c r="H621" s="2"/>
    </row>
    <row r="622">
      <c r="B622" s="2"/>
      <c r="C622" s="2"/>
      <c r="D622" s="2"/>
      <c r="E622" s="58"/>
      <c r="F622" s="2"/>
      <c r="G622" s="2"/>
      <c r="H622" s="2"/>
    </row>
    <row r="623">
      <c r="B623" s="2"/>
      <c r="C623" s="2"/>
      <c r="D623" s="2"/>
      <c r="E623" s="58"/>
      <c r="F623" s="2"/>
      <c r="G623" s="2"/>
      <c r="H623" s="2"/>
    </row>
    <row r="624">
      <c r="B624" s="2"/>
      <c r="C624" s="2"/>
      <c r="D624" s="2"/>
      <c r="E624" s="58"/>
      <c r="F624" s="2"/>
      <c r="G624" s="2"/>
      <c r="H624" s="2"/>
    </row>
    <row r="625">
      <c r="B625" s="2"/>
      <c r="C625" s="2"/>
      <c r="D625" s="2"/>
      <c r="E625" s="58"/>
      <c r="F625" s="2"/>
      <c r="G625" s="2"/>
      <c r="H625" s="2"/>
    </row>
    <row r="626">
      <c r="B626" s="2"/>
      <c r="C626" s="2"/>
      <c r="D626" s="2"/>
      <c r="E626" s="58"/>
      <c r="F626" s="2"/>
      <c r="G626" s="2"/>
      <c r="H626" s="2"/>
    </row>
    <row r="627">
      <c r="B627" s="2"/>
      <c r="C627" s="2"/>
      <c r="D627" s="2"/>
      <c r="E627" s="58"/>
      <c r="F627" s="2"/>
      <c r="G627" s="2"/>
      <c r="H627" s="2"/>
    </row>
    <row r="628">
      <c r="B628" s="2"/>
      <c r="C628" s="2"/>
      <c r="D628" s="2"/>
      <c r="E628" s="58"/>
      <c r="F628" s="2"/>
      <c r="G628" s="2"/>
      <c r="H628" s="2"/>
    </row>
    <row r="629">
      <c r="B629" s="2"/>
      <c r="C629" s="2"/>
      <c r="D629" s="2"/>
      <c r="E629" s="58"/>
      <c r="F629" s="2"/>
      <c r="G629" s="2"/>
      <c r="H629" s="2"/>
    </row>
    <row r="630">
      <c r="B630" s="2"/>
      <c r="C630" s="2"/>
      <c r="D630" s="2"/>
      <c r="E630" s="58"/>
      <c r="F630" s="2"/>
      <c r="G630" s="2"/>
      <c r="H630" s="2"/>
    </row>
    <row r="631">
      <c r="B631" s="2"/>
      <c r="C631" s="2"/>
      <c r="D631" s="2"/>
      <c r="E631" s="58"/>
      <c r="F631" s="2"/>
      <c r="G631" s="2"/>
      <c r="H631" s="2"/>
    </row>
    <row r="632">
      <c r="B632" s="2"/>
      <c r="C632" s="2"/>
      <c r="D632" s="2"/>
      <c r="E632" s="58"/>
      <c r="F632" s="2"/>
      <c r="G632" s="2"/>
      <c r="H632" s="2"/>
    </row>
    <row r="633">
      <c r="B633" s="2"/>
      <c r="C633" s="2"/>
      <c r="D633" s="2"/>
      <c r="E633" s="58"/>
      <c r="F633" s="2"/>
      <c r="G633" s="2"/>
      <c r="H633" s="2"/>
    </row>
    <row r="634">
      <c r="B634" s="2"/>
      <c r="C634" s="2"/>
      <c r="D634" s="2"/>
      <c r="E634" s="58"/>
      <c r="F634" s="2"/>
      <c r="G634" s="2"/>
      <c r="H634" s="2"/>
    </row>
    <row r="635">
      <c r="B635" s="2"/>
      <c r="C635" s="2"/>
      <c r="D635" s="2"/>
      <c r="E635" s="58"/>
      <c r="F635" s="2"/>
      <c r="G635" s="2"/>
      <c r="H635" s="2"/>
    </row>
    <row r="636">
      <c r="B636" s="2"/>
      <c r="C636" s="2"/>
      <c r="D636" s="2"/>
      <c r="E636" s="58"/>
      <c r="F636" s="2"/>
      <c r="G636" s="2"/>
      <c r="H636" s="2"/>
    </row>
    <row r="637">
      <c r="B637" s="2"/>
      <c r="C637" s="2"/>
      <c r="D637" s="2"/>
      <c r="E637" s="58"/>
      <c r="F637" s="2"/>
      <c r="G637" s="2"/>
      <c r="H637" s="2"/>
    </row>
    <row r="638">
      <c r="B638" s="2"/>
      <c r="C638" s="2"/>
      <c r="D638" s="2"/>
      <c r="E638" s="58"/>
      <c r="F638" s="2"/>
      <c r="G638" s="2"/>
      <c r="H638" s="2"/>
    </row>
    <row r="639">
      <c r="B639" s="2"/>
      <c r="C639" s="2"/>
      <c r="D639" s="2"/>
      <c r="E639" s="58"/>
      <c r="F639" s="2"/>
      <c r="G639" s="2"/>
      <c r="H639" s="2"/>
    </row>
    <row r="640">
      <c r="B640" s="2"/>
      <c r="C640" s="2"/>
      <c r="D640" s="2"/>
      <c r="E640" s="58"/>
      <c r="F640" s="2"/>
      <c r="G640" s="2"/>
      <c r="H640" s="2"/>
    </row>
    <row r="641">
      <c r="B641" s="2"/>
      <c r="C641" s="2"/>
      <c r="D641" s="2"/>
      <c r="E641" s="58"/>
      <c r="F641" s="2"/>
      <c r="G641" s="2"/>
      <c r="H641" s="2"/>
    </row>
    <row r="642">
      <c r="B642" s="2"/>
      <c r="C642" s="2"/>
      <c r="D642" s="2"/>
      <c r="E642" s="58"/>
      <c r="F642" s="2"/>
      <c r="G642" s="2"/>
      <c r="H642" s="2"/>
    </row>
    <row r="643">
      <c r="B643" s="2"/>
      <c r="C643" s="2"/>
      <c r="D643" s="2"/>
      <c r="E643" s="58"/>
      <c r="F643" s="2"/>
      <c r="G643" s="2"/>
      <c r="H643" s="2"/>
    </row>
    <row r="644">
      <c r="B644" s="2"/>
      <c r="C644" s="2"/>
      <c r="D644" s="2"/>
      <c r="E644" s="58"/>
      <c r="F644" s="2"/>
      <c r="G644" s="2"/>
      <c r="H644" s="2"/>
    </row>
    <row r="645">
      <c r="B645" s="2"/>
      <c r="C645" s="2"/>
      <c r="D645" s="2"/>
      <c r="E645" s="58"/>
      <c r="F645" s="2"/>
      <c r="G645" s="2"/>
      <c r="H645" s="2"/>
    </row>
    <row r="646">
      <c r="B646" s="2"/>
      <c r="C646" s="2"/>
      <c r="D646" s="2"/>
      <c r="E646" s="58"/>
      <c r="F646" s="2"/>
      <c r="G646" s="2"/>
      <c r="H646" s="2"/>
    </row>
    <row r="647">
      <c r="B647" s="2"/>
      <c r="C647" s="2"/>
      <c r="D647" s="2"/>
      <c r="E647" s="58"/>
      <c r="F647" s="2"/>
      <c r="G647" s="2"/>
      <c r="H647" s="2"/>
    </row>
    <row r="648">
      <c r="B648" s="2"/>
      <c r="C648" s="2"/>
      <c r="D648" s="2"/>
      <c r="E648" s="58"/>
      <c r="F648" s="2"/>
      <c r="G648" s="2"/>
      <c r="H648" s="2"/>
    </row>
    <row r="649">
      <c r="B649" s="2"/>
      <c r="C649" s="2"/>
      <c r="D649" s="2"/>
      <c r="E649" s="58"/>
      <c r="F649" s="2"/>
      <c r="G649" s="2"/>
      <c r="H649" s="2"/>
    </row>
    <row r="650">
      <c r="B650" s="2"/>
      <c r="C650" s="2"/>
      <c r="D650" s="2"/>
      <c r="E650" s="58"/>
      <c r="F650" s="2"/>
      <c r="G650" s="2"/>
      <c r="H650" s="2"/>
    </row>
    <row r="651">
      <c r="B651" s="2"/>
      <c r="C651" s="2"/>
      <c r="D651" s="2"/>
      <c r="E651" s="58"/>
      <c r="F651" s="2"/>
      <c r="G651" s="2"/>
      <c r="H651" s="2"/>
    </row>
    <row r="652">
      <c r="B652" s="2"/>
      <c r="C652" s="2"/>
      <c r="D652" s="2"/>
      <c r="E652" s="58"/>
      <c r="F652" s="2"/>
      <c r="G652" s="2"/>
      <c r="H652" s="2"/>
    </row>
    <row r="653">
      <c r="B653" s="2"/>
      <c r="C653" s="2"/>
      <c r="D653" s="2"/>
      <c r="E653" s="58"/>
      <c r="F653" s="2"/>
      <c r="G653" s="2"/>
      <c r="H653" s="2"/>
    </row>
    <row r="654">
      <c r="B654" s="2"/>
      <c r="C654" s="2"/>
      <c r="D654" s="2"/>
      <c r="E654" s="58"/>
      <c r="F654" s="2"/>
      <c r="G654" s="2"/>
      <c r="H654" s="2"/>
    </row>
    <row r="655">
      <c r="B655" s="2"/>
      <c r="C655" s="2"/>
      <c r="D655" s="2"/>
      <c r="E655" s="58"/>
      <c r="F655" s="2"/>
      <c r="G655" s="2"/>
      <c r="H655" s="2"/>
    </row>
    <row r="656">
      <c r="B656" s="2"/>
      <c r="C656" s="2"/>
      <c r="D656" s="2"/>
      <c r="E656" s="58"/>
      <c r="F656" s="2"/>
      <c r="G656" s="2"/>
      <c r="H656" s="2"/>
    </row>
    <row r="657">
      <c r="B657" s="2"/>
      <c r="C657" s="2"/>
      <c r="D657" s="2"/>
      <c r="E657" s="58"/>
      <c r="F657" s="2"/>
      <c r="G657" s="2"/>
      <c r="H657" s="2"/>
    </row>
    <row r="658">
      <c r="B658" s="2"/>
      <c r="C658" s="2"/>
      <c r="D658" s="2"/>
      <c r="E658" s="58"/>
      <c r="F658" s="2"/>
      <c r="G658" s="2"/>
      <c r="H658" s="2"/>
    </row>
    <row r="659">
      <c r="B659" s="2"/>
      <c r="C659" s="2"/>
      <c r="D659" s="2"/>
      <c r="E659" s="58"/>
      <c r="F659" s="2"/>
      <c r="G659" s="2"/>
      <c r="H659" s="2"/>
    </row>
    <row r="660">
      <c r="B660" s="2"/>
      <c r="C660" s="2"/>
      <c r="D660" s="2"/>
      <c r="E660" s="58"/>
      <c r="F660" s="2"/>
      <c r="G660" s="2"/>
      <c r="H660" s="2"/>
    </row>
    <row r="661">
      <c r="B661" s="2"/>
      <c r="C661" s="2"/>
      <c r="D661" s="2"/>
      <c r="E661" s="58"/>
      <c r="F661" s="2"/>
      <c r="G661" s="2"/>
      <c r="H661" s="2"/>
    </row>
    <row r="662">
      <c r="B662" s="2"/>
      <c r="C662" s="2"/>
      <c r="D662" s="2"/>
      <c r="E662" s="58"/>
      <c r="F662" s="2"/>
      <c r="G662" s="2"/>
      <c r="H662" s="2"/>
    </row>
    <row r="663">
      <c r="B663" s="2"/>
      <c r="C663" s="2"/>
      <c r="D663" s="2"/>
      <c r="E663" s="58"/>
      <c r="F663" s="2"/>
      <c r="G663" s="2"/>
      <c r="H663" s="2"/>
    </row>
    <row r="664">
      <c r="B664" s="2"/>
      <c r="C664" s="2"/>
      <c r="D664" s="2"/>
      <c r="E664" s="58"/>
      <c r="F664" s="2"/>
      <c r="G664" s="2"/>
      <c r="H664" s="2"/>
    </row>
    <row r="665">
      <c r="B665" s="2"/>
      <c r="C665" s="2"/>
      <c r="D665" s="2"/>
      <c r="E665" s="58"/>
      <c r="F665" s="2"/>
      <c r="G665" s="2"/>
      <c r="H665" s="2"/>
    </row>
    <row r="666">
      <c r="B666" s="2"/>
      <c r="C666" s="2"/>
      <c r="D666" s="2"/>
      <c r="E666" s="58"/>
      <c r="F666" s="2"/>
      <c r="G666" s="2"/>
      <c r="H666" s="2"/>
    </row>
    <row r="667">
      <c r="B667" s="2"/>
      <c r="C667" s="2"/>
      <c r="D667" s="2"/>
      <c r="E667" s="58"/>
      <c r="F667" s="2"/>
      <c r="G667" s="2"/>
      <c r="H667" s="2"/>
    </row>
    <row r="668">
      <c r="B668" s="2"/>
      <c r="C668" s="2"/>
      <c r="D668" s="2"/>
      <c r="E668" s="58"/>
      <c r="F668" s="2"/>
      <c r="G668" s="2"/>
      <c r="H668" s="2"/>
    </row>
    <row r="669">
      <c r="B669" s="2"/>
      <c r="C669" s="2"/>
      <c r="D669" s="2"/>
      <c r="E669" s="58"/>
      <c r="F669" s="2"/>
      <c r="G669" s="2"/>
      <c r="H669" s="2"/>
    </row>
    <row r="670">
      <c r="B670" s="2"/>
      <c r="C670" s="2"/>
      <c r="D670" s="2"/>
      <c r="E670" s="58"/>
      <c r="F670" s="2"/>
      <c r="G670" s="2"/>
      <c r="H670" s="2"/>
    </row>
    <row r="671">
      <c r="B671" s="2"/>
      <c r="C671" s="2"/>
      <c r="D671" s="2"/>
      <c r="E671" s="58"/>
      <c r="F671" s="2"/>
      <c r="G671" s="2"/>
      <c r="H671" s="2"/>
    </row>
    <row r="672">
      <c r="B672" s="2"/>
      <c r="C672" s="2"/>
      <c r="D672" s="2"/>
      <c r="E672" s="58"/>
      <c r="F672" s="2"/>
      <c r="G672" s="2"/>
      <c r="H672" s="2"/>
    </row>
    <row r="673">
      <c r="B673" s="2"/>
      <c r="C673" s="2"/>
      <c r="D673" s="2"/>
      <c r="E673" s="58"/>
      <c r="F673" s="2"/>
      <c r="G673" s="2"/>
      <c r="H673" s="2"/>
    </row>
    <row r="674">
      <c r="B674" s="2"/>
      <c r="C674" s="2"/>
      <c r="D674" s="2"/>
      <c r="E674" s="58"/>
      <c r="F674" s="2"/>
      <c r="G674" s="2"/>
      <c r="H674" s="2"/>
    </row>
    <row r="675">
      <c r="B675" s="2"/>
      <c r="C675" s="2"/>
      <c r="D675" s="2"/>
      <c r="E675" s="58"/>
      <c r="F675" s="2"/>
      <c r="G675" s="2"/>
      <c r="H675" s="2"/>
    </row>
    <row r="676">
      <c r="B676" s="2"/>
      <c r="C676" s="2"/>
      <c r="D676" s="2"/>
      <c r="E676" s="58"/>
      <c r="F676" s="2"/>
      <c r="G676" s="2"/>
      <c r="H676" s="2"/>
    </row>
    <row r="677">
      <c r="B677" s="2"/>
      <c r="C677" s="2"/>
      <c r="D677" s="2"/>
      <c r="E677" s="58"/>
      <c r="F677" s="2"/>
      <c r="G677" s="2"/>
      <c r="H677" s="2"/>
    </row>
    <row r="678">
      <c r="B678" s="2"/>
      <c r="C678" s="2"/>
      <c r="D678" s="2"/>
      <c r="E678" s="58"/>
      <c r="F678" s="2"/>
      <c r="G678" s="2"/>
      <c r="H678" s="2"/>
    </row>
    <row r="679">
      <c r="B679" s="2"/>
      <c r="C679" s="2"/>
      <c r="D679" s="2"/>
      <c r="E679" s="58"/>
      <c r="F679" s="2"/>
      <c r="G679" s="2"/>
      <c r="H679" s="2"/>
    </row>
    <row r="680">
      <c r="B680" s="2"/>
      <c r="C680" s="2"/>
      <c r="D680" s="2"/>
      <c r="E680" s="58"/>
      <c r="F680" s="2"/>
      <c r="G680" s="2"/>
      <c r="H680" s="2"/>
    </row>
    <row r="681">
      <c r="B681" s="2"/>
      <c r="C681" s="2"/>
      <c r="D681" s="2"/>
      <c r="E681" s="58"/>
      <c r="F681" s="2"/>
      <c r="G681" s="2"/>
      <c r="H681" s="2"/>
    </row>
    <row r="682">
      <c r="B682" s="2"/>
      <c r="C682" s="2"/>
      <c r="D682" s="2"/>
      <c r="E682" s="58"/>
      <c r="F682" s="2"/>
      <c r="G682" s="2"/>
      <c r="H682" s="2"/>
    </row>
    <row r="683">
      <c r="B683" s="2"/>
      <c r="C683" s="2"/>
      <c r="D683" s="2"/>
      <c r="E683" s="58"/>
      <c r="F683" s="2"/>
      <c r="G683" s="2"/>
      <c r="H683" s="2"/>
    </row>
    <row r="684">
      <c r="B684" s="2"/>
      <c r="C684" s="2"/>
      <c r="D684" s="2"/>
      <c r="E684" s="58"/>
      <c r="F684" s="2"/>
      <c r="G684" s="2"/>
      <c r="H684" s="2"/>
    </row>
    <row r="685">
      <c r="B685" s="2"/>
      <c r="C685" s="2"/>
      <c r="D685" s="2"/>
      <c r="E685" s="58"/>
      <c r="F685" s="2"/>
      <c r="G685" s="2"/>
      <c r="H685" s="2"/>
    </row>
    <row r="686">
      <c r="B686" s="2"/>
      <c r="C686" s="2"/>
      <c r="D686" s="2"/>
      <c r="E686" s="58"/>
      <c r="F686" s="2"/>
      <c r="G686" s="2"/>
      <c r="H686" s="2"/>
    </row>
    <row r="687">
      <c r="B687" s="2"/>
      <c r="C687" s="2"/>
      <c r="D687" s="2"/>
      <c r="E687" s="58"/>
      <c r="F687" s="2"/>
      <c r="G687" s="2"/>
      <c r="H687" s="2"/>
    </row>
    <row r="688">
      <c r="B688" s="2"/>
      <c r="C688" s="2"/>
      <c r="D688" s="2"/>
      <c r="E688" s="58"/>
      <c r="F688" s="2"/>
      <c r="G688" s="2"/>
      <c r="H688" s="2"/>
    </row>
    <row r="689">
      <c r="B689" s="2"/>
      <c r="C689" s="2"/>
      <c r="D689" s="2"/>
      <c r="E689" s="58"/>
      <c r="F689" s="2"/>
      <c r="G689" s="2"/>
      <c r="H689" s="2"/>
    </row>
    <row r="690">
      <c r="B690" s="2"/>
      <c r="C690" s="2"/>
      <c r="D690" s="2"/>
      <c r="E690" s="58"/>
      <c r="F690" s="2"/>
      <c r="G690" s="2"/>
      <c r="H690" s="2"/>
    </row>
    <row r="691">
      <c r="B691" s="2"/>
      <c r="C691" s="2"/>
      <c r="D691" s="2"/>
      <c r="E691" s="58"/>
      <c r="F691" s="2"/>
      <c r="G691" s="2"/>
      <c r="H691" s="2"/>
    </row>
    <row r="692">
      <c r="B692" s="2"/>
      <c r="C692" s="2"/>
      <c r="D692" s="2"/>
      <c r="E692" s="58"/>
      <c r="F692" s="2"/>
      <c r="G692" s="2"/>
      <c r="H692" s="2"/>
    </row>
    <row r="693">
      <c r="B693" s="2"/>
      <c r="C693" s="2"/>
      <c r="D693" s="2"/>
      <c r="E693" s="58"/>
      <c r="F693" s="2"/>
      <c r="G693" s="2"/>
      <c r="H693" s="2"/>
    </row>
    <row r="694">
      <c r="B694" s="2"/>
      <c r="C694" s="2"/>
      <c r="D694" s="2"/>
      <c r="E694" s="58"/>
      <c r="F694" s="2"/>
      <c r="G694" s="2"/>
      <c r="H694" s="2"/>
    </row>
    <row r="695">
      <c r="B695" s="2"/>
      <c r="C695" s="2"/>
      <c r="D695" s="2"/>
      <c r="E695" s="58"/>
      <c r="F695" s="2"/>
      <c r="G695" s="2"/>
      <c r="H695" s="2"/>
    </row>
    <row r="696">
      <c r="B696" s="2"/>
      <c r="C696" s="2"/>
      <c r="D696" s="2"/>
      <c r="E696" s="58"/>
      <c r="F696" s="2"/>
      <c r="G696" s="2"/>
      <c r="H696" s="2"/>
    </row>
    <row r="697">
      <c r="B697" s="2"/>
      <c r="C697" s="2"/>
      <c r="D697" s="2"/>
      <c r="E697" s="58"/>
      <c r="F697" s="2"/>
      <c r="G697" s="2"/>
      <c r="H697" s="2"/>
    </row>
    <row r="698">
      <c r="B698" s="2"/>
      <c r="C698" s="2"/>
      <c r="D698" s="2"/>
      <c r="E698" s="58"/>
      <c r="F698" s="2"/>
      <c r="G698" s="2"/>
      <c r="H698" s="2"/>
    </row>
    <row r="699">
      <c r="B699" s="2"/>
      <c r="C699" s="2"/>
      <c r="D699" s="2"/>
      <c r="E699" s="58"/>
      <c r="F699" s="2"/>
      <c r="G699" s="2"/>
      <c r="H699" s="2"/>
    </row>
    <row r="700">
      <c r="B700" s="2"/>
      <c r="C700" s="2"/>
      <c r="D700" s="2"/>
      <c r="E700" s="58"/>
      <c r="F700" s="2"/>
      <c r="G700" s="2"/>
      <c r="H700" s="2"/>
    </row>
    <row r="701">
      <c r="B701" s="2"/>
      <c r="C701" s="2"/>
      <c r="D701" s="2"/>
      <c r="E701" s="58"/>
      <c r="F701" s="2"/>
      <c r="G701" s="2"/>
      <c r="H701" s="2"/>
    </row>
    <row r="702">
      <c r="B702" s="2"/>
      <c r="C702" s="2"/>
      <c r="D702" s="2"/>
      <c r="E702" s="58"/>
      <c r="F702" s="2"/>
      <c r="G702" s="2"/>
      <c r="H702" s="2"/>
    </row>
    <row r="703">
      <c r="B703" s="2"/>
      <c r="C703" s="2"/>
      <c r="D703" s="2"/>
      <c r="E703" s="58"/>
      <c r="F703" s="2"/>
      <c r="G703" s="2"/>
      <c r="H703" s="2"/>
    </row>
    <row r="704">
      <c r="B704" s="2"/>
      <c r="C704" s="2"/>
      <c r="D704" s="2"/>
      <c r="E704" s="58"/>
      <c r="F704" s="2"/>
      <c r="G704" s="2"/>
      <c r="H704" s="2"/>
    </row>
    <row r="705">
      <c r="B705" s="2"/>
      <c r="C705" s="2"/>
      <c r="D705" s="2"/>
      <c r="E705" s="58"/>
      <c r="F705" s="2"/>
      <c r="G705" s="2"/>
      <c r="H705" s="2"/>
    </row>
    <row r="706">
      <c r="B706" s="2"/>
      <c r="C706" s="2"/>
      <c r="D706" s="2"/>
      <c r="E706" s="58"/>
      <c r="F706" s="2"/>
      <c r="G706" s="2"/>
      <c r="H706" s="2"/>
    </row>
    <row r="707">
      <c r="B707" s="2"/>
      <c r="C707" s="2"/>
      <c r="D707" s="2"/>
      <c r="E707" s="58"/>
      <c r="F707" s="2"/>
      <c r="G707" s="2"/>
      <c r="H707" s="2"/>
    </row>
    <row r="708">
      <c r="B708" s="2"/>
      <c r="C708" s="2"/>
      <c r="D708" s="2"/>
      <c r="E708" s="58"/>
      <c r="F708" s="2"/>
      <c r="G708" s="2"/>
      <c r="H708" s="2"/>
    </row>
    <row r="709">
      <c r="B709" s="2"/>
      <c r="C709" s="2"/>
      <c r="D709" s="2"/>
      <c r="E709" s="58"/>
      <c r="F709" s="2"/>
      <c r="G709" s="2"/>
      <c r="H709" s="2"/>
    </row>
    <row r="710">
      <c r="B710" s="2"/>
      <c r="C710" s="2"/>
      <c r="D710" s="2"/>
      <c r="E710" s="58"/>
      <c r="F710" s="2"/>
      <c r="G710" s="2"/>
      <c r="H710" s="2"/>
    </row>
    <row r="711">
      <c r="B711" s="2"/>
      <c r="C711" s="2"/>
      <c r="D711" s="2"/>
      <c r="E711" s="58"/>
      <c r="F711" s="2"/>
      <c r="G711" s="2"/>
      <c r="H711" s="2"/>
    </row>
    <row r="712">
      <c r="B712" s="2"/>
      <c r="C712" s="2"/>
      <c r="D712" s="2"/>
      <c r="E712" s="58"/>
      <c r="F712" s="2"/>
      <c r="G712" s="2"/>
      <c r="H712" s="2"/>
    </row>
    <row r="713">
      <c r="B713" s="2"/>
      <c r="C713" s="2"/>
      <c r="D713" s="2"/>
      <c r="E713" s="58"/>
      <c r="F713" s="2"/>
      <c r="G713" s="2"/>
      <c r="H713" s="2"/>
    </row>
    <row r="714">
      <c r="B714" s="2"/>
      <c r="C714" s="2"/>
      <c r="D714" s="2"/>
      <c r="E714" s="58"/>
      <c r="F714" s="2"/>
      <c r="G714" s="2"/>
      <c r="H714" s="2"/>
    </row>
    <row r="715">
      <c r="B715" s="2"/>
      <c r="C715" s="2"/>
      <c r="D715" s="2"/>
      <c r="E715" s="58"/>
      <c r="F715" s="2"/>
      <c r="G715" s="2"/>
      <c r="H715" s="2"/>
    </row>
    <row r="716">
      <c r="B716" s="2"/>
      <c r="C716" s="2"/>
      <c r="D716" s="2"/>
      <c r="E716" s="58"/>
      <c r="F716" s="2"/>
      <c r="G716" s="2"/>
      <c r="H716" s="2"/>
    </row>
    <row r="717">
      <c r="B717" s="2"/>
      <c r="C717" s="2"/>
      <c r="D717" s="2"/>
      <c r="E717" s="58"/>
      <c r="F717" s="2"/>
      <c r="G717" s="2"/>
      <c r="H717" s="2"/>
    </row>
    <row r="718">
      <c r="B718" s="2"/>
      <c r="C718" s="2"/>
      <c r="D718" s="2"/>
      <c r="E718" s="58"/>
      <c r="F718" s="2"/>
      <c r="G718" s="2"/>
      <c r="H718" s="2"/>
    </row>
    <row r="719">
      <c r="B719" s="2"/>
      <c r="C719" s="2"/>
      <c r="D719" s="2"/>
      <c r="E719" s="58"/>
      <c r="F719" s="2"/>
      <c r="G719" s="2"/>
      <c r="H719" s="2"/>
    </row>
    <row r="720">
      <c r="B720" s="2"/>
      <c r="C720" s="2"/>
      <c r="D720" s="2"/>
      <c r="E720" s="58"/>
      <c r="F720" s="2"/>
      <c r="G720" s="2"/>
      <c r="H720" s="2"/>
    </row>
    <row r="721">
      <c r="B721" s="2"/>
      <c r="C721" s="2"/>
      <c r="D721" s="2"/>
      <c r="E721" s="58"/>
      <c r="F721" s="2"/>
      <c r="G721" s="2"/>
      <c r="H721" s="2"/>
    </row>
    <row r="722">
      <c r="B722" s="2"/>
      <c r="C722" s="2"/>
      <c r="D722" s="2"/>
      <c r="E722" s="58"/>
      <c r="F722" s="2"/>
      <c r="G722" s="2"/>
      <c r="H722" s="2"/>
    </row>
    <row r="723">
      <c r="B723" s="2"/>
      <c r="C723" s="2"/>
      <c r="D723" s="2"/>
      <c r="E723" s="58"/>
      <c r="F723" s="2"/>
      <c r="G723" s="2"/>
      <c r="H723" s="2"/>
    </row>
    <row r="724">
      <c r="B724" s="2"/>
      <c r="C724" s="2"/>
      <c r="D724" s="2"/>
      <c r="E724" s="58"/>
      <c r="F724" s="2"/>
      <c r="G724" s="2"/>
      <c r="H724" s="2"/>
    </row>
    <row r="725">
      <c r="B725" s="2"/>
      <c r="C725" s="2"/>
      <c r="D725" s="2"/>
      <c r="E725" s="58"/>
      <c r="F725" s="2"/>
      <c r="G725" s="2"/>
      <c r="H725" s="2"/>
    </row>
    <row r="726">
      <c r="B726" s="2"/>
      <c r="C726" s="2"/>
      <c r="D726" s="2"/>
      <c r="E726" s="58"/>
      <c r="F726" s="2"/>
      <c r="G726" s="2"/>
      <c r="H726" s="2"/>
    </row>
    <row r="727">
      <c r="B727" s="2"/>
      <c r="C727" s="2"/>
      <c r="D727" s="2"/>
      <c r="E727" s="58"/>
      <c r="F727" s="2"/>
      <c r="G727" s="2"/>
      <c r="H727" s="2"/>
    </row>
    <row r="728">
      <c r="B728" s="2"/>
      <c r="C728" s="2"/>
      <c r="D728" s="2"/>
      <c r="E728" s="58"/>
      <c r="F728" s="2"/>
      <c r="G728" s="2"/>
      <c r="H728" s="2"/>
    </row>
    <row r="729">
      <c r="B729" s="2"/>
      <c r="C729" s="2"/>
      <c r="D729" s="2"/>
      <c r="E729" s="58"/>
      <c r="F729" s="2"/>
      <c r="G729" s="2"/>
      <c r="H729" s="2"/>
    </row>
    <row r="730">
      <c r="B730" s="2"/>
      <c r="C730" s="2"/>
      <c r="D730" s="2"/>
      <c r="E730" s="58"/>
      <c r="F730" s="2"/>
      <c r="G730" s="2"/>
      <c r="H730" s="2"/>
    </row>
    <row r="731">
      <c r="B731" s="2"/>
      <c r="C731" s="2"/>
      <c r="D731" s="2"/>
      <c r="E731" s="58"/>
      <c r="F731" s="2"/>
      <c r="G731" s="2"/>
      <c r="H731" s="2"/>
    </row>
    <row r="732">
      <c r="B732" s="2"/>
      <c r="C732" s="2"/>
      <c r="D732" s="2"/>
      <c r="E732" s="58"/>
      <c r="F732" s="2"/>
      <c r="G732" s="2"/>
      <c r="H732" s="2"/>
    </row>
    <row r="733">
      <c r="B733" s="2"/>
      <c r="C733" s="2"/>
      <c r="D733" s="2"/>
      <c r="E733" s="58"/>
      <c r="F733" s="2"/>
      <c r="G733" s="2"/>
      <c r="H733" s="2"/>
    </row>
    <row r="734">
      <c r="B734" s="2"/>
      <c r="C734" s="2"/>
      <c r="D734" s="2"/>
      <c r="E734" s="58"/>
      <c r="F734" s="2"/>
      <c r="G734" s="2"/>
      <c r="H734" s="2"/>
    </row>
    <row r="735">
      <c r="B735" s="2"/>
      <c r="C735" s="2"/>
      <c r="D735" s="2"/>
      <c r="E735" s="58"/>
      <c r="F735" s="2"/>
      <c r="G735" s="2"/>
      <c r="H735" s="2"/>
    </row>
    <row r="736">
      <c r="B736" s="2"/>
      <c r="C736" s="2"/>
      <c r="D736" s="2"/>
      <c r="E736" s="58"/>
      <c r="F736" s="2"/>
      <c r="G736" s="2"/>
      <c r="H736" s="2"/>
    </row>
    <row r="737">
      <c r="B737" s="2"/>
      <c r="C737" s="2"/>
      <c r="D737" s="2"/>
      <c r="E737" s="58"/>
      <c r="F737" s="2"/>
      <c r="G737" s="2"/>
      <c r="H737" s="2"/>
    </row>
    <row r="738">
      <c r="B738" s="2"/>
      <c r="C738" s="2"/>
      <c r="D738" s="2"/>
      <c r="E738" s="58"/>
      <c r="F738" s="2"/>
      <c r="G738" s="2"/>
      <c r="H738" s="2"/>
    </row>
    <row r="739">
      <c r="B739" s="2"/>
      <c r="C739" s="2"/>
      <c r="D739" s="2"/>
      <c r="E739" s="58"/>
      <c r="F739" s="2"/>
      <c r="G739" s="2"/>
      <c r="H739" s="2"/>
    </row>
    <row r="740">
      <c r="B740" s="2"/>
      <c r="C740" s="2"/>
      <c r="D740" s="2"/>
      <c r="E740" s="58"/>
      <c r="F740" s="2"/>
      <c r="G740" s="2"/>
      <c r="H740" s="2"/>
    </row>
    <row r="741">
      <c r="B741" s="2"/>
      <c r="C741" s="2"/>
      <c r="D741" s="2"/>
      <c r="E741" s="58"/>
      <c r="F741" s="2"/>
      <c r="G741" s="2"/>
      <c r="H741" s="2"/>
    </row>
    <row r="742">
      <c r="B742" s="2"/>
      <c r="C742" s="2"/>
      <c r="D742" s="2"/>
      <c r="E742" s="58"/>
      <c r="F742" s="2"/>
      <c r="G742" s="2"/>
      <c r="H742" s="2"/>
    </row>
    <row r="743">
      <c r="B743" s="2"/>
      <c r="C743" s="2"/>
      <c r="D743" s="2"/>
      <c r="E743" s="58"/>
      <c r="F743" s="2"/>
      <c r="G743" s="2"/>
      <c r="H743" s="2"/>
    </row>
    <row r="744">
      <c r="B744" s="2"/>
      <c r="C744" s="2"/>
      <c r="D744" s="2"/>
      <c r="E744" s="58"/>
      <c r="F744" s="2"/>
      <c r="G744" s="2"/>
      <c r="H744" s="2"/>
    </row>
    <row r="745">
      <c r="B745" s="2"/>
      <c r="C745" s="2"/>
      <c r="D745" s="2"/>
      <c r="E745" s="58"/>
      <c r="F745" s="2"/>
      <c r="G745" s="2"/>
      <c r="H745" s="2"/>
    </row>
    <row r="746">
      <c r="B746" s="2"/>
      <c r="C746" s="2"/>
      <c r="D746" s="2"/>
      <c r="E746" s="58"/>
      <c r="F746" s="2"/>
      <c r="G746" s="2"/>
      <c r="H746" s="2"/>
    </row>
    <row r="747">
      <c r="B747" s="2"/>
      <c r="C747" s="2"/>
      <c r="D747" s="2"/>
      <c r="E747" s="58"/>
      <c r="F747" s="2"/>
      <c r="G747" s="2"/>
      <c r="H747" s="2"/>
    </row>
    <row r="748">
      <c r="B748" s="2"/>
      <c r="C748" s="2"/>
      <c r="D748" s="2"/>
      <c r="E748" s="58"/>
      <c r="F748" s="2"/>
      <c r="G748" s="2"/>
      <c r="H748" s="2"/>
    </row>
    <row r="749">
      <c r="B749" s="2"/>
      <c r="C749" s="2"/>
      <c r="D749" s="2"/>
      <c r="E749" s="58"/>
      <c r="F749" s="2"/>
      <c r="G749" s="2"/>
      <c r="H749" s="2"/>
    </row>
    <row r="750">
      <c r="B750" s="2"/>
      <c r="C750" s="2"/>
      <c r="D750" s="2"/>
      <c r="E750" s="58"/>
      <c r="F750" s="2"/>
      <c r="G750" s="2"/>
      <c r="H750" s="2"/>
    </row>
    <row r="751">
      <c r="B751" s="2"/>
      <c r="C751" s="2"/>
      <c r="D751" s="2"/>
      <c r="E751" s="58"/>
      <c r="F751" s="2"/>
      <c r="G751" s="2"/>
      <c r="H751" s="2"/>
    </row>
    <row r="752">
      <c r="B752" s="2"/>
      <c r="C752" s="2"/>
      <c r="D752" s="2"/>
      <c r="E752" s="58"/>
      <c r="F752" s="2"/>
      <c r="G752" s="2"/>
      <c r="H752" s="2"/>
    </row>
    <row r="753">
      <c r="B753" s="2"/>
      <c r="C753" s="2"/>
      <c r="D753" s="2"/>
      <c r="E753" s="58"/>
      <c r="F753" s="2"/>
      <c r="G753" s="2"/>
      <c r="H753" s="2"/>
    </row>
    <row r="754">
      <c r="B754" s="2"/>
      <c r="C754" s="2"/>
      <c r="D754" s="2"/>
      <c r="E754" s="58"/>
      <c r="F754" s="2"/>
      <c r="G754" s="2"/>
      <c r="H754" s="2"/>
    </row>
    <row r="755">
      <c r="B755" s="2"/>
      <c r="C755" s="2"/>
      <c r="D755" s="2"/>
      <c r="E755" s="58"/>
      <c r="F755" s="2"/>
      <c r="G755" s="2"/>
      <c r="H755" s="2"/>
    </row>
    <row r="756">
      <c r="B756" s="2"/>
      <c r="C756" s="2"/>
      <c r="D756" s="2"/>
      <c r="E756" s="58"/>
      <c r="F756" s="2"/>
      <c r="G756" s="2"/>
      <c r="H756" s="2"/>
    </row>
    <row r="757">
      <c r="B757" s="2"/>
      <c r="C757" s="2"/>
      <c r="D757" s="2"/>
      <c r="E757" s="58"/>
      <c r="F757" s="2"/>
      <c r="G757" s="2"/>
      <c r="H757" s="2"/>
    </row>
    <row r="758">
      <c r="B758" s="2"/>
      <c r="C758" s="2"/>
      <c r="D758" s="2"/>
      <c r="E758" s="58"/>
      <c r="F758" s="2"/>
      <c r="G758" s="2"/>
      <c r="H758" s="2"/>
    </row>
    <row r="759">
      <c r="B759" s="2"/>
      <c r="C759" s="2"/>
      <c r="D759" s="2"/>
      <c r="E759" s="58"/>
      <c r="F759" s="2"/>
      <c r="G759" s="2"/>
      <c r="H759" s="2"/>
    </row>
    <row r="760">
      <c r="B760" s="2"/>
      <c r="C760" s="2"/>
      <c r="D760" s="2"/>
      <c r="E760" s="58"/>
      <c r="F760" s="2"/>
      <c r="G760" s="2"/>
      <c r="H760" s="2"/>
    </row>
    <row r="761">
      <c r="B761" s="2"/>
      <c r="C761" s="2"/>
      <c r="D761" s="2"/>
      <c r="E761" s="58"/>
      <c r="F761" s="2"/>
      <c r="G761" s="2"/>
      <c r="H761" s="2"/>
    </row>
    <row r="762">
      <c r="B762" s="2"/>
      <c r="C762" s="2"/>
      <c r="D762" s="2"/>
      <c r="E762" s="58"/>
      <c r="F762" s="2"/>
      <c r="G762" s="2"/>
      <c r="H762" s="2"/>
    </row>
    <row r="763">
      <c r="B763" s="2"/>
      <c r="C763" s="2"/>
      <c r="D763" s="2"/>
      <c r="E763" s="58"/>
      <c r="F763" s="2"/>
      <c r="G763" s="2"/>
      <c r="H763" s="2"/>
    </row>
    <row r="764">
      <c r="B764" s="2"/>
      <c r="C764" s="2"/>
      <c r="D764" s="2"/>
      <c r="E764" s="58"/>
      <c r="F764" s="2"/>
      <c r="G764" s="2"/>
      <c r="H764" s="2"/>
    </row>
    <row r="765">
      <c r="B765" s="2"/>
      <c r="C765" s="2"/>
      <c r="D765" s="2"/>
      <c r="E765" s="58"/>
      <c r="F765" s="2"/>
      <c r="G765" s="2"/>
      <c r="H765" s="2"/>
    </row>
    <row r="766">
      <c r="B766" s="2"/>
      <c r="C766" s="2"/>
      <c r="D766" s="2"/>
      <c r="E766" s="58"/>
      <c r="F766" s="2"/>
      <c r="G766" s="2"/>
      <c r="H766" s="2"/>
    </row>
    <row r="767">
      <c r="B767" s="2"/>
      <c r="C767" s="2"/>
      <c r="D767" s="2"/>
      <c r="E767" s="58"/>
      <c r="F767" s="2"/>
      <c r="G767" s="2"/>
      <c r="H767" s="2"/>
    </row>
    <row r="768">
      <c r="B768" s="2"/>
      <c r="C768" s="2"/>
      <c r="D768" s="2"/>
      <c r="E768" s="58"/>
      <c r="F768" s="2"/>
      <c r="G768" s="2"/>
      <c r="H768" s="2"/>
    </row>
    <row r="769">
      <c r="B769" s="2"/>
      <c r="C769" s="2"/>
      <c r="D769" s="2"/>
      <c r="E769" s="58"/>
      <c r="F769" s="2"/>
      <c r="G769" s="2"/>
      <c r="H769" s="2"/>
    </row>
    <row r="770">
      <c r="B770" s="2"/>
      <c r="C770" s="2"/>
      <c r="D770" s="2"/>
      <c r="E770" s="58"/>
      <c r="F770" s="2"/>
      <c r="G770" s="2"/>
      <c r="H770" s="2"/>
    </row>
    <row r="771">
      <c r="B771" s="2"/>
      <c r="C771" s="2"/>
      <c r="D771" s="2"/>
      <c r="E771" s="58"/>
      <c r="F771" s="2"/>
      <c r="G771" s="2"/>
      <c r="H771" s="2"/>
    </row>
    <row r="772">
      <c r="B772" s="2"/>
      <c r="C772" s="2"/>
      <c r="D772" s="2"/>
      <c r="E772" s="58"/>
      <c r="F772" s="2"/>
      <c r="G772" s="2"/>
      <c r="H772" s="2"/>
    </row>
    <row r="773">
      <c r="B773" s="2"/>
      <c r="C773" s="2"/>
      <c r="D773" s="2"/>
      <c r="E773" s="58"/>
      <c r="F773" s="2"/>
      <c r="G773" s="2"/>
      <c r="H773" s="2"/>
    </row>
    <row r="774">
      <c r="B774" s="2"/>
      <c r="C774" s="2"/>
      <c r="D774" s="2"/>
      <c r="E774" s="58"/>
      <c r="F774" s="2"/>
      <c r="G774" s="2"/>
      <c r="H774" s="2"/>
    </row>
    <row r="775">
      <c r="B775" s="2"/>
      <c r="C775" s="2"/>
      <c r="D775" s="2"/>
      <c r="E775" s="58"/>
      <c r="F775" s="2"/>
      <c r="G775" s="2"/>
      <c r="H775" s="2"/>
    </row>
    <row r="776">
      <c r="B776" s="2"/>
      <c r="C776" s="2"/>
      <c r="D776" s="2"/>
      <c r="E776" s="58"/>
      <c r="F776" s="2"/>
      <c r="G776" s="2"/>
      <c r="H776" s="2"/>
    </row>
    <row r="777">
      <c r="B777" s="2"/>
      <c r="C777" s="2"/>
      <c r="D777" s="2"/>
      <c r="E777" s="58"/>
      <c r="F777" s="2"/>
      <c r="G777" s="2"/>
      <c r="H777" s="2"/>
    </row>
    <row r="778">
      <c r="B778" s="2"/>
      <c r="C778" s="2"/>
      <c r="D778" s="2"/>
      <c r="E778" s="58"/>
      <c r="F778" s="2"/>
      <c r="G778" s="2"/>
      <c r="H778" s="2"/>
    </row>
    <row r="779">
      <c r="B779" s="2"/>
      <c r="C779" s="2"/>
      <c r="D779" s="2"/>
      <c r="E779" s="58"/>
      <c r="F779" s="2"/>
      <c r="G779" s="2"/>
      <c r="H779" s="2"/>
    </row>
    <row r="780">
      <c r="B780" s="2"/>
      <c r="C780" s="2"/>
      <c r="D780" s="2"/>
      <c r="E780" s="58"/>
      <c r="F780" s="2"/>
      <c r="G780" s="2"/>
      <c r="H780" s="2"/>
    </row>
    <row r="781">
      <c r="B781" s="2"/>
      <c r="C781" s="2"/>
      <c r="D781" s="2"/>
      <c r="E781" s="58"/>
      <c r="F781" s="2"/>
      <c r="G781" s="2"/>
      <c r="H781" s="2"/>
    </row>
    <row r="782">
      <c r="B782" s="2"/>
      <c r="C782" s="2"/>
      <c r="D782" s="2"/>
      <c r="E782" s="58"/>
      <c r="F782" s="2"/>
      <c r="G782" s="2"/>
      <c r="H782" s="2"/>
    </row>
    <row r="783">
      <c r="B783" s="2"/>
      <c r="C783" s="2"/>
      <c r="D783" s="2"/>
      <c r="E783" s="58"/>
      <c r="F783" s="2"/>
      <c r="G783" s="2"/>
      <c r="H783" s="2"/>
    </row>
    <row r="784">
      <c r="B784" s="2"/>
      <c r="C784" s="2"/>
      <c r="D784" s="2"/>
      <c r="E784" s="58"/>
      <c r="F784" s="2"/>
      <c r="G784" s="2"/>
      <c r="H784" s="2"/>
    </row>
    <row r="785">
      <c r="B785" s="2"/>
      <c r="C785" s="2"/>
      <c r="D785" s="2"/>
      <c r="E785" s="58"/>
      <c r="F785" s="2"/>
      <c r="G785" s="2"/>
      <c r="H785" s="2"/>
    </row>
    <row r="786">
      <c r="B786" s="2"/>
      <c r="C786" s="2"/>
      <c r="D786" s="2"/>
      <c r="E786" s="58"/>
      <c r="F786" s="2"/>
      <c r="G786" s="2"/>
      <c r="H786" s="2"/>
    </row>
    <row r="787">
      <c r="B787" s="2"/>
      <c r="C787" s="2"/>
      <c r="D787" s="2"/>
      <c r="E787" s="58"/>
      <c r="F787" s="2"/>
      <c r="G787" s="2"/>
      <c r="H787" s="2"/>
    </row>
    <row r="788">
      <c r="B788" s="2"/>
      <c r="C788" s="2"/>
      <c r="D788" s="2"/>
      <c r="E788" s="58"/>
      <c r="F788" s="2"/>
      <c r="G788" s="2"/>
      <c r="H788" s="2"/>
    </row>
    <row r="789">
      <c r="B789" s="2"/>
      <c r="C789" s="2"/>
      <c r="D789" s="2"/>
      <c r="E789" s="58"/>
      <c r="F789" s="2"/>
      <c r="G789" s="2"/>
      <c r="H789" s="2"/>
    </row>
    <row r="790">
      <c r="B790" s="2"/>
      <c r="C790" s="2"/>
      <c r="D790" s="2"/>
      <c r="E790" s="58"/>
      <c r="F790" s="2"/>
      <c r="G790" s="2"/>
      <c r="H790" s="2"/>
    </row>
    <row r="791">
      <c r="B791" s="2"/>
      <c r="C791" s="2"/>
      <c r="D791" s="2"/>
      <c r="E791" s="58"/>
      <c r="F791" s="2"/>
      <c r="G791" s="2"/>
      <c r="H791" s="2"/>
    </row>
    <row r="792">
      <c r="B792" s="2"/>
      <c r="C792" s="2"/>
      <c r="D792" s="2"/>
      <c r="E792" s="58"/>
      <c r="F792" s="2"/>
      <c r="G792" s="2"/>
      <c r="H792" s="2"/>
    </row>
    <row r="793">
      <c r="B793" s="2"/>
      <c r="C793" s="2"/>
      <c r="D793" s="2"/>
      <c r="E793" s="58"/>
      <c r="F793" s="2"/>
      <c r="G793" s="2"/>
      <c r="H793" s="2"/>
    </row>
    <row r="794">
      <c r="B794" s="2"/>
      <c r="C794" s="2"/>
      <c r="D794" s="2"/>
      <c r="E794" s="58"/>
      <c r="F794" s="2"/>
      <c r="G794" s="2"/>
      <c r="H794" s="2"/>
    </row>
    <row r="795">
      <c r="B795" s="2"/>
      <c r="C795" s="2"/>
      <c r="D795" s="2"/>
      <c r="E795" s="58"/>
      <c r="F795" s="2"/>
      <c r="G795" s="2"/>
      <c r="H795" s="2"/>
    </row>
    <row r="796">
      <c r="B796" s="2"/>
      <c r="C796" s="2"/>
      <c r="D796" s="2"/>
      <c r="E796" s="58"/>
      <c r="F796" s="2"/>
      <c r="G796" s="2"/>
      <c r="H796" s="2"/>
    </row>
    <row r="797">
      <c r="B797" s="2"/>
      <c r="C797" s="2"/>
      <c r="D797" s="2"/>
      <c r="E797" s="58"/>
      <c r="F797" s="2"/>
      <c r="G797" s="2"/>
      <c r="H797" s="2"/>
    </row>
    <row r="798">
      <c r="B798" s="2"/>
      <c r="C798" s="2"/>
      <c r="D798" s="2"/>
      <c r="E798" s="58"/>
      <c r="F798" s="2"/>
      <c r="G798" s="2"/>
      <c r="H798" s="2"/>
    </row>
    <row r="799">
      <c r="B799" s="2"/>
      <c r="C799" s="2"/>
      <c r="D799" s="2"/>
      <c r="E799" s="58"/>
      <c r="F799" s="2"/>
      <c r="G799" s="2"/>
      <c r="H799" s="2"/>
    </row>
    <row r="800">
      <c r="B800" s="2"/>
      <c r="C800" s="2"/>
      <c r="D800" s="2"/>
      <c r="E800" s="58"/>
      <c r="F800" s="2"/>
      <c r="G800" s="2"/>
      <c r="H800" s="2"/>
    </row>
    <row r="801">
      <c r="B801" s="2"/>
      <c r="C801" s="2"/>
      <c r="D801" s="2"/>
      <c r="E801" s="58"/>
      <c r="F801" s="2"/>
      <c r="G801" s="2"/>
      <c r="H801" s="2"/>
    </row>
    <row r="802">
      <c r="B802" s="2"/>
      <c r="C802" s="2"/>
      <c r="D802" s="2"/>
      <c r="E802" s="58"/>
      <c r="F802" s="2"/>
      <c r="G802" s="2"/>
      <c r="H802" s="2"/>
    </row>
    <row r="803">
      <c r="B803" s="2"/>
      <c r="C803" s="2"/>
      <c r="D803" s="2"/>
      <c r="E803" s="58"/>
      <c r="F803" s="2"/>
      <c r="G803" s="2"/>
      <c r="H803" s="2"/>
    </row>
    <row r="804">
      <c r="B804" s="2"/>
      <c r="C804" s="2"/>
      <c r="D804" s="2"/>
      <c r="E804" s="58"/>
      <c r="F804" s="2"/>
      <c r="G804" s="2"/>
      <c r="H804" s="2"/>
    </row>
    <row r="805">
      <c r="B805" s="2"/>
      <c r="C805" s="2"/>
      <c r="D805" s="2"/>
      <c r="E805" s="58"/>
      <c r="F805" s="2"/>
      <c r="G805" s="2"/>
      <c r="H805" s="2"/>
    </row>
    <row r="806">
      <c r="B806" s="2"/>
      <c r="C806" s="2"/>
      <c r="D806" s="2"/>
      <c r="E806" s="58"/>
      <c r="F806" s="2"/>
      <c r="G806" s="2"/>
      <c r="H806" s="2"/>
    </row>
    <row r="807">
      <c r="B807" s="2"/>
      <c r="C807" s="2"/>
      <c r="D807" s="2"/>
      <c r="E807" s="58"/>
      <c r="F807" s="2"/>
      <c r="G807" s="2"/>
      <c r="H807" s="2"/>
    </row>
    <row r="808">
      <c r="B808" s="2"/>
      <c r="C808" s="2"/>
      <c r="D808" s="2"/>
      <c r="E808" s="58"/>
      <c r="F808" s="2"/>
      <c r="G808" s="2"/>
      <c r="H808" s="2"/>
    </row>
    <row r="809">
      <c r="B809" s="2"/>
      <c r="C809" s="2"/>
      <c r="D809" s="2"/>
      <c r="E809" s="58"/>
      <c r="F809" s="2"/>
      <c r="G809" s="2"/>
      <c r="H809" s="2"/>
    </row>
    <row r="810">
      <c r="B810" s="2"/>
      <c r="C810" s="2"/>
      <c r="D810" s="2"/>
      <c r="E810" s="58"/>
      <c r="F810" s="2"/>
      <c r="G810" s="2"/>
      <c r="H810" s="2"/>
    </row>
    <row r="811">
      <c r="B811" s="2"/>
      <c r="C811" s="2"/>
      <c r="D811" s="2"/>
      <c r="E811" s="58"/>
      <c r="F811" s="2"/>
      <c r="G811" s="2"/>
      <c r="H811" s="2"/>
    </row>
    <row r="812">
      <c r="B812" s="2"/>
      <c r="C812" s="2"/>
      <c r="D812" s="2"/>
      <c r="E812" s="58"/>
      <c r="F812" s="2"/>
      <c r="G812" s="2"/>
      <c r="H812" s="2"/>
    </row>
    <row r="813">
      <c r="B813" s="2"/>
      <c r="C813" s="2"/>
      <c r="D813" s="2"/>
      <c r="E813" s="58"/>
      <c r="F813" s="2"/>
      <c r="G813" s="2"/>
      <c r="H813" s="2"/>
    </row>
    <row r="814">
      <c r="B814" s="2"/>
      <c r="C814" s="2"/>
      <c r="D814" s="2"/>
      <c r="E814" s="58"/>
      <c r="F814" s="2"/>
      <c r="G814" s="2"/>
      <c r="H814" s="2"/>
    </row>
    <row r="815">
      <c r="B815" s="2"/>
      <c r="C815" s="2"/>
      <c r="D815" s="2"/>
      <c r="E815" s="58"/>
      <c r="F815" s="2"/>
      <c r="G815" s="2"/>
      <c r="H815" s="2"/>
    </row>
    <row r="816">
      <c r="B816" s="2"/>
      <c r="C816" s="2"/>
      <c r="D816" s="2"/>
      <c r="E816" s="58"/>
      <c r="F816" s="2"/>
      <c r="G816" s="2"/>
      <c r="H816" s="2"/>
    </row>
    <row r="817">
      <c r="B817" s="2"/>
      <c r="C817" s="2"/>
      <c r="D817" s="2"/>
      <c r="E817" s="58"/>
      <c r="F817" s="2"/>
      <c r="G817" s="2"/>
      <c r="H817" s="2"/>
    </row>
    <row r="818">
      <c r="B818" s="2"/>
      <c r="C818" s="2"/>
      <c r="D818" s="2"/>
      <c r="E818" s="58"/>
      <c r="F818" s="2"/>
      <c r="G818" s="2"/>
      <c r="H818" s="2"/>
    </row>
    <row r="819">
      <c r="B819" s="2"/>
      <c r="C819" s="2"/>
      <c r="D819" s="2"/>
      <c r="E819" s="58"/>
      <c r="F819" s="2"/>
      <c r="G819" s="2"/>
      <c r="H819" s="2"/>
    </row>
    <row r="820">
      <c r="B820" s="2"/>
      <c r="C820" s="2"/>
      <c r="D820" s="2"/>
      <c r="E820" s="58"/>
      <c r="F820" s="2"/>
      <c r="G820" s="2"/>
      <c r="H820" s="2"/>
    </row>
    <row r="821">
      <c r="B821" s="2"/>
      <c r="C821" s="2"/>
      <c r="D821" s="2"/>
      <c r="E821" s="58"/>
      <c r="F821" s="2"/>
      <c r="G821" s="2"/>
      <c r="H821" s="2"/>
    </row>
    <row r="822">
      <c r="B822" s="2"/>
      <c r="C822" s="2"/>
      <c r="D822" s="2"/>
      <c r="E822" s="58"/>
      <c r="F822" s="2"/>
      <c r="G822" s="2"/>
      <c r="H822" s="2"/>
    </row>
    <row r="823">
      <c r="B823" s="2"/>
      <c r="C823" s="2"/>
      <c r="D823" s="2"/>
      <c r="E823" s="58"/>
      <c r="F823" s="2"/>
      <c r="G823" s="2"/>
      <c r="H823" s="2"/>
    </row>
    <row r="824">
      <c r="B824" s="2"/>
      <c r="C824" s="2"/>
      <c r="D824" s="2"/>
      <c r="E824" s="58"/>
      <c r="F824" s="2"/>
      <c r="G824" s="2"/>
      <c r="H824" s="2"/>
    </row>
    <row r="825">
      <c r="B825" s="2"/>
      <c r="C825" s="2"/>
      <c r="D825" s="2"/>
      <c r="E825" s="58"/>
      <c r="F825" s="2"/>
      <c r="G825" s="2"/>
      <c r="H825" s="2"/>
    </row>
    <row r="826">
      <c r="B826" s="2"/>
      <c r="C826" s="2"/>
      <c r="D826" s="2"/>
      <c r="E826" s="58"/>
      <c r="F826" s="2"/>
      <c r="G826" s="2"/>
      <c r="H826" s="2"/>
    </row>
    <row r="827">
      <c r="B827" s="2"/>
      <c r="C827" s="2"/>
      <c r="D827" s="2"/>
      <c r="E827" s="58"/>
      <c r="F827" s="2"/>
      <c r="G827" s="2"/>
      <c r="H827" s="2"/>
    </row>
    <row r="828">
      <c r="B828" s="2"/>
      <c r="C828" s="2"/>
      <c r="D828" s="2"/>
      <c r="E828" s="58"/>
      <c r="F828" s="2"/>
      <c r="G828" s="2"/>
      <c r="H828" s="2"/>
    </row>
    <row r="829">
      <c r="B829" s="2"/>
      <c r="C829" s="2"/>
      <c r="D829" s="2"/>
      <c r="E829" s="58"/>
      <c r="F829" s="2"/>
      <c r="G829" s="2"/>
      <c r="H829" s="2"/>
    </row>
    <row r="830">
      <c r="B830" s="2"/>
      <c r="C830" s="2"/>
      <c r="D830" s="2"/>
      <c r="E830" s="58"/>
      <c r="F830" s="2"/>
      <c r="G830" s="2"/>
      <c r="H830" s="2"/>
    </row>
    <row r="831">
      <c r="B831" s="2"/>
      <c r="C831" s="2"/>
      <c r="D831" s="2"/>
      <c r="E831" s="58"/>
      <c r="F831" s="2"/>
      <c r="G831" s="2"/>
      <c r="H831" s="2"/>
    </row>
    <row r="832">
      <c r="B832" s="2"/>
      <c r="C832" s="2"/>
      <c r="D832" s="2"/>
      <c r="E832" s="58"/>
      <c r="F832" s="2"/>
      <c r="G832" s="2"/>
      <c r="H832" s="2"/>
    </row>
    <row r="833">
      <c r="B833" s="2"/>
      <c r="C833" s="2"/>
      <c r="D833" s="2"/>
      <c r="E833" s="58"/>
      <c r="F833" s="2"/>
      <c r="G833" s="2"/>
      <c r="H833" s="2"/>
    </row>
    <row r="834">
      <c r="B834" s="2"/>
      <c r="C834" s="2"/>
      <c r="D834" s="2"/>
      <c r="E834" s="58"/>
      <c r="F834" s="2"/>
      <c r="G834" s="2"/>
      <c r="H834" s="2"/>
    </row>
    <row r="835">
      <c r="B835" s="2"/>
      <c r="C835" s="2"/>
      <c r="D835" s="2"/>
      <c r="E835" s="58"/>
      <c r="F835" s="2"/>
      <c r="G835" s="2"/>
      <c r="H835" s="2"/>
    </row>
    <row r="836">
      <c r="B836" s="2"/>
      <c r="C836" s="2"/>
      <c r="D836" s="2"/>
      <c r="E836" s="58"/>
      <c r="F836" s="2"/>
      <c r="G836" s="2"/>
      <c r="H836" s="2"/>
    </row>
    <row r="837">
      <c r="B837" s="2"/>
      <c r="C837" s="2"/>
      <c r="D837" s="2"/>
      <c r="E837" s="58"/>
      <c r="F837" s="2"/>
      <c r="G837" s="2"/>
      <c r="H837" s="2"/>
    </row>
    <row r="838">
      <c r="B838" s="2"/>
      <c r="C838" s="2"/>
      <c r="D838" s="2"/>
      <c r="E838" s="58"/>
      <c r="F838" s="2"/>
      <c r="G838" s="2"/>
      <c r="H838" s="2"/>
    </row>
    <row r="839">
      <c r="B839" s="2"/>
      <c r="C839" s="2"/>
      <c r="D839" s="2"/>
      <c r="E839" s="58"/>
      <c r="F839" s="2"/>
      <c r="G839" s="2"/>
      <c r="H839" s="2"/>
    </row>
    <row r="840">
      <c r="B840" s="2"/>
      <c r="C840" s="2"/>
      <c r="D840" s="2"/>
      <c r="E840" s="58"/>
      <c r="F840" s="2"/>
      <c r="G840" s="2"/>
      <c r="H840" s="2"/>
    </row>
    <row r="841">
      <c r="B841" s="2"/>
      <c r="C841" s="2"/>
      <c r="D841" s="2"/>
      <c r="E841" s="58"/>
      <c r="F841" s="2"/>
      <c r="G841" s="2"/>
      <c r="H841" s="2"/>
    </row>
    <row r="842">
      <c r="B842" s="2"/>
      <c r="C842" s="2"/>
      <c r="D842" s="2"/>
      <c r="E842" s="58"/>
      <c r="F842" s="2"/>
      <c r="G842" s="2"/>
      <c r="H842" s="2"/>
    </row>
    <row r="843">
      <c r="B843" s="2"/>
      <c r="C843" s="2"/>
      <c r="D843" s="2"/>
      <c r="E843" s="58"/>
      <c r="F843" s="2"/>
      <c r="G843" s="2"/>
      <c r="H843" s="2"/>
    </row>
    <row r="844">
      <c r="B844" s="2"/>
      <c r="C844" s="2"/>
      <c r="D844" s="2"/>
      <c r="E844" s="58"/>
      <c r="F844" s="2"/>
      <c r="G844" s="2"/>
      <c r="H844" s="2"/>
    </row>
    <row r="845">
      <c r="B845" s="2"/>
      <c r="C845" s="2"/>
      <c r="D845" s="2"/>
      <c r="E845" s="58"/>
      <c r="F845" s="2"/>
      <c r="G845" s="2"/>
      <c r="H845" s="2"/>
    </row>
    <row r="846">
      <c r="B846" s="2"/>
      <c r="C846" s="2"/>
      <c r="D846" s="2"/>
      <c r="E846" s="58"/>
      <c r="F846" s="2"/>
      <c r="G846" s="2"/>
      <c r="H846" s="2"/>
    </row>
    <row r="847">
      <c r="B847" s="2"/>
      <c r="C847" s="2"/>
      <c r="D847" s="2"/>
      <c r="E847" s="58"/>
      <c r="F847" s="2"/>
      <c r="G847" s="2"/>
      <c r="H847" s="2"/>
    </row>
    <row r="848">
      <c r="B848" s="2"/>
      <c r="C848" s="2"/>
      <c r="D848" s="2"/>
      <c r="E848" s="58"/>
      <c r="F848" s="2"/>
      <c r="G848" s="2"/>
      <c r="H848" s="2"/>
    </row>
    <row r="849">
      <c r="B849" s="2"/>
      <c r="C849" s="2"/>
      <c r="D849" s="2"/>
      <c r="E849" s="58"/>
      <c r="F849" s="2"/>
      <c r="G849" s="2"/>
      <c r="H849" s="2"/>
    </row>
    <row r="850">
      <c r="B850" s="2"/>
      <c r="C850" s="2"/>
      <c r="D850" s="2"/>
      <c r="E850" s="58"/>
      <c r="F850" s="2"/>
      <c r="G850" s="2"/>
      <c r="H850" s="2"/>
    </row>
    <row r="851">
      <c r="B851" s="2"/>
      <c r="C851" s="2"/>
      <c r="D851" s="2"/>
      <c r="E851" s="58"/>
      <c r="F851" s="2"/>
      <c r="G851" s="2"/>
      <c r="H851" s="2"/>
    </row>
    <row r="852">
      <c r="B852" s="2"/>
      <c r="C852" s="2"/>
      <c r="D852" s="2"/>
      <c r="E852" s="58"/>
      <c r="F852" s="2"/>
      <c r="G852" s="2"/>
      <c r="H852" s="2"/>
    </row>
    <row r="853">
      <c r="B853" s="2"/>
      <c r="C853" s="2"/>
      <c r="D853" s="2"/>
      <c r="E853" s="58"/>
      <c r="F853" s="2"/>
      <c r="G853" s="2"/>
      <c r="H853" s="2"/>
    </row>
    <row r="854">
      <c r="B854" s="2"/>
      <c r="C854" s="2"/>
      <c r="D854" s="2"/>
      <c r="E854" s="58"/>
      <c r="F854" s="2"/>
      <c r="G854" s="2"/>
      <c r="H854" s="2"/>
    </row>
    <row r="855">
      <c r="B855" s="2"/>
      <c r="C855" s="2"/>
      <c r="D855" s="2"/>
      <c r="E855" s="58"/>
      <c r="F855" s="2"/>
      <c r="G855" s="2"/>
      <c r="H855" s="2"/>
    </row>
    <row r="856">
      <c r="B856" s="2"/>
      <c r="C856" s="2"/>
      <c r="D856" s="2"/>
      <c r="E856" s="58"/>
      <c r="F856" s="2"/>
      <c r="G856" s="2"/>
      <c r="H856" s="2"/>
    </row>
    <row r="857">
      <c r="B857" s="2"/>
      <c r="C857" s="2"/>
      <c r="D857" s="2"/>
      <c r="E857" s="58"/>
      <c r="F857" s="2"/>
      <c r="G857" s="2"/>
      <c r="H857" s="2"/>
    </row>
    <row r="858">
      <c r="B858" s="2"/>
      <c r="C858" s="2"/>
      <c r="D858" s="2"/>
      <c r="E858" s="58"/>
      <c r="F858" s="2"/>
      <c r="G858" s="2"/>
      <c r="H858" s="2"/>
    </row>
    <row r="859">
      <c r="B859" s="2"/>
      <c r="C859" s="2"/>
      <c r="D859" s="2"/>
      <c r="E859" s="58"/>
      <c r="F859" s="2"/>
      <c r="G859" s="2"/>
      <c r="H859" s="2"/>
    </row>
    <row r="860">
      <c r="B860" s="2"/>
      <c r="C860" s="2"/>
      <c r="D860" s="2"/>
      <c r="E860" s="58"/>
      <c r="F860" s="2"/>
      <c r="G860" s="2"/>
      <c r="H860" s="2"/>
    </row>
    <row r="861">
      <c r="B861" s="2"/>
      <c r="C861" s="2"/>
      <c r="D861" s="2"/>
      <c r="E861" s="58"/>
      <c r="F861" s="2"/>
      <c r="G861" s="2"/>
      <c r="H861" s="2"/>
    </row>
    <row r="862">
      <c r="B862" s="2"/>
      <c r="C862" s="2"/>
      <c r="D862" s="2"/>
      <c r="E862" s="58"/>
      <c r="F862" s="2"/>
      <c r="G862" s="2"/>
      <c r="H862" s="2"/>
    </row>
    <row r="863">
      <c r="B863" s="2"/>
      <c r="C863" s="2"/>
      <c r="D863" s="2"/>
      <c r="E863" s="58"/>
      <c r="F863" s="2"/>
      <c r="G863" s="2"/>
      <c r="H863" s="2"/>
    </row>
    <row r="864">
      <c r="B864" s="2"/>
      <c r="C864" s="2"/>
      <c r="D864" s="2"/>
      <c r="E864" s="58"/>
      <c r="F864" s="2"/>
      <c r="G864" s="2"/>
      <c r="H864" s="2"/>
    </row>
    <row r="865">
      <c r="B865" s="2"/>
      <c r="C865" s="2"/>
      <c r="D865" s="2"/>
      <c r="E865" s="58"/>
      <c r="F865" s="2"/>
      <c r="G865" s="2"/>
      <c r="H865" s="2"/>
    </row>
    <row r="866">
      <c r="B866" s="2"/>
      <c r="C866" s="2"/>
      <c r="D866" s="2"/>
      <c r="E866" s="58"/>
      <c r="F866" s="2"/>
      <c r="G866" s="2"/>
      <c r="H866" s="2"/>
    </row>
    <row r="867">
      <c r="B867" s="2"/>
      <c r="C867" s="2"/>
      <c r="D867" s="2"/>
      <c r="E867" s="58"/>
      <c r="F867" s="2"/>
      <c r="G867" s="2"/>
      <c r="H867" s="2"/>
    </row>
    <row r="868">
      <c r="B868" s="2"/>
      <c r="C868" s="2"/>
      <c r="D868" s="2"/>
      <c r="E868" s="58"/>
      <c r="F868" s="2"/>
      <c r="G868" s="2"/>
      <c r="H868" s="2"/>
    </row>
    <row r="869">
      <c r="B869" s="2"/>
      <c r="C869" s="2"/>
      <c r="D869" s="2"/>
      <c r="E869" s="58"/>
      <c r="F869" s="2"/>
      <c r="G869" s="2"/>
      <c r="H869" s="2"/>
    </row>
    <row r="870">
      <c r="B870" s="2"/>
      <c r="C870" s="2"/>
      <c r="D870" s="2"/>
      <c r="E870" s="58"/>
      <c r="F870" s="2"/>
      <c r="G870" s="2"/>
      <c r="H870" s="2"/>
    </row>
    <row r="871">
      <c r="B871" s="2"/>
      <c r="C871" s="2"/>
      <c r="D871" s="2"/>
      <c r="E871" s="58"/>
      <c r="F871" s="2"/>
      <c r="G871" s="2"/>
      <c r="H871" s="2"/>
    </row>
    <row r="872">
      <c r="B872" s="2"/>
      <c r="C872" s="2"/>
      <c r="D872" s="2"/>
      <c r="E872" s="58"/>
      <c r="F872" s="2"/>
      <c r="G872" s="2"/>
      <c r="H872" s="2"/>
    </row>
    <row r="873">
      <c r="B873" s="2"/>
      <c r="C873" s="2"/>
      <c r="D873" s="2"/>
      <c r="E873" s="58"/>
      <c r="F873" s="2"/>
      <c r="G873" s="2"/>
      <c r="H873" s="2"/>
    </row>
    <row r="874">
      <c r="B874" s="2"/>
      <c r="C874" s="2"/>
      <c r="D874" s="2"/>
      <c r="E874" s="58"/>
      <c r="F874" s="2"/>
      <c r="G874" s="2"/>
      <c r="H874" s="2"/>
    </row>
    <row r="875">
      <c r="B875" s="2"/>
      <c r="C875" s="2"/>
      <c r="D875" s="2"/>
      <c r="E875" s="58"/>
      <c r="F875" s="2"/>
      <c r="G875" s="2"/>
      <c r="H875" s="2"/>
    </row>
    <row r="876">
      <c r="B876" s="2"/>
      <c r="C876" s="2"/>
      <c r="D876" s="2"/>
      <c r="E876" s="58"/>
      <c r="F876" s="2"/>
      <c r="G876" s="2"/>
      <c r="H876" s="2"/>
    </row>
    <row r="877">
      <c r="B877" s="2"/>
      <c r="C877" s="2"/>
      <c r="D877" s="2"/>
      <c r="E877" s="58"/>
      <c r="F877" s="2"/>
      <c r="G877" s="2"/>
      <c r="H877" s="2"/>
    </row>
    <row r="878">
      <c r="B878" s="2"/>
      <c r="C878" s="2"/>
      <c r="D878" s="2"/>
      <c r="E878" s="58"/>
      <c r="F878" s="2"/>
      <c r="G878" s="2"/>
      <c r="H878" s="2"/>
    </row>
    <row r="879">
      <c r="B879" s="2"/>
      <c r="C879" s="2"/>
      <c r="D879" s="2"/>
      <c r="E879" s="58"/>
      <c r="F879" s="2"/>
      <c r="G879" s="2"/>
      <c r="H879" s="2"/>
    </row>
    <row r="880">
      <c r="B880" s="2"/>
      <c r="C880" s="2"/>
      <c r="D880" s="2"/>
      <c r="E880" s="58"/>
      <c r="F880" s="2"/>
      <c r="G880" s="2"/>
      <c r="H880" s="2"/>
    </row>
    <row r="881">
      <c r="B881" s="2"/>
      <c r="C881" s="2"/>
      <c r="D881" s="2"/>
      <c r="E881" s="58"/>
      <c r="F881" s="2"/>
      <c r="G881" s="2"/>
      <c r="H881" s="2"/>
    </row>
    <row r="882">
      <c r="B882" s="2"/>
      <c r="C882" s="2"/>
      <c r="D882" s="2"/>
      <c r="E882" s="58"/>
      <c r="F882" s="2"/>
      <c r="G882" s="2"/>
      <c r="H882" s="2"/>
    </row>
    <row r="883">
      <c r="B883" s="2"/>
      <c r="C883" s="2"/>
      <c r="D883" s="2"/>
      <c r="E883" s="58"/>
      <c r="F883" s="2"/>
      <c r="G883" s="2"/>
      <c r="H883" s="2"/>
    </row>
    <row r="884">
      <c r="B884" s="2"/>
      <c r="C884" s="2"/>
      <c r="D884" s="2"/>
      <c r="E884" s="58"/>
      <c r="F884" s="2"/>
      <c r="G884" s="2"/>
      <c r="H884" s="2"/>
    </row>
    <row r="885">
      <c r="B885" s="2"/>
      <c r="C885" s="2"/>
      <c r="D885" s="2"/>
      <c r="E885" s="58"/>
      <c r="F885" s="2"/>
      <c r="G885" s="2"/>
      <c r="H885" s="2"/>
    </row>
    <row r="886">
      <c r="B886" s="2"/>
      <c r="C886" s="2"/>
      <c r="D886" s="2"/>
      <c r="E886" s="58"/>
      <c r="F886" s="2"/>
      <c r="G886" s="2"/>
      <c r="H886" s="2"/>
    </row>
    <row r="887">
      <c r="B887" s="2"/>
      <c r="C887" s="2"/>
      <c r="D887" s="2"/>
      <c r="E887" s="58"/>
      <c r="F887" s="2"/>
      <c r="G887" s="2"/>
      <c r="H887" s="2"/>
    </row>
    <row r="888">
      <c r="B888" s="2"/>
      <c r="C888" s="2"/>
      <c r="D888" s="2"/>
      <c r="E888" s="58"/>
      <c r="F888" s="2"/>
      <c r="G888" s="2"/>
      <c r="H888" s="2"/>
    </row>
    <row r="889">
      <c r="B889" s="2"/>
      <c r="C889" s="2"/>
      <c r="D889" s="2"/>
      <c r="E889" s="58"/>
      <c r="F889" s="2"/>
      <c r="G889" s="2"/>
      <c r="H889" s="2"/>
    </row>
    <row r="890">
      <c r="B890" s="2"/>
      <c r="C890" s="2"/>
      <c r="D890" s="2"/>
      <c r="E890" s="58"/>
      <c r="F890" s="2"/>
      <c r="G890" s="2"/>
      <c r="H890" s="2"/>
    </row>
    <row r="891">
      <c r="B891" s="2"/>
      <c r="C891" s="2"/>
      <c r="D891" s="2"/>
      <c r="E891" s="58"/>
      <c r="F891" s="2"/>
      <c r="G891" s="2"/>
      <c r="H891" s="2"/>
    </row>
    <row r="892">
      <c r="B892" s="2"/>
      <c r="C892" s="2"/>
      <c r="D892" s="2"/>
      <c r="E892" s="58"/>
      <c r="F892" s="2"/>
      <c r="G892" s="2"/>
      <c r="H892" s="2"/>
    </row>
    <row r="893">
      <c r="B893" s="2"/>
      <c r="C893" s="2"/>
      <c r="D893" s="2"/>
      <c r="E893" s="58"/>
      <c r="F893" s="2"/>
      <c r="G893" s="2"/>
      <c r="H893" s="2"/>
    </row>
    <row r="894">
      <c r="B894" s="2"/>
      <c r="C894" s="2"/>
      <c r="D894" s="2"/>
      <c r="E894" s="58"/>
      <c r="F894" s="2"/>
      <c r="G894" s="2"/>
      <c r="H894" s="2"/>
    </row>
    <row r="895">
      <c r="B895" s="2"/>
      <c r="C895" s="2"/>
      <c r="D895" s="2"/>
      <c r="E895" s="58"/>
      <c r="F895" s="2"/>
      <c r="G895" s="2"/>
      <c r="H895" s="2"/>
    </row>
    <row r="896">
      <c r="B896" s="2"/>
      <c r="C896" s="2"/>
      <c r="D896" s="2"/>
      <c r="E896" s="58"/>
      <c r="F896" s="2"/>
      <c r="G896" s="2"/>
      <c r="H896" s="2"/>
    </row>
    <row r="897">
      <c r="B897" s="2"/>
      <c r="C897" s="2"/>
      <c r="D897" s="2"/>
      <c r="E897" s="58"/>
      <c r="F897" s="2"/>
      <c r="G897" s="2"/>
      <c r="H897" s="2"/>
    </row>
    <row r="898">
      <c r="B898" s="2"/>
      <c r="C898" s="2"/>
      <c r="D898" s="2"/>
      <c r="E898" s="58"/>
      <c r="F898" s="2"/>
      <c r="G898" s="2"/>
      <c r="H898" s="2"/>
    </row>
    <row r="899">
      <c r="B899" s="2"/>
      <c r="C899" s="2"/>
      <c r="D899" s="2"/>
      <c r="E899" s="58"/>
      <c r="F899" s="2"/>
      <c r="G899" s="2"/>
      <c r="H899" s="2"/>
    </row>
    <row r="900">
      <c r="B900" s="2"/>
      <c r="C900" s="2"/>
      <c r="D900" s="2"/>
      <c r="E900" s="58"/>
      <c r="F900" s="2"/>
      <c r="G900" s="2"/>
      <c r="H900" s="2"/>
    </row>
    <row r="901">
      <c r="B901" s="2"/>
      <c r="C901" s="2"/>
      <c r="D901" s="2"/>
      <c r="E901" s="58"/>
      <c r="F901" s="2"/>
      <c r="G901" s="2"/>
      <c r="H901" s="2"/>
    </row>
    <row r="902">
      <c r="B902" s="2"/>
      <c r="C902" s="2"/>
      <c r="D902" s="2"/>
      <c r="E902" s="58"/>
      <c r="F902" s="2"/>
      <c r="G902" s="2"/>
      <c r="H902" s="2"/>
    </row>
    <row r="903">
      <c r="B903" s="2"/>
      <c r="C903" s="2"/>
      <c r="D903" s="2"/>
      <c r="E903" s="58"/>
      <c r="F903" s="2"/>
      <c r="G903" s="2"/>
      <c r="H903" s="2"/>
    </row>
    <row r="904">
      <c r="B904" s="2"/>
      <c r="C904" s="2"/>
      <c r="D904" s="2"/>
      <c r="E904" s="58"/>
      <c r="F904" s="2"/>
      <c r="G904" s="2"/>
      <c r="H904" s="2"/>
    </row>
    <row r="905">
      <c r="B905" s="2"/>
      <c r="C905" s="2"/>
      <c r="D905" s="2"/>
      <c r="E905" s="58"/>
      <c r="F905" s="2"/>
      <c r="G905" s="2"/>
      <c r="H905" s="2"/>
    </row>
    <row r="906">
      <c r="B906" s="2"/>
      <c r="C906" s="2"/>
      <c r="D906" s="2"/>
      <c r="E906" s="58"/>
      <c r="F906" s="2"/>
      <c r="G906" s="2"/>
      <c r="H906" s="2"/>
    </row>
    <row r="907">
      <c r="B907" s="2"/>
      <c r="C907" s="2"/>
      <c r="D907" s="2"/>
      <c r="E907" s="58"/>
      <c r="F907" s="2"/>
      <c r="G907" s="2"/>
      <c r="H907" s="2"/>
    </row>
    <row r="908">
      <c r="B908" s="2"/>
      <c r="C908" s="2"/>
      <c r="D908" s="2"/>
      <c r="E908" s="58"/>
      <c r="F908" s="2"/>
      <c r="G908" s="2"/>
      <c r="H908" s="2"/>
    </row>
    <row r="909">
      <c r="B909" s="2"/>
      <c r="C909" s="2"/>
      <c r="D909" s="2"/>
      <c r="E909" s="58"/>
      <c r="F909" s="2"/>
      <c r="G909" s="2"/>
      <c r="H909" s="2"/>
    </row>
    <row r="910">
      <c r="B910" s="2"/>
      <c r="C910" s="2"/>
      <c r="D910" s="2"/>
      <c r="E910" s="58"/>
      <c r="F910" s="2"/>
      <c r="G910" s="2"/>
      <c r="H910" s="2"/>
    </row>
    <row r="911">
      <c r="B911" s="2"/>
      <c r="C911" s="2"/>
      <c r="D911" s="2"/>
      <c r="E911" s="58"/>
      <c r="F911" s="2"/>
      <c r="G911" s="2"/>
      <c r="H911" s="2"/>
    </row>
    <row r="912">
      <c r="B912" s="2"/>
      <c r="C912" s="2"/>
      <c r="D912" s="2"/>
      <c r="E912" s="58"/>
      <c r="F912" s="2"/>
      <c r="G912" s="2"/>
      <c r="H912" s="2"/>
    </row>
    <row r="913">
      <c r="B913" s="2"/>
      <c r="C913" s="2"/>
      <c r="D913" s="2"/>
      <c r="E913" s="58"/>
      <c r="F913" s="2"/>
      <c r="G913" s="2"/>
      <c r="H913" s="2"/>
    </row>
    <row r="914">
      <c r="B914" s="2"/>
      <c r="C914" s="2"/>
      <c r="D914" s="2"/>
      <c r="E914" s="58"/>
      <c r="F914" s="2"/>
      <c r="G914" s="2"/>
      <c r="H914" s="2"/>
    </row>
    <row r="915">
      <c r="B915" s="2"/>
      <c r="C915" s="2"/>
      <c r="D915" s="2"/>
      <c r="E915" s="58"/>
      <c r="F915" s="2"/>
      <c r="G915" s="2"/>
      <c r="H915" s="2"/>
    </row>
    <row r="916">
      <c r="B916" s="2"/>
      <c r="C916" s="2"/>
      <c r="D916" s="2"/>
      <c r="E916" s="58"/>
      <c r="F916" s="2"/>
      <c r="G916" s="2"/>
      <c r="H916" s="2"/>
    </row>
    <row r="917">
      <c r="B917" s="2"/>
      <c r="C917" s="2"/>
      <c r="D917" s="2"/>
      <c r="E917" s="58"/>
      <c r="F917" s="2"/>
      <c r="G917" s="2"/>
      <c r="H917" s="2"/>
    </row>
    <row r="918">
      <c r="B918" s="2"/>
      <c r="C918" s="2"/>
      <c r="D918" s="2"/>
      <c r="E918" s="58"/>
      <c r="F918" s="2"/>
      <c r="G918" s="2"/>
      <c r="H918" s="2"/>
    </row>
    <row r="919">
      <c r="B919" s="2"/>
      <c r="C919" s="2"/>
      <c r="D919" s="2"/>
      <c r="E919" s="58"/>
      <c r="F919" s="2"/>
      <c r="G919" s="2"/>
      <c r="H919" s="2"/>
    </row>
    <row r="920">
      <c r="B920" s="2"/>
      <c r="C920" s="2"/>
      <c r="D920" s="2"/>
      <c r="E920" s="58"/>
      <c r="F920" s="2"/>
      <c r="G920" s="2"/>
      <c r="H920" s="2"/>
    </row>
    <row r="921">
      <c r="B921" s="2"/>
      <c r="C921" s="2"/>
      <c r="D921" s="2"/>
      <c r="E921" s="58"/>
      <c r="F921" s="2"/>
      <c r="G921" s="2"/>
      <c r="H921" s="2"/>
    </row>
    <row r="922">
      <c r="B922" s="2"/>
      <c r="C922" s="2"/>
      <c r="D922" s="2"/>
      <c r="E922" s="58"/>
      <c r="F922" s="2"/>
      <c r="G922" s="2"/>
      <c r="H922" s="2"/>
    </row>
    <row r="923">
      <c r="B923" s="2"/>
      <c r="C923" s="2"/>
      <c r="D923" s="2"/>
      <c r="E923" s="58"/>
      <c r="F923" s="2"/>
      <c r="G923" s="2"/>
      <c r="H923" s="2"/>
    </row>
    <row r="924">
      <c r="B924" s="2"/>
      <c r="C924" s="2"/>
      <c r="D924" s="2"/>
      <c r="E924" s="58"/>
      <c r="F924" s="2"/>
      <c r="G924" s="2"/>
      <c r="H924" s="2"/>
    </row>
    <row r="925">
      <c r="B925" s="2"/>
      <c r="C925" s="2"/>
      <c r="D925" s="2"/>
      <c r="E925" s="58"/>
      <c r="F925" s="2"/>
      <c r="G925" s="2"/>
      <c r="H925" s="2"/>
    </row>
    <row r="926">
      <c r="B926" s="2"/>
      <c r="C926" s="2"/>
      <c r="D926" s="2"/>
      <c r="E926" s="58"/>
      <c r="F926" s="2"/>
      <c r="G926" s="2"/>
      <c r="H926" s="2"/>
    </row>
    <row r="927">
      <c r="B927" s="2"/>
      <c r="C927" s="2"/>
      <c r="D927" s="2"/>
      <c r="E927" s="58"/>
      <c r="F927" s="2"/>
      <c r="G927" s="2"/>
      <c r="H927" s="2"/>
    </row>
    <row r="928">
      <c r="B928" s="2"/>
      <c r="C928" s="2"/>
      <c r="D928" s="2"/>
      <c r="E928" s="58"/>
      <c r="F928" s="2"/>
      <c r="G928" s="2"/>
      <c r="H928" s="2"/>
    </row>
    <row r="929">
      <c r="B929" s="2"/>
      <c r="C929" s="2"/>
      <c r="D929" s="2"/>
      <c r="E929" s="58"/>
      <c r="F929" s="2"/>
      <c r="G929" s="2"/>
      <c r="H929" s="2"/>
    </row>
    <row r="930">
      <c r="B930" s="2"/>
      <c r="C930" s="2"/>
      <c r="D930" s="2"/>
      <c r="E930" s="58"/>
      <c r="F930" s="2"/>
      <c r="G930" s="2"/>
      <c r="H930" s="2"/>
    </row>
    <row r="931">
      <c r="B931" s="2"/>
      <c r="C931" s="2"/>
      <c r="D931" s="2"/>
      <c r="E931" s="58"/>
      <c r="F931" s="2"/>
      <c r="G931" s="2"/>
      <c r="H931" s="2"/>
    </row>
    <row r="932">
      <c r="B932" s="2"/>
      <c r="C932" s="2"/>
      <c r="D932" s="2"/>
      <c r="E932" s="58"/>
      <c r="F932" s="2"/>
      <c r="G932" s="2"/>
      <c r="H932" s="2"/>
    </row>
    <row r="933">
      <c r="B933" s="2"/>
      <c r="C933" s="2"/>
      <c r="D933" s="2"/>
      <c r="E933" s="58"/>
      <c r="F933" s="2"/>
      <c r="G933" s="2"/>
      <c r="H933" s="2"/>
    </row>
    <row r="934">
      <c r="B934" s="2"/>
      <c r="C934" s="2"/>
      <c r="D934" s="2"/>
      <c r="E934" s="58"/>
      <c r="F934" s="2"/>
      <c r="G934" s="2"/>
      <c r="H934" s="2"/>
    </row>
    <row r="935">
      <c r="B935" s="2"/>
      <c r="C935" s="2"/>
      <c r="D935" s="2"/>
      <c r="E935" s="58"/>
      <c r="F935" s="2"/>
      <c r="G935" s="2"/>
      <c r="H935" s="2"/>
    </row>
    <row r="936">
      <c r="B936" s="2"/>
      <c r="C936" s="2"/>
      <c r="D936" s="2"/>
      <c r="E936" s="58"/>
      <c r="F936" s="2"/>
      <c r="G936" s="2"/>
      <c r="H936" s="2"/>
    </row>
    <row r="937">
      <c r="B937" s="2"/>
      <c r="C937" s="2"/>
      <c r="D937" s="2"/>
      <c r="E937" s="58"/>
      <c r="F937" s="2"/>
      <c r="G937" s="2"/>
      <c r="H937" s="2"/>
    </row>
    <row r="938">
      <c r="B938" s="2"/>
      <c r="C938" s="2"/>
      <c r="D938" s="2"/>
      <c r="E938" s="58"/>
      <c r="F938" s="2"/>
      <c r="G938" s="2"/>
      <c r="H938" s="2"/>
    </row>
    <row r="939">
      <c r="B939" s="2"/>
      <c r="C939" s="2"/>
      <c r="D939" s="2"/>
      <c r="E939" s="58"/>
      <c r="F939" s="2"/>
      <c r="G939" s="2"/>
      <c r="H939" s="2"/>
    </row>
    <row r="940">
      <c r="B940" s="2"/>
      <c r="C940" s="2"/>
      <c r="D940" s="2"/>
      <c r="E940" s="58"/>
      <c r="F940" s="2"/>
      <c r="G940" s="2"/>
      <c r="H940" s="2"/>
    </row>
    <row r="941">
      <c r="B941" s="2"/>
      <c r="C941" s="2"/>
      <c r="D941" s="2"/>
      <c r="E941" s="58"/>
      <c r="F941" s="2"/>
      <c r="G941" s="2"/>
      <c r="H941" s="2"/>
    </row>
    <row r="942">
      <c r="B942" s="2"/>
      <c r="C942" s="2"/>
      <c r="D942" s="2"/>
      <c r="E942" s="58"/>
      <c r="F942" s="2"/>
      <c r="G942" s="2"/>
      <c r="H942" s="2"/>
    </row>
    <row r="943">
      <c r="B943" s="2"/>
      <c r="C943" s="2"/>
      <c r="D943" s="2"/>
      <c r="E943" s="58"/>
      <c r="F943" s="2"/>
      <c r="G943" s="2"/>
      <c r="H943" s="2"/>
    </row>
    <row r="944">
      <c r="B944" s="2"/>
      <c r="C944" s="2"/>
      <c r="D944" s="2"/>
      <c r="E944" s="58"/>
      <c r="F944" s="2"/>
      <c r="G944" s="2"/>
      <c r="H944" s="2"/>
    </row>
    <row r="945">
      <c r="B945" s="2"/>
      <c r="C945" s="2"/>
      <c r="D945" s="2"/>
      <c r="E945" s="58"/>
      <c r="F945" s="2"/>
      <c r="G945" s="2"/>
      <c r="H945" s="2"/>
    </row>
    <row r="946">
      <c r="B946" s="2"/>
      <c r="C946" s="2"/>
      <c r="D946" s="2"/>
      <c r="E946" s="58"/>
      <c r="F946" s="2"/>
      <c r="G946" s="2"/>
      <c r="H946" s="2"/>
    </row>
    <row r="947">
      <c r="B947" s="2"/>
      <c r="C947" s="2"/>
      <c r="D947" s="2"/>
      <c r="E947" s="58"/>
      <c r="F947" s="2"/>
      <c r="G947" s="2"/>
      <c r="H947" s="2"/>
    </row>
    <row r="948">
      <c r="B948" s="2"/>
      <c r="C948" s="2"/>
      <c r="D948" s="2"/>
      <c r="E948" s="58"/>
      <c r="F948" s="2"/>
      <c r="G948" s="2"/>
      <c r="H948" s="2"/>
    </row>
    <row r="949">
      <c r="B949" s="2"/>
      <c r="C949" s="2"/>
      <c r="D949" s="2"/>
      <c r="E949" s="58"/>
      <c r="F949" s="2"/>
      <c r="G949" s="2"/>
      <c r="H949" s="2"/>
    </row>
    <row r="950">
      <c r="B950" s="2"/>
      <c r="C950" s="2"/>
      <c r="D950" s="2"/>
      <c r="E950" s="58"/>
      <c r="F950" s="2"/>
      <c r="G950" s="2"/>
      <c r="H950" s="2"/>
    </row>
    <row r="951">
      <c r="B951" s="2"/>
      <c r="C951" s="2"/>
      <c r="D951" s="2"/>
      <c r="E951" s="58"/>
      <c r="F951" s="2"/>
      <c r="G951" s="2"/>
      <c r="H951" s="2"/>
    </row>
    <row r="952">
      <c r="B952" s="2"/>
      <c r="C952" s="2"/>
      <c r="D952" s="2"/>
      <c r="E952" s="58"/>
      <c r="F952" s="2"/>
      <c r="G952" s="2"/>
      <c r="H952" s="2"/>
    </row>
    <row r="953">
      <c r="B953" s="2"/>
      <c r="C953" s="2"/>
      <c r="D953" s="2"/>
      <c r="E953" s="58"/>
      <c r="F953" s="2"/>
      <c r="G953" s="2"/>
      <c r="H953" s="2"/>
    </row>
    <row r="954">
      <c r="B954" s="2"/>
      <c r="C954" s="2"/>
      <c r="D954" s="2"/>
      <c r="E954" s="58"/>
      <c r="F954" s="2"/>
      <c r="G954" s="2"/>
      <c r="H954" s="2"/>
    </row>
    <row r="955">
      <c r="B955" s="2"/>
      <c r="C955" s="2"/>
      <c r="D955" s="2"/>
      <c r="E955" s="58"/>
      <c r="F955" s="2"/>
      <c r="G955" s="2"/>
      <c r="H955" s="2"/>
    </row>
    <row r="956">
      <c r="B956" s="2"/>
      <c r="C956" s="2"/>
      <c r="D956" s="2"/>
      <c r="E956" s="58"/>
      <c r="F956" s="2"/>
      <c r="G956" s="2"/>
      <c r="H956" s="2"/>
    </row>
    <row r="957">
      <c r="B957" s="2"/>
      <c r="C957" s="2"/>
      <c r="D957" s="2"/>
      <c r="E957" s="58"/>
      <c r="F957" s="2"/>
      <c r="G957" s="2"/>
      <c r="H957" s="2"/>
    </row>
    <row r="958">
      <c r="B958" s="2"/>
      <c r="C958" s="2"/>
      <c r="D958" s="2"/>
      <c r="E958" s="58"/>
      <c r="F958" s="2"/>
      <c r="G958" s="2"/>
      <c r="H958" s="2"/>
    </row>
    <row r="959">
      <c r="B959" s="2"/>
      <c r="C959" s="2"/>
      <c r="D959" s="2"/>
      <c r="E959" s="58"/>
      <c r="F959" s="2"/>
      <c r="G959" s="2"/>
      <c r="H959" s="2"/>
    </row>
    <row r="960">
      <c r="B960" s="2"/>
      <c r="C960" s="2"/>
      <c r="D960" s="2"/>
      <c r="E960" s="58"/>
      <c r="F960" s="2"/>
      <c r="G960" s="2"/>
      <c r="H960" s="2"/>
    </row>
    <row r="961">
      <c r="B961" s="2"/>
      <c r="C961" s="2"/>
      <c r="D961" s="2"/>
      <c r="E961" s="58"/>
      <c r="F961" s="2"/>
      <c r="G961" s="2"/>
      <c r="H961" s="2"/>
    </row>
    <row r="962">
      <c r="B962" s="2"/>
      <c r="C962" s="2"/>
      <c r="D962" s="2"/>
      <c r="E962" s="58"/>
      <c r="F962" s="2"/>
      <c r="G962" s="2"/>
      <c r="H962" s="2"/>
    </row>
    <row r="963">
      <c r="B963" s="2"/>
      <c r="C963" s="2"/>
      <c r="D963" s="2"/>
      <c r="E963" s="58"/>
      <c r="F963" s="2"/>
      <c r="G963" s="2"/>
      <c r="H963" s="2"/>
    </row>
    <row r="964">
      <c r="B964" s="2"/>
      <c r="C964" s="2"/>
      <c r="D964" s="2"/>
      <c r="E964" s="58"/>
      <c r="F964" s="2"/>
      <c r="G964" s="2"/>
      <c r="H964" s="2"/>
    </row>
    <row r="965">
      <c r="B965" s="2"/>
      <c r="C965" s="2"/>
      <c r="D965" s="2"/>
      <c r="E965" s="58"/>
      <c r="F965" s="2"/>
      <c r="G965" s="2"/>
      <c r="H965" s="2"/>
    </row>
    <row r="966">
      <c r="B966" s="2"/>
      <c r="C966" s="2"/>
      <c r="D966" s="2"/>
      <c r="E966" s="58"/>
      <c r="F966" s="2"/>
      <c r="G966" s="2"/>
      <c r="H966" s="2"/>
    </row>
    <row r="967">
      <c r="B967" s="2"/>
      <c r="C967" s="2"/>
      <c r="D967" s="2"/>
      <c r="E967" s="58"/>
      <c r="F967" s="2"/>
      <c r="G967" s="2"/>
      <c r="H967" s="2"/>
    </row>
    <row r="968">
      <c r="B968" s="2"/>
      <c r="C968" s="2"/>
      <c r="D968" s="2"/>
      <c r="E968" s="58"/>
      <c r="F968" s="2"/>
      <c r="G968" s="2"/>
      <c r="H968" s="2"/>
    </row>
    <row r="969">
      <c r="B969" s="2"/>
      <c r="C969" s="2"/>
      <c r="D969" s="2"/>
      <c r="E969" s="58"/>
      <c r="F969" s="2"/>
      <c r="G969" s="2"/>
      <c r="H969" s="2"/>
    </row>
    <row r="970">
      <c r="B970" s="2"/>
      <c r="C970" s="2"/>
      <c r="D970" s="2"/>
      <c r="E970" s="58"/>
      <c r="F970" s="2"/>
      <c r="G970" s="2"/>
      <c r="H970" s="2"/>
    </row>
    <row r="971">
      <c r="B971" s="2"/>
      <c r="C971" s="2"/>
      <c r="D971" s="2"/>
      <c r="E971" s="58"/>
      <c r="F971" s="2"/>
      <c r="G971" s="2"/>
      <c r="H971" s="2"/>
    </row>
    <row r="972">
      <c r="B972" s="2"/>
      <c r="C972" s="2"/>
      <c r="D972" s="2"/>
      <c r="E972" s="58"/>
      <c r="F972" s="2"/>
      <c r="G972" s="2"/>
      <c r="H972" s="2"/>
    </row>
    <row r="973">
      <c r="B973" s="2"/>
      <c r="C973" s="2"/>
      <c r="D973" s="2"/>
      <c r="E973" s="58"/>
      <c r="F973" s="2"/>
      <c r="G973" s="2"/>
      <c r="H973" s="2"/>
    </row>
    <row r="974">
      <c r="B974" s="2"/>
      <c r="C974" s="2"/>
      <c r="D974" s="2"/>
      <c r="E974" s="58"/>
      <c r="F974" s="2"/>
      <c r="G974" s="2"/>
      <c r="H974" s="2"/>
    </row>
    <row r="975">
      <c r="B975" s="2"/>
      <c r="C975" s="2"/>
      <c r="D975" s="2"/>
      <c r="E975" s="58"/>
      <c r="F975" s="2"/>
      <c r="G975" s="2"/>
      <c r="H975" s="2"/>
    </row>
    <row r="976">
      <c r="B976" s="2"/>
      <c r="C976" s="2"/>
      <c r="D976" s="2"/>
      <c r="E976" s="58"/>
      <c r="F976" s="2"/>
      <c r="G976" s="2"/>
      <c r="H976" s="2"/>
    </row>
    <row r="977">
      <c r="B977" s="2"/>
      <c r="C977" s="2"/>
      <c r="D977" s="2"/>
      <c r="E977" s="58"/>
      <c r="F977" s="2"/>
      <c r="G977" s="2"/>
      <c r="H977" s="2"/>
    </row>
    <row r="978">
      <c r="B978" s="2"/>
      <c r="C978" s="2"/>
      <c r="D978" s="2"/>
      <c r="E978" s="58"/>
      <c r="F978" s="2"/>
      <c r="G978" s="2"/>
      <c r="H978" s="2"/>
    </row>
    <row r="979">
      <c r="B979" s="2"/>
      <c r="C979" s="2"/>
      <c r="D979" s="2"/>
      <c r="E979" s="58"/>
      <c r="F979" s="2"/>
      <c r="G979" s="2"/>
      <c r="H979" s="2"/>
    </row>
    <row r="980">
      <c r="B980" s="2"/>
      <c r="C980" s="2"/>
      <c r="D980" s="2"/>
      <c r="E980" s="58"/>
      <c r="F980" s="2"/>
      <c r="G980" s="2"/>
      <c r="H980" s="2"/>
    </row>
    <row r="981">
      <c r="B981" s="2"/>
      <c r="C981" s="2"/>
      <c r="D981" s="2"/>
      <c r="E981" s="58"/>
      <c r="F981" s="2"/>
      <c r="G981" s="2"/>
      <c r="H981" s="2"/>
    </row>
    <row r="982">
      <c r="B982" s="2"/>
      <c r="C982" s="2"/>
      <c r="D982" s="2"/>
      <c r="E982" s="58"/>
      <c r="F982" s="2"/>
      <c r="G982" s="2"/>
      <c r="H982" s="2"/>
    </row>
    <row r="983">
      <c r="B983" s="2"/>
      <c r="C983" s="2"/>
      <c r="D983" s="2"/>
      <c r="E983" s="58"/>
      <c r="F983" s="2"/>
      <c r="G983" s="2"/>
      <c r="H983" s="2"/>
    </row>
    <row r="984">
      <c r="B984" s="2"/>
      <c r="C984" s="2"/>
      <c r="D984" s="2"/>
      <c r="E984" s="58"/>
      <c r="F984" s="2"/>
      <c r="G984" s="2"/>
      <c r="H984" s="2"/>
    </row>
    <row r="985">
      <c r="B985" s="2"/>
      <c r="C985" s="2"/>
      <c r="D985" s="2"/>
      <c r="E985" s="58"/>
      <c r="F985" s="2"/>
      <c r="G985" s="2"/>
      <c r="H985" s="2"/>
    </row>
    <row r="986">
      <c r="B986" s="2"/>
      <c r="C986" s="2"/>
      <c r="D986" s="2"/>
      <c r="E986" s="58"/>
      <c r="F986" s="2"/>
      <c r="G986" s="2"/>
      <c r="H986" s="2"/>
    </row>
    <row r="987">
      <c r="B987" s="2"/>
      <c r="C987" s="2"/>
      <c r="D987" s="2"/>
      <c r="E987" s="58"/>
      <c r="F987" s="2"/>
      <c r="G987" s="2"/>
      <c r="H987" s="2"/>
    </row>
    <row r="988">
      <c r="B988" s="2"/>
      <c r="C988" s="2"/>
      <c r="D988" s="2"/>
      <c r="E988" s="58"/>
      <c r="F988" s="2"/>
      <c r="G988" s="2"/>
      <c r="H988" s="2"/>
    </row>
    <row r="989">
      <c r="B989" s="2"/>
      <c r="C989" s="2"/>
      <c r="D989" s="2"/>
      <c r="E989" s="58"/>
      <c r="F989" s="2"/>
      <c r="G989" s="2"/>
      <c r="H989" s="2"/>
    </row>
    <row r="990">
      <c r="B990" s="2"/>
      <c r="C990" s="2"/>
      <c r="D990" s="2"/>
      <c r="E990" s="58"/>
      <c r="F990" s="2"/>
      <c r="G990" s="2"/>
      <c r="H990" s="2"/>
    </row>
    <row r="991">
      <c r="B991" s="2"/>
      <c r="C991" s="2"/>
      <c r="D991" s="2"/>
      <c r="E991" s="58"/>
      <c r="F991" s="2"/>
      <c r="G991" s="2"/>
      <c r="H991" s="2"/>
    </row>
    <row r="992">
      <c r="B992" s="2"/>
      <c r="C992" s="2"/>
      <c r="D992" s="2"/>
      <c r="E992" s="58"/>
      <c r="F992" s="2"/>
      <c r="G992" s="2"/>
      <c r="H992" s="2"/>
    </row>
    <row r="993">
      <c r="B993" s="2"/>
      <c r="C993" s="2"/>
      <c r="D993" s="2"/>
      <c r="E993" s="58"/>
      <c r="F993" s="2"/>
      <c r="G993" s="2"/>
      <c r="H993" s="2"/>
    </row>
    <row r="994">
      <c r="B994" s="2"/>
      <c r="C994" s="2"/>
      <c r="D994" s="2"/>
      <c r="E994" s="58"/>
      <c r="F994" s="2"/>
      <c r="G994" s="2"/>
      <c r="H994" s="2"/>
    </row>
    <row r="995">
      <c r="B995" s="2"/>
      <c r="C995" s="2"/>
      <c r="D995" s="2"/>
      <c r="E995" s="58"/>
      <c r="F995" s="2"/>
      <c r="G995" s="2"/>
      <c r="H995" s="2"/>
    </row>
    <row r="996">
      <c r="B996" s="2"/>
      <c r="C996" s="2"/>
      <c r="D996" s="2"/>
      <c r="E996" s="58"/>
      <c r="F996" s="2"/>
      <c r="G996" s="2"/>
      <c r="H996" s="2"/>
    </row>
    <row r="997">
      <c r="B997" s="2"/>
      <c r="C997" s="2"/>
      <c r="D997" s="2"/>
      <c r="E997" s="58"/>
      <c r="F997" s="2"/>
      <c r="G997" s="2"/>
      <c r="H997" s="2"/>
    </row>
    <row r="998">
      <c r="B998" s="2"/>
      <c r="C998" s="2"/>
      <c r="D998" s="2"/>
      <c r="E998" s="58"/>
      <c r="F998" s="2"/>
      <c r="G998" s="2"/>
      <c r="H998" s="2"/>
    </row>
    <row r="999">
      <c r="B999" s="2"/>
      <c r="C999" s="2"/>
      <c r="D999" s="2"/>
      <c r="E999" s="58"/>
      <c r="F999" s="2"/>
      <c r="G999" s="2"/>
      <c r="H999" s="2"/>
    </row>
    <row r="1000">
      <c r="B1000" s="2"/>
      <c r="C1000" s="2"/>
      <c r="D1000" s="2"/>
      <c r="E1000" s="58"/>
      <c r="F1000" s="2"/>
      <c r="G1000" s="2"/>
      <c r="H1000" s="2"/>
    </row>
    <row r="1001">
      <c r="B1001" s="2"/>
      <c r="C1001" s="2"/>
      <c r="D1001" s="2"/>
      <c r="E1001" s="58"/>
      <c r="F1001" s="2"/>
      <c r="G1001" s="2"/>
      <c r="H1001" s="2"/>
    </row>
    <row r="1002">
      <c r="B1002" s="2"/>
      <c r="C1002" s="2"/>
      <c r="D1002" s="2"/>
      <c r="E1002" s="58"/>
      <c r="F1002" s="2"/>
      <c r="G1002" s="2"/>
      <c r="H1002" s="2"/>
    </row>
    <row r="1003">
      <c r="B1003" s="2"/>
      <c r="C1003" s="2"/>
      <c r="D1003" s="2"/>
      <c r="E1003" s="58"/>
      <c r="F1003" s="2"/>
      <c r="G1003" s="2"/>
      <c r="H1003" s="2"/>
    </row>
    <row r="1004">
      <c r="B1004" s="2"/>
      <c r="C1004" s="2"/>
      <c r="D1004" s="2"/>
      <c r="E1004" s="58"/>
      <c r="F1004" s="2"/>
      <c r="G1004" s="2"/>
      <c r="H1004" s="2"/>
    </row>
    <row r="1005">
      <c r="B1005" s="2"/>
      <c r="C1005" s="2"/>
      <c r="D1005" s="2"/>
      <c r="E1005" s="58"/>
      <c r="F1005" s="2"/>
      <c r="G1005" s="2"/>
      <c r="H1005" s="2"/>
    </row>
    <row r="1006">
      <c r="B1006" s="2"/>
      <c r="C1006" s="2"/>
      <c r="D1006" s="2"/>
      <c r="E1006" s="58"/>
      <c r="F1006" s="2"/>
      <c r="G1006" s="2"/>
      <c r="H1006" s="2"/>
    </row>
    <row r="1007">
      <c r="B1007" s="2"/>
      <c r="C1007" s="2"/>
      <c r="D1007" s="2"/>
      <c r="E1007" s="58"/>
      <c r="F1007" s="2"/>
      <c r="G1007" s="2"/>
      <c r="H1007" s="2"/>
    </row>
    <row r="1008">
      <c r="B1008" s="2"/>
      <c r="C1008" s="2"/>
      <c r="D1008" s="2"/>
      <c r="E1008" s="58"/>
      <c r="F1008" s="2"/>
      <c r="G1008" s="2"/>
      <c r="H1008" s="2"/>
    </row>
  </sheetData>
  <mergeCells count="8">
    <mergeCell ref="C2:H2"/>
    <mergeCell ref="A4:A24"/>
    <mergeCell ref="A26:A47"/>
    <mergeCell ref="B31:B33"/>
    <mergeCell ref="C31:C33"/>
    <mergeCell ref="D31:D33"/>
    <mergeCell ref="G31:I32"/>
    <mergeCell ref="G33:I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5.88"/>
    <col customWidth="1" min="3" max="3" width="10.88"/>
    <col customWidth="1" min="4" max="4" width="17.5"/>
    <col customWidth="1" min="5" max="5" width="36.75"/>
    <col customWidth="1" min="6" max="6" width="19.63"/>
    <col customWidth="1" min="7" max="7" width="26.13"/>
    <col customWidth="1" min="8" max="8" width="15.25"/>
    <col customWidth="1" min="9" max="9" width="51.63"/>
    <col customWidth="1" min="10" max="10" width="19.25"/>
    <col customWidth="1" min="11" max="11" width="27.38"/>
    <col customWidth="1" min="12" max="12" width="33.0"/>
    <col customWidth="1" min="13" max="13" width="11.13"/>
    <col customWidth="1" min="14" max="14" width="22.38"/>
    <col customWidth="1" min="15" max="15" width="43.0"/>
    <col customWidth="1" min="17" max="17" width="20.88"/>
  </cols>
  <sheetData>
    <row r="1">
      <c r="A1" s="84" t="s">
        <v>1318</v>
      </c>
      <c r="J1" s="85"/>
      <c r="K1" s="85"/>
      <c r="L1" s="85"/>
      <c r="M1" s="85"/>
      <c r="N1" s="85"/>
    </row>
    <row r="2">
      <c r="J2" s="86" t="s">
        <v>1319</v>
      </c>
      <c r="K2" s="87"/>
      <c r="L2" s="87"/>
      <c r="M2" s="87"/>
      <c r="N2" s="87"/>
    </row>
    <row r="3">
      <c r="B3" s="58"/>
      <c r="C3" s="2"/>
      <c r="D3" s="2"/>
      <c r="E3" s="2"/>
      <c r="F3" s="2"/>
      <c r="G3" s="2"/>
      <c r="H3" s="2"/>
      <c r="I3" s="2"/>
      <c r="J3" s="88"/>
      <c r="O3" s="89"/>
      <c r="P3" s="89"/>
      <c r="Q3" s="89"/>
    </row>
    <row r="4">
      <c r="A4" s="90" t="s">
        <v>1320</v>
      </c>
      <c r="B4" s="91" t="s">
        <v>1233</v>
      </c>
      <c r="C4" s="92" t="s">
        <v>1321</v>
      </c>
      <c r="D4" s="92" t="s">
        <v>2</v>
      </c>
      <c r="E4" s="92" t="s">
        <v>1322</v>
      </c>
      <c r="F4" s="92" t="s">
        <v>1323</v>
      </c>
      <c r="G4" s="92" t="s">
        <v>1324</v>
      </c>
      <c r="H4" s="93" t="s">
        <v>1325</v>
      </c>
      <c r="I4" s="93" t="s">
        <v>1326</v>
      </c>
      <c r="J4" s="94" t="s">
        <v>1327</v>
      </c>
      <c r="K4" s="95"/>
      <c r="L4" s="95"/>
      <c r="M4" s="95"/>
      <c r="N4" s="95"/>
      <c r="O4" s="89"/>
      <c r="P4" s="89"/>
      <c r="Q4" s="89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B5" s="31">
        <v>1.0</v>
      </c>
      <c r="C5" s="33">
        <v>45883.0</v>
      </c>
      <c r="D5" s="32" t="s">
        <v>24</v>
      </c>
      <c r="E5" s="32" t="s">
        <v>1243</v>
      </c>
      <c r="F5" s="32">
        <v>1548.0</v>
      </c>
      <c r="G5" s="32" t="s">
        <v>1328</v>
      </c>
      <c r="H5" s="32" t="s">
        <v>1329</v>
      </c>
      <c r="I5" s="34"/>
      <c r="J5" s="96" t="s">
        <v>1237</v>
      </c>
      <c r="K5" s="97" t="s">
        <v>1330</v>
      </c>
      <c r="L5" s="97" t="s">
        <v>1331</v>
      </c>
      <c r="M5" s="96" t="s">
        <v>1332</v>
      </c>
      <c r="N5" s="96" t="s">
        <v>1333</v>
      </c>
      <c r="O5" s="36"/>
      <c r="P5" s="3"/>
      <c r="Q5" s="46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>
      <c r="B6" s="38">
        <v>2.0</v>
      </c>
      <c r="C6" s="71">
        <v>45884.0</v>
      </c>
      <c r="D6" s="36" t="s">
        <v>36</v>
      </c>
      <c r="E6" s="36" t="s">
        <v>1253</v>
      </c>
      <c r="F6" s="36">
        <v>1289.0</v>
      </c>
      <c r="G6" s="36" t="s">
        <v>1328</v>
      </c>
      <c r="H6" s="36" t="s">
        <v>1329</v>
      </c>
      <c r="I6" s="3"/>
      <c r="J6" s="98" t="s">
        <v>1334</v>
      </c>
      <c r="K6" s="99">
        <v>799.0</v>
      </c>
      <c r="L6" s="99">
        <v>100.0</v>
      </c>
      <c r="M6" s="99">
        <v>14.0</v>
      </c>
      <c r="N6" s="100">
        <f t="shared" ref="N6:N12" si="1">L6*M6</f>
        <v>1400</v>
      </c>
      <c r="O6" s="46"/>
      <c r="P6" s="46"/>
      <c r="Q6" s="46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B7" s="13">
        <v>3.0</v>
      </c>
      <c r="C7" s="18">
        <v>45884.0</v>
      </c>
      <c r="D7" s="14" t="s">
        <v>1252</v>
      </c>
      <c r="E7" s="14" t="s">
        <v>1253</v>
      </c>
      <c r="F7" s="14"/>
      <c r="G7" s="101" t="s">
        <v>81</v>
      </c>
      <c r="H7" s="101"/>
      <c r="I7" s="17"/>
      <c r="J7" s="98" t="s">
        <v>1335</v>
      </c>
      <c r="K7" s="98">
        <v>949.0</v>
      </c>
      <c r="L7" s="98">
        <v>120.0</v>
      </c>
      <c r="M7" s="98">
        <v>2.0</v>
      </c>
      <c r="N7" s="100">
        <f t="shared" si="1"/>
        <v>240</v>
      </c>
      <c r="O7" s="3"/>
      <c r="P7" s="3"/>
      <c r="Q7" s="36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B8" s="38">
        <v>4.0</v>
      </c>
      <c r="C8" s="71">
        <v>45884.0</v>
      </c>
      <c r="D8" s="36" t="s">
        <v>1255</v>
      </c>
      <c r="E8" s="36" t="s">
        <v>1243</v>
      </c>
      <c r="F8" s="36">
        <v>1548.0</v>
      </c>
      <c r="G8" s="36" t="s">
        <v>1328</v>
      </c>
      <c r="H8" s="36" t="s">
        <v>1329</v>
      </c>
      <c r="I8" s="3"/>
      <c r="J8" s="98" t="s">
        <v>1336</v>
      </c>
      <c r="K8" s="98">
        <v>1149.0</v>
      </c>
      <c r="L8" s="98">
        <v>150.0</v>
      </c>
      <c r="M8" s="98">
        <v>0.0</v>
      </c>
      <c r="N8" s="100">
        <f t="shared" si="1"/>
        <v>0</v>
      </c>
      <c r="O8" s="3"/>
      <c r="P8" s="3"/>
      <c r="Q8" s="3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B9" s="58"/>
      <c r="C9" s="2"/>
      <c r="D9" s="2"/>
      <c r="E9" s="102" t="s">
        <v>1337</v>
      </c>
      <c r="F9" s="103">
        <f>SUM(F5:F8)</f>
        <v>4385</v>
      </c>
      <c r="G9" s="2"/>
      <c r="H9" s="2"/>
      <c r="I9" s="2"/>
      <c r="J9" s="98" t="s">
        <v>1338</v>
      </c>
      <c r="K9" s="99">
        <v>490.0</v>
      </c>
      <c r="L9" s="99">
        <v>100.0</v>
      </c>
      <c r="M9" s="99">
        <v>9.0</v>
      </c>
      <c r="N9" s="100">
        <f t="shared" si="1"/>
        <v>900</v>
      </c>
      <c r="O9" s="46"/>
      <c r="P9" s="46"/>
      <c r="Q9" s="36"/>
    </row>
    <row r="10">
      <c r="B10" s="58"/>
      <c r="C10" s="2"/>
      <c r="D10" s="2"/>
      <c r="E10" s="104" t="s">
        <v>1339</v>
      </c>
      <c r="F10" s="102">
        <v>4400.0</v>
      </c>
      <c r="G10" s="2"/>
      <c r="H10" s="35" t="s">
        <v>0</v>
      </c>
      <c r="I10" s="2"/>
      <c r="J10" s="98" t="s">
        <v>1340</v>
      </c>
      <c r="K10" s="99">
        <v>749.0</v>
      </c>
      <c r="L10" s="99">
        <v>170.0</v>
      </c>
      <c r="M10" s="99">
        <v>6.0</v>
      </c>
      <c r="N10" s="100">
        <f t="shared" si="1"/>
        <v>1020</v>
      </c>
      <c r="O10" s="3"/>
      <c r="P10" s="3"/>
      <c r="Q10" s="36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B11" s="58"/>
      <c r="C11" s="2"/>
      <c r="D11" s="2"/>
      <c r="E11" s="105" t="s">
        <v>1341</v>
      </c>
      <c r="F11" s="106" t="s">
        <v>1342</v>
      </c>
      <c r="G11" s="2"/>
      <c r="H11" s="2"/>
      <c r="I11" s="2"/>
      <c r="J11" s="107" t="s">
        <v>1343</v>
      </c>
      <c r="K11" s="99">
        <v>890.0</v>
      </c>
      <c r="L11" s="99">
        <v>200.0</v>
      </c>
      <c r="M11" s="99">
        <v>1.0</v>
      </c>
      <c r="N11" s="100">
        <f t="shared" si="1"/>
        <v>200</v>
      </c>
      <c r="O11" s="46"/>
      <c r="P11" s="46"/>
      <c r="Q11" s="36"/>
    </row>
    <row r="12">
      <c r="B12" s="58"/>
      <c r="C12" s="2"/>
      <c r="D12" s="2"/>
      <c r="E12" s="2"/>
      <c r="F12" s="2"/>
      <c r="G12" s="2"/>
      <c r="H12" s="2"/>
      <c r="I12" s="2"/>
      <c r="J12" s="98" t="s">
        <v>1344</v>
      </c>
      <c r="K12" s="99">
        <v>690.0</v>
      </c>
      <c r="L12" s="99">
        <v>100.0</v>
      </c>
      <c r="M12" s="99">
        <v>3.0</v>
      </c>
      <c r="N12" s="100">
        <f t="shared" si="1"/>
        <v>300</v>
      </c>
      <c r="O12" s="46"/>
      <c r="P12" s="46"/>
      <c r="Q12" s="36"/>
    </row>
    <row r="13">
      <c r="A13" s="90" t="s">
        <v>1345</v>
      </c>
      <c r="B13" s="91" t="s">
        <v>1233</v>
      </c>
      <c r="C13" s="92" t="s">
        <v>1321</v>
      </c>
      <c r="D13" s="92" t="s">
        <v>2</v>
      </c>
      <c r="E13" s="92" t="s">
        <v>1322</v>
      </c>
      <c r="F13" s="92" t="s">
        <v>1323</v>
      </c>
      <c r="G13" s="92" t="s">
        <v>1324</v>
      </c>
      <c r="H13" s="93" t="s">
        <v>1325</v>
      </c>
      <c r="I13" s="93" t="s">
        <v>1326</v>
      </c>
      <c r="J13" s="100"/>
      <c r="K13" s="100"/>
      <c r="L13" s="100"/>
      <c r="M13" s="108" t="s">
        <v>1337</v>
      </c>
      <c r="N13" s="109">
        <f>SUM(N6:N12)</f>
        <v>4060</v>
      </c>
      <c r="O13" s="46"/>
      <c r="P13" s="46"/>
      <c r="Q13" s="36"/>
    </row>
    <row r="14">
      <c r="B14" s="1">
        <v>1.0</v>
      </c>
      <c r="C14" s="41">
        <v>45887.0</v>
      </c>
      <c r="D14" s="35" t="s">
        <v>1259</v>
      </c>
      <c r="E14" s="35" t="s">
        <v>1260</v>
      </c>
      <c r="F14" s="35">
        <v>1439.0</v>
      </c>
      <c r="G14" s="35" t="s">
        <v>1346</v>
      </c>
      <c r="H14" s="36" t="s">
        <v>1329</v>
      </c>
      <c r="I14" s="2"/>
      <c r="J14" s="100"/>
      <c r="K14" s="100"/>
      <c r="L14" s="100"/>
      <c r="M14" s="110" t="s">
        <v>1347</v>
      </c>
      <c r="N14" s="99">
        <v>15000.0</v>
      </c>
      <c r="O14" s="3"/>
      <c r="P14" s="3"/>
      <c r="Q14" s="36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B15" s="1">
        <v>2.0</v>
      </c>
      <c r="C15" s="41">
        <v>45890.0</v>
      </c>
      <c r="D15" s="35" t="s">
        <v>69</v>
      </c>
      <c r="E15" s="36" t="s">
        <v>1253</v>
      </c>
      <c r="F15" s="36">
        <v>1289.0</v>
      </c>
      <c r="G15" s="35" t="s">
        <v>1346</v>
      </c>
      <c r="H15" s="35" t="s">
        <v>1329</v>
      </c>
      <c r="I15" s="2"/>
      <c r="J15" s="100"/>
      <c r="K15" s="100"/>
      <c r="L15" s="100"/>
      <c r="M15" s="110" t="s">
        <v>1348</v>
      </c>
      <c r="N15" s="99">
        <v>250.0</v>
      </c>
      <c r="O15" s="3"/>
      <c r="P15" s="3"/>
      <c r="Q15" s="36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B16" s="1">
        <v>3.0</v>
      </c>
      <c r="C16" s="41">
        <v>45890.0</v>
      </c>
      <c r="D16" s="35" t="s">
        <v>79</v>
      </c>
      <c r="E16" s="35" t="s">
        <v>1349</v>
      </c>
      <c r="F16" s="36">
        <v>1979.0</v>
      </c>
      <c r="G16" s="36" t="s">
        <v>1350</v>
      </c>
      <c r="H16" s="35" t="s">
        <v>1329</v>
      </c>
      <c r="I16" s="2"/>
      <c r="J16" s="100"/>
      <c r="K16" s="100"/>
      <c r="L16" s="100"/>
      <c r="M16" s="111" t="s">
        <v>1351</v>
      </c>
      <c r="N16" s="112">
        <f>SUM(N13:N15)</f>
        <v>19310</v>
      </c>
      <c r="O16" s="3"/>
      <c r="P16" s="3"/>
      <c r="Q16" s="36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B17" s="1">
        <v>4.0</v>
      </c>
      <c r="C17" s="41">
        <v>45891.0</v>
      </c>
      <c r="D17" s="35" t="s">
        <v>88</v>
      </c>
      <c r="E17" s="35" t="s">
        <v>1340</v>
      </c>
      <c r="F17" s="35">
        <v>849.0</v>
      </c>
      <c r="G17" s="35" t="s">
        <v>1352</v>
      </c>
      <c r="H17" s="35" t="s">
        <v>1329</v>
      </c>
      <c r="I17" s="35" t="s">
        <v>1353</v>
      </c>
      <c r="J17" s="113" t="s">
        <v>1354</v>
      </c>
      <c r="K17" s="87"/>
      <c r="L17" s="87"/>
      <c r="M17" s="87"/>
      <c r="N17" s="114"/>
      <c r="O17" s="3"/>
      <c r="P17" s="3"/>
      <c r="Q17" s="36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B18" s="1">
        <v>5.0</v>
      </c>
      <c r="C18" s="41">
        <v>45892.0</v>
      </c>
      <c r="D18" s="35" t="s">
        <v>1355</v>
      </c>
      <c r="E18" s="35" t="s">
        <v>1256</v>
      </c>
      <c r="F18" s="36">
        <v>799.0</v>
      </c>
      <c r="G18" s="36" t="s">
        <v>1350</v>
      </c>
      <c r="H18" s="35" t="s">
        <v>1329</v>
      </c>
      <c r="I18" s="2"/>
      <c r="J18" s="115"/>
      <c r="K18" s="95"/>
      <c r="L18" s="95"/>
      <c r="M18" s="95"/>
      <c r="N18" s="116"/>
      <c r="O18" s="46"/>
      <c r="P18" s="46"/>
      <c r="Q18" s="36"/>
    </row>
    <row r="19">
      <c r="B19" s="1">
        <v>6.0</v>
      </c>
      <c r="C19" s="41">
        <v>45892.0</v>
      </c>
      <c r="D19" s="35" t="s">
        <v>98</v>
      </c>
      <c r="E19" s="35" t="s">
        <v>1256</v>
      </c>
      <c r="F19" s="36">
        <v>799.0</v>
      </c>
      <c r="G19" s="36" t="s">
        <v>1350</v>
      </c>
      <c r="H19" s="35" t="s">
        <v>1329</v>
      </c>
      <c r="I19" s="2"/>
      <c r="J19" s="96" t="s">
        <v>1237</v>
      </c>
      <c r="K19" s="97" t="s">
        <v>1330</v>
      </c>
      <c r="L19" s="96" t="s">
        <v>1332</v>
      </c>
      <c r="M19" s="96" t="s">
        <v>1356</v>
      </c>
      <c r="N19" s="100"/>
      <c r="O19" s="46"/>
      <c r="P19" s="46"/>
      <c r="Q19" s="36"/>
    </row>
    <row r="20">
      <c r="B20" s="1">
        <v>7.0</v>
      </c>
      <c r="C20" s="41">
        <v>45892.0</v>
      </c>
      <c r="D20" s="35" t="s">
        <v>106</v>
      </c>
      <c r="E20" s="35" t="s">
        <v>1357</v>
      </c>
      <c r="F20" s="36">
        <v>1439.0</v>
      </c>
      <c r="G20" s="36" t="s">
        <v>1350</v>
      </c>
      <c r="H20" s="35" t="s">
        <v>1329</v>
      </c>
      <c r="I20" s="2"/>
      <c r="J20" s="98" t="s">
        <v>1334</v>
      </c>
      <c r="K20" s="99">
        <v>799.0</v>
      </c>
      <c r="L20" s="99">
        <v>14.0</v>
      </c>
      <c r="M20" s="100">
        <f t="shared" ref="M20:M26" si="2">K20*L20</f>
        <v>11186</v>
      </c>
      <c r="N20" s="100"/>
      <c r="O20" s="46"/>
      <c r="P20" s="46"/>
      <c r="Q20" s="36"/>
    </row>
    <row r="21">
      <c r="B21" s="1">
        <v>8.0</v>
      </c>
      <c r="C21" s="41">
        <v>45892.0</v>
      </c>
      <c r="D21" s="35" t="s">
        <v>1271</v>
      </c>
      <c r="E21" s="35" t="s">
        <v>1340</v>
      </c>
      <c r="F21" s="36">
        <v>799.0</v>
      </c>
      <c r="G21" s="36" t="s">
        <v>1350</v>
      </c>
      <c r="H21" s="35" t="s">
        <v>1329</v>
      </c>
      <c r="I21" s="2"/>
      <c r="J21" s="98" t="s">
        <v>1335</v>
      </c>
      <c r="K21" s="98">
        <v>949.0</v>
      </c>
      <c r="L21" s="98">
        <v>2.0</v>
      </c>
      <c r="M21" s="100">
        <f t="shared" si="2"/>
        <v>1898</v>
      </c>
      <c r="N21" s="100"/>
      <c r="O21" s="46"/>
      <c r="P21" s="46"/>
      <c r="Q21" s="36"/>
    </row>
    <row r="22">
      <c r="B22" s="1">
        <v>9.0</v>
      </c>
      <c r="C22" s="41">
        <v>45892.0</v>
      </c>
      <c r="D22" s="35" t="s">
        <v>125</v>
      </c>
      <c r="E22" s="35" t="s">
        <v>1256</v>
      </c>
      <c r="F22" s="35">
        <v>799.0</v>
      </c>
      <c r="G22" s="35" t="s">
        <v>1346</v>
      </c>
      <c r="H22" s="35" t="s">
        <v>1329</v>
      </c>
      <c r="I22" s="2"/>
      <c r="J22" s="98" t="s">
        <v>1336</v>
      </c>
      <c r="K22" s="98">
        <v>1149.0</v>
      </c>
      <c r="L22" s="98">
        <v>0.0</v>
      </c>
      <c r="M22" s="100">
        <f t="shared" si="2"/>
        <v>0</v>
      </c>
      <c r="N22" s="100"/>
      <c r="O22" s="46"/>
      <c r="P22" s="46"/>
      <c r="Q22" s="36"/>
    </row>
    <row r="23">
      <c r="B23" s="1">
        <v>10.0</v>
      </c>
      <c r="C23" s="41">
        <v>45892.0</v>
      </c>
      <c r="D23" s="35" t="s">
        <v>1358</v>
      </c>
      <c r="E23" s="35" t="s">
        <v>1279</v>
      </c>
      <c r="F23" s="35">
        <v>1689.0</v>
      </c>
      <c r="G23" s="35" t="s">
        <v>1352</v>
      </c>
      <c r="H23" s="35" t="s">
        <v>1329</v>
      </c>
      <c r="I23" s="2"/>
      <c r="J23" s="98" t="s">
        <v>1338</v>
      </c>
      <c r="K23" s="99">
        <v>490.0</v>
      </c>
      <c r="L23" s="99">
        <v>9.0</v>
      </c>
      <c r="M23" s="100">
        <f t="shared" si="2"/>
        <v>4410</v>
      </c>
      <c r="N23" s="100"/>
      <c r="O23" s="46"/>
      <c r="P23" s="46"/>
      <c r="Q23" s="36"/>
    </row>
    <row r="24">
      <c r="B24" s="1">
        <v>11.0</v>
      </c>
      <c r="C24" s="41">
        <v>45893.0</v>
      </c>
      <c r="D24" s="35" t="s">
        <v>143</v>
      </c>
      <c r="E24" s="35" t="s">
        <v>1359</v>
      </c>
      <c r="F24" s="35">
        <v>1500.0</v>
      </c>
      <c r="G24" s="35" t="s">
        <v>1346</v>
      </c>
      <c r="H24" s="35" t="s">
        <v>1329</v>
      </c>
      <c r="I24" s="35" t="s">
        <v>1360</v>
      </c>
      <c r="J24" s="98" t="s">
        <v>1340</v>
      </c>
      <c r="K24" s="99">
        <v>749.0</v>
      </c>
      <c r="L24" s="99">
        <v>6.0</v>
      </c>
      <c r="M24" s="100">
        <f t="shared" si="2"/>
        <v>4494</v>
      </c>
      <c r="N24" s="100"/>
      <c r="O24" s="46"/>
      <c r="P24" s="46"/>
      <c r="Q24" s="36"/>
    </row>
    <row r="25">
      <c r="B25" s="1">
        <v>12.0</v>
      </c>
      <c r="C25" s="41">
        <v>45893.0</v>
      </c>
      <c r="D25" s="35" t="s">
        <v>151</v>
      </c>
      <c r="E25" s="36" t="s">
        <v>1253</v>
      </c>
      <c r="F25" s="35">
        <v>1289.0</v>
      </c>
      <c r="G25" s="35" t="s">
        <v>1352</v>
      </c>
      <c r="H25" s="35" t="s">
        <v>1329</v>
      </c>
      <c r="I25" s="2"/>
      <c r="J25" s="107" t="s">
        <v>1343</v>
      </c>
      <c r="K25" s="99">
        <v>890.0</v>
      </c>
      <c r="L25" s="99">
        <v>1.0</v>
      </c>
      <c r="M25" s="100">
        <f t="shared" si="2"/>
        <v>890</v>
      </c>
      <c r="N25" s="100"/>
      <c r="O25" s="46"/>
      <c r="P25" s="46"/>
      <c r="Q25" s="36"/>
    </row>
    <row r="26">
      <c r="B26" s="58"/>
      <c r="C26" s="2"/>
      <c r="D26" s="2"/>
      <c r="E26" s="117" t="s">
        <v>1337</v>
      </c>
      <c r="F26" s="118">
        <f>SUM(F14:F25)</f>
        <v>14669</v>
      </c>
      <c r="G26" s="2"/>
      <c r="H26" s="2"/>
      <c r="I26" s="2"/>
      <c r="J26" s="98" t="s">
        <v>1344</v>
      </c>
      <c r="K26" s="99">
        <v>690.0</v>
      </c>
      <c r="L26" s="99">
        <v>2.0</v>
      </c>
      <c r="M26" s="100">
        <f t="shared" si="2"/>
        <v>1380</v>
      </c>
      <c r="N26" s="100"/>
      <c r="O26" s="46"/>
      <c r="P26" s="46"/>
      <c r="Q26" s="36"/>
    </row>
    <row r="27">
      <c r="B27" s="58"/>
      <c r="C27" s="2"/>
      <c r="D27" s="2"/>
      <c r="E27" s="119" t="s">
        <v>1361</v>
      </c>
      <c r="F27" s="120">
        <v>10096.0</v>
      </c>
      <c r="G27" s="2"/>
      <c r="H27" s="2"/>
      <c r="I27" s="2"/>
      <c r="J27" s="100"/>
      <c r="K27" s="100"/>
      <c r="L27" s="108" t="s">
        <v>1337</v>
      </c>
      <c r="M27" s="109">
        <f>SUM(M20:M26)</f>
        <v>24258</v>
      </c>
      <c r="N27" s="100"/>
      <c r="O27" s="46"/>
      <c r="P27" s="46"/>
      <c r="Q27" s="36"/>
    </row>
    <row r="28">
      <c r="B28" s="58"/>
      <c r="C28" s="2"/>
      <c r="D28" s="2"/>
      <c r="E28" s="121" t="s">
        <v>1341</v>
      </c>
      <c r="F28" s="122" t="s">
        <v>1362</v>
      </c>
      <c r="G28" s="2"/>
      <c r="H28" s="2"/>
      <c r="I28" s="2"/>
      <c r="J28" s="100"/>
      <c r="K28" s="100"/>
      <c r="L28" s="100"/>
      <c r="M28" s="100"/>
      <c r="N28" s="100"/>
      <c r="O28" s="46"/>
      <c r="P28" s="46"/>
      <c r="Q28" s="36"/>
    </row>
    <row r="29">
      <c r="B29" s="58"/>
      <c r="C29" s="2"/>
      <c r="D29" s="2"/>
      <c r="E29" s="2"/>
      <c r="F29" s="2"/>
      <c r="G29" s="2"/>
      <c r="H29" s="2"/>
      <c r="I29" s="2"/>
      <c r="J29" s="113" t="s">
        <v>1363</v>
      </c>
      <c r="K29" s="87"/>
      <c r="L29" s="87"/>
      <c r="M29" s="87"/>
      <c r="N29" s="114"/>
      <c r="O29" s="46"/>
      <c r="P29" s="46"/>
      <c r="Q29" s="36"/>
    </row>
    <row r="30">
      <c r="B30" s="58"/>
      <c r="C30" s="2"/>
      <c r="D30" s="2"/>
      <c r="E30" s="2"/>
      <c r="F30" s="2"/>
      <c r="G30" s="2"/>
      <c r="H30" s="2"/>
      <c r="I30" s="2"/>
      <c r="J30" s="115"/>
      <c r="K30" s="95"/>
      <c r="L30" s="95"/>
      <c r="M30" s="95"/>
      <c r="N30" s="116"/>
      <c r="O30" s="46"/>
      <c r="P30" s="46"/>
      <c r="Q30" s="36"/>
    </row>
    <row r="31">
      <c r="A31" s="123" t="s">
        <v>1364</v>
      </c>
      <c r="B31" s="91" t="s">
        <v>1233</v>
      </c>
      <c r="C31" s="92" t="s">
        <v>1321</v>
      </c>
      <c r="D31" s="92" t="s">
        <v>2</v>
      </c>
      <c r="E31" s="92" t="s">
        <v>1322</v>
      </c>
      <c r="F31" s="92" t="s">
        <v>1323</v>
      </c>
      <c r="G31" s="92" t="s">
        <v>1324</v>
      </c>
      <c r="H31" s="93" t="s">
        <v>1325</v>
      </c>
      <c r="I31" s="93" t="s">
        <v>1326</v>
      </c>
      <c r="J31" s="97" t="s">
        <v>1365</v>
      </c>
      <c r="K31" s="97" t="s">
        <v>1366</v>
      </c>
      <c r="L31" s="97" t="s">
        <v>1367</v>
      </c>
      <c r="M31" s="97" t="s">
        <v>1368</v>
      </c>
      <c r="N31" s="100"/>
      <c r="O31" s="46"/>
      <c r="P31" s="46"/>
      <c r="Q31" s="36"/>
    </row>
    <row r="32">
      <c r="B32" s="1">
        <v>1.0</v>
      </c>
      <c r="C32" s="41">
        <v>45803.0</v>
      </c>
      <c r="D32" s="35" t="s">
        <v>170</v>
      </c>
      <c r="E32" s="35" t="s">
        <v>1285</v>
      </c>
      <c r="F32" s="35">
        <v>1239.0</v>
      </c>
      <c r="G32" s="35" t="s">
        <v>1350</v>
      </c>
      <c r="H32" s="35" t="s">
        <v>1329</v>
      </c>
      <c r="I32" s="2"/>
      <c r="J32" s="124" t="s">
        <v>1369</v>
      </c>
      <c r="K32" s="125">
        <v>1375.0</v>
      </c>
      <c r="L32" s="125">
        <v>1581.0</v>
      </c>
      <c r="M32" s="126">
        <v>206.0</v>
      </c>
      <c r="N32" s="100"/>
      <c r="O32" s="3"/>
      <c r="P32" s="3"/>
      <c r="Q32" s="3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B33" s="1">
        <v>2.0</v>
      </c>
      <c r="C33" s="41">
        <v>45803.0</v>
      </c>
      <c r="D33" s="35" t="s">
        <v>1314</v>
      </c>
      <c r="E33" s="35" t="s">
        <v>1370</v>
      </c>
      <c r="F33" s="35">
        <v>1289.0</v>
      </c>
      <c r="G33" s="35" t="s">
        <v>1371</v>
      </c>
      <c r="H33" s="35" t="s">
        <v>1329</v>
      </c>
      <c r="I33" s="2"/>
      <c r="J33" s="127" t="s">
        <v>1372</v>
      </c>
      <c r="K33" s="127">
        <v>56.0</v>
      </c>
      <c r="L33" s="99">
        <v>100.0</v>
      </c>
      <c r="M33" s="128">
        <v>44.0</v>
      </c>
      <c r="N33" s="100"/>
      <c r="O33" s="46"/>
      <c r="P33" s="46"/>
      <c r="Q33" s="36"/>
    </row>
    <row r="34">
      <c r="B34" s="1">
        <v>3.0</v>
      </c>
      <c r="C34" s="41">
        <v>45805.0</v>
      </c>
      <c r="D34" s="35" t="s">
        <v>177</v>
      </c>
      <c r="E34" s="35" t="s">
        <v>1275</v>
      </c>
      <c r="F34" s="35">
        <v>1439.0</v>
      </c>
      <c r="G34" s="35" t="s">
        <v>1373</v>
      </c>
      <c r="H34" s="35" t="s">
        <v>1329</v>
      </c>
      <c r="I34" s="2"/>
      <c r="J34" s="100"/>
      <c r="K34" s="100"/>
      <c r="L34" s="100"/>
      <c r="M34" s="100"/>
      <c r="N34" s="100"/>
      <c r="O34" s="46"/>
      <c r="P34" s="46"/>
      <c r="Q34" s="36"/>
    </row>
    <row r="35">
      <c r="B35" s="1">
        <v>4.0</v>
      </c>
      <c r="C35" s="41">
        <v>45898.0</v>
      </c>
      <c r="D35" s="35" t="s">
        <v>1374</v>
      </c>
      <c r="E35" s="129" t="s">
        <v>1256</v>
      </c>
      <c r="F35" s="129">
        <v>799.0</v>
      </c>
      <c r="G35" s="2"/>
      <c r="H35" s="48" t="s">
        <v>1329</v>
      </c>
      <c r="I35" s="2"/>
      <c r="J35" s="100"/>
      <c r="K35" s="100"/>
      <c r="L35" s="100"/>
      <c r="M35" s="100"/>
      <c r="N35" s="100"/>
      <c r="O35" s="46"/>
      <c r="P35" s="46"/>
      <c r="Q35" s="36"/>
    </row>
    <row r="36">
      <c r="B36" s="58"/>
      <c r="C36" s="2"/>
      <c r="D36" s="2"/>
      <c r="E36" s="130" t="s">
        <v>1337</v>
      </c>
      <c r="F36" s="131">
        <f>SUM(F32:F35)</f>
        <v>4766</v>
      </c>
      <c r="G36" s="2"/>
      <c r="H36" s="2"/>
      <c r="I36" s="2"/>
      <c r="J36" s="100"/>
      <c r="K36" s="100"/>
      <c r="L36" s="100"/>
      <c r="M36" s="100"/>
      <c r="N36" s="100"/>
      <c r="O36" s="46"/>
      <c r="P36" s="46"/>
      <c r="Q36" s="36"/>
    </row>
    <row r="37">
      <c r="B37" s="58"/>
      <c r="C37" s="2"/>
      <c r="D37" s="2"/>
      <c r="E37" s="2"/>
      <c r="F37" s="2"/>
      <c r="G37" s="2"/>
      <c r="H37" s="2"/>
      <c r="I37" s="2"/>
      <c r="J37" s="100"/>
      <c r="K37" s="100"/>
      <c r="L37" s="100"/>
      <c r="M37" s="100"/>
      <c r="N37" s="100"/>
      <c r="O37" s="46"/>
      <c r="P37" s="46"/>
      <c r="Q37" s="36"/>
    </row>
    <row r="38">
      <c r="A38" s="132"/>
      <c r="B38" s="132"/>
      <c r="C38" s="132"/>
      <c r="D38" s="132"/>
      <c r="E38" s="133" t="s">
        <v>1375</v>
      </c>
      <c r="F38" s="133">
        <f>SUM(F9,F26,F36)</f>
        <v>23820</v>
      </c>
      <c r="G38" s="132"/>
      <c r="H38" s="132"/>
      <c r="I38" s="2"/>
      <c r="J38" s="2"/>
      <c r="K38" s="2"/>
      <c r="L38" s="2"/>
      <c r="M38" s="2"/>
      <c r="N38" s="2"/>
    </row>
    <row r="39">
      <c r="A39" s="134" t="s">
        <v>1295</v>
      </c>
      <c r="J39" s="134" t="s">
        <v>1295</v>
      </c>
    </row>
    <row r="41">
      <c r="A41" s="90" t="s">
        <v>1320</v>
      </c>
      <c r="B41" s="91" t="s">
        <v>1233</v>
      </c>
      <c r="C41" s="92" t="s">
        <v>1321</v>
      </c>
      <c r="D41" s="92" t="s">
        <v>2</v>
      </c>
      <c r="E41" s="92" t="s">
        <v>1322</v>
      </c>
      <c r="F41" s="92" t="s">
        <v>1323</v>
      </c>
      <c r="G41" s="92" t="s">
        <v>1324</v>
      </c>
      <c r="H41" s="93" t="s">
        <v>1325</v>
      </c>
      <c r="I41" s="93" t="s">
        <v>1326</v>
      </c>
      <c r="J41" s="2"/>
      <c r="K41" s="135" t="s">
        <v>1376</v>
      </c>
      <c r="L41" s="135" t="s">
        <v>1377</v>
      </c>
      <c r="M41" s="135" t="s">
        <v>1350</v>
      </c>
      <c r="N41" s="2"/>
    </row>
    <row r="42">
      <c r="B42" s="1">
        <v>1.0</v>
      </c>
      <c r="C42" s="41">
        <v>45901.0</v>
      </c>
      <c r="D42" s="35" t="s">
        <v>195</v>
      </c>
      <c r="E42" s="35" t="s">
        <v>1378</v>
      </c>
      <c r="F42" s="35">
        <v>1439.0</v>
      </c>
      <c r="G42" s="35" t="s">
        <v>1346</v>
      </c>
      <c r="H42" s="35" t="s">
        <v>1329</v>
      </c>
      <c r="I42" s="2"/>
      <c r="J42" s="2"/>
      <c r="K42" s="99">
        <v>799.0</v>
      </c>
      <c r="L42" s="99">
        <v>1439.0</v>
      </c>
      <c r="M42" s="99">
        <v>1700.0</v>
      </c>
      <c r="N42" s="2"/>
    </row>
    <row r="43">
      <c r="B43" s="1">
        <v>2.0</v>
      </c>
      <c r="C43" s="41">
        <v>45901.0</v>
      </c>
      <c r="D43" s="35" t="s">
        <v>202</v>
      </c>
      <c r="E43" s="35" t="s">
        <v>1243</v>
      </c>
      <c r="F43" s="35">
        <v>1548.0</v>
      </c>
      <c r="G43" s="35" t="s">
        <v>1346</v>
      </c>
      <c r="H43" s="35" t="s">
        <v>1329</v>
      </c>
      <c r="I43" s="136" t="s">
        <v>1379</v>
      </c>
      <c r="J43" s="2"/>
      <c r="K43" s="99">
        <v>799.0</v>
      </c>
      <c r="L43" s="99">
        <v>1548.0</v>
      </c>
      <c r="M43" s="99">
        <v>1393.0</v>
      </c>
      <c r="N43" s="2"/>
    </row>
    <row r="44">
      <c r="B44" s="1">
        <v>3.0</v>
      </c>
      <c r="C44" s="41">
        <v>45902.0</v>
      </c>
      <c r="D44" s="35" t="s">
        <v>207</v>
      </c>
      <c r="E44" s="129" t="s">
        <v>1256</v>
      </c>
      <c r="F44" s="35">
        <v>799.0</v>
      </c>
      <c r="G44" s="35" t="s">
        <v>1373</v>
      </c>
      <c r="H44" s="35" t="s">
        <v>1329</v>
      </c>
      <c r="I44" s="35" t="s">
        <v>1380</v>
      </c>
      <c r="J44" s="2"/>
      <c r="K44" s="99">
        <v>1393.0</v>
      </c>
      <c r="L44" s="99">
        <v>1548.0</v>
      </c>
      <c r="M44" s="99">
        <v>1835.0</v>
      </c>
      <c r="N44" s="2"/>
    </row>
    <row r="45">
      <c r="B45" s="47">
        <v>4.0</v>
      </c>
      <c r="C45" s="56">
        <v>45903.0</v>
      </c>
      <c r="D45" s="35" t="s">
        <v>1307</v>
      </c>
      <c r="E45" s="35" t="s">
        <v>1243</v>
      </c>
      <c r="F45" s="35">
        <v>1548.0</v>
      </c>
      <c r="G45" s="48" t="s">
        <v>1346</v>
      </c>
      <c r="H45" s="35" t="s">
        <v>1329</v>
      </c>
      <c r="I45" s="2"/>
      <c r="J45" s="2"/>
      <c r="K45" s="99">
        <v>1393.0</v>
      </c>
      <c r="L45" s="99">
        <v>1548.0</v>
      </c>
      <c r="M45" s="99">
        <v>719.0</v>
      </c>
      <c r="N45" s="2"/>
    </row>
    <row r="46">
      <c r="D46" s="35" t="s">
        <v>1310</v>
      </c>
      <c r="E46" s="35" t="s">
        <v>1243</v>
      </c>
      <c r="F46" s="35">
        <v>1548.0</v>
      </c>
      <c r="H46" s="35" t="s">
        <v>1329</v>
      </c>
      <c r="I46" s="2"/>
      <c r="J46" s="2"/>
      <c r="K46" s="99">
        <v>1160.0</v>
      </c>
      <c r="L46" s="99">
        <v>1393.0</v>
      </c>
      <c r="M46" s="99">
        <v>719.0</v>
      </c>
      <c r="N46" s="2"/>
    </row>
    <row r="47">
      <c r="D47" s="35" t="s">
        <v>1311</v>
      </c>
      <c r="E47" s="35" t="s">
        <v>1381</v>
      </c>
      <c r="F47" s="35">
        <v>2238.0</v>
      </c>
      <c r="H47" s="35" t="s">
        <v>1329</v>
      </c>
      <c r="I47" s="2"/>
      <c r="J47" s="2"/>
      <c r="K47" s="99">
        <v>1793.0</v>
      </c>
      <c r="L47" s="99">
        <v>700.0</v>
      </c>
      <c r="M47" s="99">
        <v>800.0</v>
      </c>
      <c r="N47" s="2"/>
    </row>
    <row r="48">
      <c r="B48" s="1">
        <v>5.0</v>
      </c>
      <c r="C48" s="41">
        <v>45904.0</v>
      </c>
      <c r="D48" s="35" t="s">
        <v>214</v>
      </c>
      <c r="E48" s="129" t="s">
        <v>1256</v>
      </c>
      <c r="F48" s="35">
        <v>799.0</v>
      </c>
      <c r="G48" s="35" t="s">
        <v>1373</v>
      </c>
      <c r="H48" s="35" t="s">
        <v>1329</v>
      </c>
      <c r="I48" s="2"/>
      <c r="J48" s="2"/>
      <c r="K48" s="99">
        <v>1000.0</v>
      </c>
      <c r="L48" s="99">
        <v>1000.0</v>
      </c>
      <c r="M48" s="99">
        <v>1393.0</v>
      </c>
      <c r="N48" s="2"/>
    </row>
    <row r="49">
      <c r="B49" s="1">
        <v>6.0</v>
      </c>
      <c r="C49" s="41">
        <v>45905.0</v>
      </c>
      <c r="D49" s="35" t="s">
        <v>220</v>
      </c>
      <c r="E49" s="35" t="s">
        <v>1243</v>
      </c>
      <c r="F49" s="35">
        <v>1393.0</v>
      </c>
      <c r="G49" s="35" t="s">
        <v>1373</v>
      </c>
      <c r="H49" s="35" t="s">
        <v>1329</v>
      </c>
      <c r="I49" s="35" t="s">
        <v>1382</v>
      </c>
      <c r="J49" s="2"/>
      <c r="K49" s="99">
        <v>1160.0</v>
      </c>
      <c r="L49" s="99">
        <v>1160.0</v>
      </c>
      <c r="M49" s="99">
        <v>1160.0</v>
      </c>
      <c r="N49" s="2"/>
    </row>
    <row r="50">
      <c r="B50" s="1">
        <v>7.0</v>
      </c>
      <c r="C50" s="41">
        <v>45905.0</v>
      </c>
      <c r="D50" s="35" t="s">
        <v>1313</v>
      </c>
      <c r="E50" s="35" t="s">
        <v>1243</v>
      </c>
      <c r="F50" s="35">
        <v>1393.0</v>
      </c>
      <c r="G50" s="35" t="s">
        <v>1346</v>
      </c>
      <c r="H50" s="35" t="s">
        <v>1329</v>
      </c>
      <c r="I50" s="35" t="s">
        <v>1382</v>
      </c>
      <c r="J50" s="2"/>
      <c r="K50" s="99">
        <v>1393.0</v>
      </c>
      <c r="L50" s="99">
        <v>1393.0</v>
      </c>
      <c r="M50" s="99">
        <v>800.0</v>
      </c>
      <c r="N50" s="2"/>
    </row>
    <row r="51" ht="21.0" customHeight="1">
      <c r="B51" s="1">
        <v>8.0</v>
      </c>
      <c r="C51" s="41">
        <v>45905.0</v>
      </c>
      <c r="D51" s="35" t="s">
        <v>1314</v>
      </c>
      <c r="E51" s="35" t="s">
        <v>1256</v>
      </c>
      <c r="F51" s="35">
        <v>700.0</v>
      </c>
      <c r="G51" s="35" t="s">
        <v>1346</v>
      </c>
      <c r="H51" s="35" t="s">
        <v>1329</v>
      </c>
      <c r="I51" s="35" t="s">
        <v>1382</v>
      </c>
      <c r="J51" s="35" t="s">
        <v>1383</v>
      </c>
      <c r="K51" s="99">
        <v>437.0</v>
      </c>
      <c r="L51" s="99">
        <v>900.0</v>
      </c>
      <c r="M51" s="99">
        <v>1393.0</v>
      </c>
      <c r="N51" s="2"/>
    </row>
    <row r="52">
      <c r="B52" s="1">
        <v>9.0</v>
      </c>
      <c r="C52" s="41">
        <v>45906.0</v>
      </c>
      <c r="D52" s="35" t="s">
        <v>1315</v>
      </c>
      <c r="E52" s="35" t="s">
        <v>1243</v>
      </c>
      <c r="F52" s="35">
        <v>1393.0</v>
      </c>
      <c r="G52" s="35" t="s">
        <v>1373</v>
      </c>
      <c r="H52" s="35" t="s">
        <v>1329</v>
      </c>
      <c r="I52" s="35" t="s">
        <v>1382</v>
      </c>
      <c r="J52" s="2"/>
      <c r="K52" s="137">
        <v>400.0</v>
      </c>
      <c r="M52" s="99">
        <v>719.0</v>
      </c>
      <c r="N52" s="2"/>
    </row>
    <row r="53" ht="25.5" customHeight="1">
      <c r="B53" s="58"/>
      <c r="C53" s="2"/>
      <c r="D53" s="2"/>
      <c r="E53" s="138" t="s">
        <v>1384</v>
      </c>
      <c r="F53" s="139">
        <f>SUM(F42:F52)</f>
        <v>14798</v>
      </c>
      <c r="G53" s="2"/>
      <c r="H53" s="2"/>
      <c r="I53" s="2"/>
      <c r="J53" s="2"/>
      <c r="K53" s="99">
        <v>200.0</v>
      </c>
      <c r="L53" s="100"/>
      <c r="M53" s="99">
        <v>1160.0</v>
      </c>
      <c r="N53" s="2"/>
    </row>
    <row r="54">
      <c r="A54" s="90" t="s">
        <v>1345</v>
      </c>
      <c r="B54" s="91" t="s">
        <v>1233</v>
      </c>
      <c r="C54" s="92" t="s">
        <v>1321</v>
      </c>
      <c r="D54" s="92" t="s">
        <v>2</v>
      </c>
      <c r="E54" s="92" t="s">
        <v>1322</v>
      </c>
      <c r="F54" s="92" t="s">
        <v>1323</v>
      </c>
      <c r="G54" s="92" t="s">
        <v>1324</v>
      </c>
      <c r="H54" s="93" t="s">
        <v>1325</v>
      </c>
      <c r="I54" s="93" t="s">
        <v>1326</v>
      </c>
      <c r="J54" s="2"/>
      <c r="K54" s="140">
        <f t="shared" ref="K54:M54" si="3">SUM(K42:K53)</f>
        <v>11927</v>
      </c>
      <c r="L54" s="141">
        <f t="shared" si="3"/>
        <v>12629</v>
      </c>
      <c r="M54" s="140">
        <f t="shared" si="3"/>
        <v>13791</v>
      </c>
      <c r="N54" s="2"/>
    </row>
    <row r="55">
      <c r="B55" s="47">
        <v>1.0</v>
      </c>
      <c r="C55" s="56">
        <v>45908.0</v>
      </c>
      <c r="D55" s="48" t="s">
        <v>190</v>
      </c>
      <c r="E55" s="48" t="s">
        <v>1294</v>
      </c>
      <c r="F55" s="48">
        <v>1700.0</v>
      </c>
      <c r="G55" s="48" t="s">
        <v>1385</v>
      </c>
      <c r="H55" s="48" t="s">
        <v>1329</v>
      </c>
      <c r="I55" s="142" t="s">
        <v>1386</v>
      </c>
      <c r="J55" s="2"/>
      <c r="K55" s="2"/>
      <c r="L55" s="2"/>
      <c r="M55" s="2"/>
      <c r="N55" s="2"/>
    </row>
    <row r="56">
      <c r="B56" s="1">
        <v>2.0</v>
      </c>
      <c r="C56" s="41">
        <v>45909.0</v>
      </c>
      <c r="D56" s="35" t="s">
        <v>236</v>
      </c>
      <c r="E56" s="35" t="s">
        <v>1253</v>
      </c>
      <c r="F56" s="35">
        <v>1160.0</v>
      </c>
      <c r="G56" s="35" t="s">
        <v>1373</v>
      </c>
      <c r="H56" s="48" t="s">
        <v>1329</v>
      </c>
      <c r="I56" s="35" t="s">
        <v>1382</v>
      </c>
      <c r="J56" s="2"/>
      <c r="K56" s="2"/>
      <c r="L56" s="2"/>
      <c r="M56" s="2"/>
      <c r="N56" s="2"/>
    </row>
    <row r="57">
      <c r="B57" s="1">
        <v>3.0</v>
      </c>
      <c r="C57" s="41">
        <v>45910.0</v>
      </c>
      <c r="D57" s="35" t="s">
        <v>1387</v>
      </c>
      <c r="E57" s="35" t="s">
        <v>1243</v>
      </c>
      <c r="F57" s="35">
        <v>1393.0</v>
      </c>
      <c r="G57" s="48" t="s">
        <v>1385</v>
      </c>
      <c r="H57" s="48" t="s">
        <v>1329</v>
      </c>
      <c r="I57" s="35" t="s">
        <v>1382</v>
      </c>
      <c r="J57" s="2"/>
      <c r="K57" s="2"/>
      <c r="L57" s="2"/>
      <c r="M57" s="2"/>
      <c r="N57" s="2"/>
    </row>
    <row r="58">
      <c r="B58" s="1">
        <v>4.0</v>
      </c>
      <c r="C58" s="41">
        <v>45913.0</v>
      </c>
      <c r="D58" s="35" t="s">
        <v>246</v>
      </c>
      <c r="E58" s="35" t="s">
        <v>1317</v>
      </c>
      <c r="F58" s="35" t="s">
        <v>1388</v>
      </c>
      <c r="G58" s="35" t="s">
        <v>1385</v>
      </c>
      <c r="H58" s="48" t="s">
        <v>1329</v>
      </c>
      <c r="I58" s="35" t="s">
        <v>1382</v>
      </c>
      <c r="J58" s="2"/>
      <c r="K58" s="2"/>
      <c r="L58" s="2"/>
      <c r="M58" s="2"/>
      <c r="N58" s="2"/>
    </row>
    <row r="59">
      <c r="B59" s="143">
        <v>5.0</v>
      </c>
      <c r="C59" s="144">
        <v>45913.0</v>
      </c>
      <c r="D59" s="79" t="s">
        <v>255</v>
      </c>
      <c r="E59" s="79" t="s">
        <v>1389</v>
      </c>
      <c r="F59" s="79" t="s">
        <v>1390</v>
      </c>
      <c r="G59" s="4"/>
      <c r="H59" s="145" t="s">
        <v>1329</v>
      </c>
      <c r="I59" s="79" t="s">
        <v>1382</v>
      </c>
      <c r="J59" s="2"/>
      <c r="K59" s="2"/>
      <c r="L59" s="2"/>
      <c r="M59" s="2"/>
      <c r="N59" s="2"/>
    </row>
    <row r="60">
      <c r="B60" s="1">
        <v>6.0</v>
      </c>
      <c r="C60" s="41">
        <v>45914.0</v>
      </c>
      <c r="D60" s="35" t="s">
        <v>1391</v>
      </c>
      <c r="E60" s="35" t="s">
        <v>1392</v>
      </c>
      <c r="F60" s="35">
        <v>1793.0</v>
      </c>
      <c r="G60" s="35" t="s">
        <v>1373</v>
      </c>
      <c r="H60" s="48" t="s">
        <v>1329</v>
      </c>
      <c r="I60" s="35" t="s">
        <v>1382</v>
      </c>
      <c r="J60" s="35" t="s">
        <v>1393</v>
      </c>
      <c r="K60" s="2"/>
      <c r="L60" s="2"/>
      <c r="M60" s="2"/>
      <c r="N60" s="2"/>
    </row>
    <row r="61">
      <c r="B61" s="1">
        <v>7.0</v>
      </c>
      <c r="C61" s="41">
        <v>45914.0</v>
      </c>
      <c r="D61" s="35" t="s">
        <v>1355</v>
      </c>
      <c r="E61" s="35" t="s">
        <v>1256</v>
      </c>
      <c r="F61" s="35">
        <v>719.0</v>
      </c>
      <c r="G61" s="35" t="s">
        <v>1385</v>
      </c>
      <c r="H61" s="48" t="s">
        <v>1329</v>
      </c>
      <c r="I61" s="2"/>
      <c r="J61" s="2"/>
      <c r="K61" s="2"/>
      <c r="L61" s="2"/>
      <c r="M61" s="2"/>
      <c r="N61" s="2"/>
      <c r="AB61" s="42" t="s">
        <v>1394</v>
      </c>
    </row>
    <row r="62">
      <c r="B62" s="1">
        <v>8.0</v>
      </c>
      <c r="C62" s="41">
        <v>45914.0</v>
      </c>
      <c r="D62" s="35" t="s">
        <v>98</v>
      </c>
      <c r="E62" s="35" t="s">
        <v>1256</v>
      </c>
      <c r="F62" s="35">
        <v>719.0</v>
      </c>
      <c r="G62" s="35" t="s">
        <v>1385</v>
      </c>
      <c r="H62" s="48" t="s">
        <v>1329</v>
      </c>
      <c r="I62" s="2"/>
      <c r="J62" s="2"/>
      <c r="K62" s="2"/>
      <c r="L62" s="2"/>
      <c r="M62" s="2"/>
      <c r="N62" s="2"/>
    </row>
    <row r="63">
      <c r="A63" s="146"/>
      <c r="B63" s="58"/>
      <c r="C63" s="2"/>
      <c r="D63" s="2"/>
      <c r="E63" s="138" t="s">
        <v>1384</v>
      </c>
      <c r="F63" s="139">
        <f>SUM(F55:F62)</f>
        <v>7484</v>
      </c>
      <c r="G63" s="2"/>
      <c r="H63" s="2"/>
      <c r="I63" s="2"/>
      <c r="J63" s="2"/>
      <c r="K63" s="2"/>
      <c r="L63" s="2"/>
      <c r="M63" s="2"/>
      <c r="N63" s="2"/>
    </row>
    <row r="64">
      <c r="A64" s="146"/>
      <c r="B64" s="5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90" t="s">
        <v>1395</v>
      </c>
      <c r="B65" s="91" t="s">
        <v>1233</v>
      </c>
      <c r="C65" s="92" t="s">
        <v>1321</v>
      </c>
      <c r="D65" s="92" t="s">
        <v>2</v>
      </c>
      <c r="E65" s="92" t="s">
        <v>1322</v>
      </c>
      <c r="F65" s="92" t="s">
        <v>1323</v>
      </c>
      <c r="G65" s="92" t="s">
        <v>1324</v>
      </c>
      <c r="H65" s="93" t="s">
        <v>1325</v>
      </c>
      <c r="I65" s="93" t="s">
        <v>1326</v>
      </c>
      <c r="J65" s="2"/>
      <c r="K65" s="2"/>
      <c r="L65" s="2"/>
      <c r="M65" s="2"/>
      <c r="N65" s="2"/>
    </row>
    <row r="66">
      <c r="B66" s="1">
        <v>1.0</v>
      </c>
      <c r="C66" s="41">
        <v>45916.0</v>
      </c>
      <c r="D66" s="35" t="s">
        <v>1396</v>
      </c>
      <c r="E66" s="35" t="s">
        <v>1256</v>
      </c>
      <c r="F66" s="35">
        <v>800.0</v>
      </c>
      <c r="G66" s="35" t="s">
        <v>1385</v>
      </c>
      <c r="H66" s="48" t="s">
        <v>1329</v>
      </c>
      <c r="I66" s="2"/>
      <c r="J66" s="2"/>
      <c r="K66" s="2"/>
      <c r="L66" s="2"/>
      <c r="M66" s="2"/>
      <c r="N66" s="2"/>
    </row>
    <row r="67">
      <c r="B67" s="1">
        <v>2.0</v>
      </c>
      <c r="C67" s="41">
        <v>45916.0</v>
      </c>
      <c r="D67" s="35" t="s">
        <v>262</v>
      </c>
      <c r="E67" s="35" t="s">
        <v>1243</v>
      </c>
      <c r="F67" s="35">
        <v>1393.0</v>
      </c>
      <c r="G67" s="35" t="s">
        <v>1385</v>
      </c>
      <c r="H67" s="48" t="s">
        <v>1329</v>
      </c>
      <c r="I67" s="2"/>
      <c r="J67" s="2"/>
      <c r="K67" s="2"/>
      <c r="L67" s="2"/>
      <c r="M67" s="2"/>
      <c r="N67" s="2"/>
    </row>
    <row r="68">
      <c r="B68" s="1">
        <v>3.0</v>
      </c>
      <c r="C68" s="41">
        <v>45918.0</v>
      </c>
      <c r="D68" s="35" t="s">
        <v>1397</v>
      </c>
      <c r="E68" s="35" t="s">
        <v>1253</v>
      </c>
      <c r="F68" s="35">
        <v>1160.0</v>
      </c>
      <c r="G68" s="35" t="s">
        <v>1385</v>
      </c>
      <c r="H68" s="48" t="s">
        <v>1329</v>
      </c>
      <c r="I68" s="2"/>
      <c r="J68" s="2"/>
      <c r="K68" s="2"/>
      <c r="L68" s="2"/>
      <c r="M68" s="2"/>
      <c r="N68" s="2"/>
    </row>
    <row r="69">
      <c r="B69" s="1">
        <v>4.0</v>
      </c>
      <c r="C69" s="41">
        <v>45918.0</v>
      </c>
      <c r="D69" s="35" t="s">
        <v>1398</v>
      </c>
      <c r="E69" s="35" t="s">
        <v>1256</v>
      </c>
      <c r="F69" s="35">
        <v>800.0</v>
      </c>
      <c r="G69" s="35" t="s">
        <v>1385</v>
      </c>
      <c r="H69" s="48" t="s">
        <v>1329</v>
      </c>
      <c r="I69" s="2"/>
      <c r="J69" s="2"/>
      <c r="K69" s="2"/>
      <c r="L69" s="2"/>
      <c r="M69" s="2"/>
      <c r="N69" s="2"/>
    </row>
    <row r="70">
      <c r="B70" s="1">
        <v>5.0</v>
      </c>
      <c r="C70" s="41">
        <v>45920.0</v>
      </c>
      <c r="D70" s="35" t="s">
        <v>1399</v>
      </c>
      <c r="E70" s="35" t="s">
        <v>1400</v>
      </c>
      <c r="F70" s="35">
        <v>1000.0</v>
      </c>
      <c r="G70" s="35" t="s">
        <v>1346</v>
      </c>
      <c r="H70" s="48" t="s">
        <v>1329</v>
      </c>
      <c r="I70" s="2"/>
      <c r="J70" s="2"/>
      <c r="K70" s="2"/>
      <c r="L70" s="2"/>
      <c r="M70" s="2"/>
      <c r="N70" s="2"/>
    </row>
    <row r="71">
      <c r="B71" s="1">
        <v>6.0</v>
      </c>
      <c r="C71" s="41">
        <v>45921.0</v>
      </c>
      <c r="D71" s="35" t="s">
        <v>1314</v>
      </c>
      <c r="E71" s="35" t="s">
        <v>1253</v>
      </c>
      <c r="F71" s="35">
        <v>1160.0</v>
      </c>
      <c r="G71" s="35" t="s">
        <v>1346</v>
      </c>
      <c r="H71" s="48" t="s">
        <v>1329</v>
      </c>
      <c r="I71" s="35" t="s">
        <v>1382</v>
      </c>
      <c r="J71" s="2"/>
      <c r="K71" s="2"/>
      <c r="L71" s="2"/>
      <c r="M71" s="2"/>
      <c r="N71" s="2"/>
    </row>
    <row r="72">
      <c r="B72" s="58"/>
      <c r="C72" s="2"/>
      <c r="D72" s="2"/>
      <c r="E72" s="138" t="s">
        <v>1384</v>
      </c>
      <c r="F72" s="147">
        <f>SUM(F66:F71)</f>
        <v>6313</v>
      </c>
      <c r="G72" s="2"/>
      <c r="H72" s="2"/>
      <c r="I72" s="2"/>
      <c r="J72" s="2"/>
      <c r="K72" s="2"/>
      <c r="L72" s="2"/>
      <c r="M72" s="2"/>
      <c r="N72" s="2"/>
    </row>
    <row r="73">
      <c r="B73" s="5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90" t="s">
        <v>1401</v>
      </c>
      <c r="B74" s="91" t="s">
        <v>1233</v>
      </c>
      <c r="C74" s="92" t="s">
        <v>1321</v>
      </c>
      <c r="D74" s="92" t="s">
        <v>2</v>
      </c>
      <c r="E74" s="92" t="s">
        <v>1322</v>
      </c>
      <c r="F74" s="92" t="s">
        <v>1323</v>
      </c>
      <c r="G74" s="92" t="s">
        <v>1324</v>
      </c>
      <c r="H74" s="93" t="s">
        <v>1325</v>
      </c>
      <c r="I74" s="93" t="s">
        <v>1326</v>
      </c>
      <c r="J74" s="2"/>
      <c r="K74" s="2"/>
      <c r="L74" s="2"/>
      <c r="M74" s="2"/>
      <c r="N74" s="2"/>
    </row>
    <row r="75">
      <c r="B75" s="1">
        <v>1.0</v>
      </c>
      <c r="C75" s="41">
        <v>45922.0</v>
      </c>
      <c r="D75" s="35" t="s">
        <v>271</v>
      </c>
      <c r="E75" s="35" t="s">
        <v>1402</v>
      </c>
      <c r="F75" s="35">
        <v>1000.0</v>
      </c>
      <c r="G75" s="35" t="s">
        <v>1373</v>
      </c>
      <c r="H75" s="48" t="s">
        <v>1329</v>
      </c>
      <c r="I75" s="35" t="s">
        <v>1382</v>
      </c>
      <c r="J75" s="2"/>
      <c r="K75" s="2"/>
      <c r="L75" s="2"/>
      <c r="M75" s="2"/>
      <c r="N75" s="2"/>
    </row>
    <row r="76">
      <c r="B76" s="1">
        <v>2.0</v>
      </c>
      <c r="C76" s="41">
        <v>45923.0</v>
      </c>
      <c r="D76" s="35" t="s">
        <v>1403</v>
      </c>
      <c r="E76" s="35" t="s">
        <v>1243</v>
      </c>
      <c r="F76" s="35">
        <v>1393.0</v>
      </c>
      <c r="G76" s="35" t="s">
        <v>1346</v>
      </c>
      <c r="H76" s="48" t="s">
        <v>1329</v>
      </c>
      <c r="I76" s="35" t="s">
        <v>1382</v>
      </c>
      <c r="J76" s="2"/>
      <c r="K76" s="2"/>
      <c r="L76" s="2"/>
      <c r="M76" s="2"/>
      <c r="N76" s="2"/>
    </row>
    <row r="77">
      <c r="B77" s="1">
        <v>3.0</v>
      </c>
      <c r="C77" s="41">
        <v>45925.0</v>
      </c>
      <c r="D77" s="35" t="s">
        <v>277</v>
      </c>
      <c r="E77" s="35" t="s">
        <v>1243</v>
      </c>
      <c r="F77" s="35">
        <v>1393.0</v>
      </c>
      <c r="G77" s="35" t="s">
        <v>1385</v>
      </c>
      <c r="H77" s="48" t="s">
        <v>1329</v>
      </c>
      <c r="I77" s="35" t="s">
        <v>1382</v>
      </c>
      <c r="J77" s="2"/>
      <c r="K77" s="2"/>
      <c r="L77" s="2"/>
      <c r="M77" s="2"/>
      <c r="N77" s="2"/>
    </row>
    <row r="78">
      <c r="B78" s="1">
        <v>4.0</v>
      </c>
      <c r="C78" s="41">
        <v>45925.0</v>
      </c>
      <c r="D78" s="35" t="s">
        <v>281</v>
      </c>
      <c r="E78" s="35" t="s">
        <v>1256</v>
      </c>
      <c r="F78" s="35">
        <v>719.0</v>
      </c>
      <c r="G78" s="35" t="s">
        <v>1385</v>
      </c>
      <c r="H78" s="48" t="s">
        <v>1329</v>
      </c>
      <c r="I78" s="35" t="s">
        <v>1382</v>
      </c>
      <c r="J78" s="2"/>
      <c r="K78" s="2"/>
      <c r="L78" s="2"/>
      <c r="M78" s="2"/>
      <c r="N78" s="2"/>
    </row>
    <row r="79">
      <c r="B79" s="1">
        <v>5.0</v>
      </c>
      <c r="C79" s="41">
        <v>45927.0</v>
      </c>
      <c r="D79" s="35" t="s">
        <v>1404</v>
      </c>
      <c r="E79" s="35" t="s">
        <v>1357</v>
      </c>
      <c r="F79" s="35">
        <v>1160.0</v>
      </c>
      <c r="G79" s="35" t="s">
        <v>1373</v>
      </c>
      <c r="H79" s="48" t="s">
        <v>1329</v>
      </c>
      <c r="I79" s="48" t="s">
        <v>1382</v>
      </c>
      <c r="J79" s="35" t="s">
        <v>1405</v>
      </c>
      <c r="K79" s="136" t="s">
        <v>1406</v>
      </c>
      <c r="L79" s="2"/>
      <c r="M79" s="2"/>
      <c r="N79" s="2"/>
    </row>
    <row r="80">
      <c r="B80" s="58"/>
      <c r="C80" s="2"/>
      <c r="D80" s="2"/>
      <c r="E80" s="138" t="s">
        <v>1384</v>
      </c>
      <c r="F80" s="147">
        <f>SUM(F75:F79)</f>
        <v>5665</v>
      </c>
      <c r="G80" s="2"/>
      <c r="H80" s="2"/>
      <c r="I80" s="2"/>
      <c r="J80" s="2"/>
      <c r="K80" s="2"/>
      <c r="L80" s="2"/>
      <c r="M80" s="2"/>
      <c r="N80" s="2"/>
    </row>
    <row r="81">
      <c r="B81" s="5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90" t="s">
        <v>1407</v>
      </c>
      <c r="B82" s="91" t="s">
        <v>1233</v>
      </c>
      <c r="C82" s="92" t="s">
        <v>1321</v>
      </c>
      <c r="D82" s="92" t="s">
        <v>2</v>
      </c>
      <c r="E82" s="92" t="s">
        <v>1322</v>
      </c>
      <c r="F82" s="92" t="s">
        <v>1323</v>
      </c>
      <c r="G82" s="92" t="s">
        <v>1324</v>
      </c>
      <c r="H82" s="93" t="s">
        <v>1325</v>
      </c>
      <c r="I82" s="93" t="s">
        <v>1326</v>
      </c>
      <c r="J82" s="2"/>
      <c r="K82" s="2"/>
      <c r="L82" s="2"/>
      <c r="M82" s="2"/>
      <c r="N82" s="2"/>
    </row>
    <row r="83">
      <c r="B83" s="1">
        <v>1.0</v>
      </c>
      <c r="C83" s="41">
        <v>45929.0</v>
      </c>
      <c r="D83" s="35" t="s">
        <v>1408</v>
      </c>
      <c r="E83" s="35" t="s">
        <v>1253</v>
      </c>
      <c r="F83" s="35">
        <v>1160.0</v>
      </c>
      <c r="G83" s="35" t="s">
        <v>1385</v>
      </c>
      <c r="H83" s="48" t="s">
        <v>1329</v>
      </c>
      <c r="I83" s="48" t="s">
        <v>1382</v>
      </c>
      <c r="J83" s="2"/>
      <c r="K83" s="2"/>
      <c r="L83" s="2"/>
      <c r="M83" s="2"/>
      <c r="N83" s="2"/>
    </row>
    <row r="84">
      <c r="B84" s="1">
        <v>2.0</v>
      </c>
      <c r="C84" s="41">
        <v>45930.0</v>
      </c>
      <c r="D84" s="35" t="s">
        <v>1409</v>
      </c>
      <c r="E84" s="35" t="s">
        <v>1410</v>
      </c>
      <c r="F84" s="35">
        <v>900.0</v>
      </c>
      <c r="G84" s="35" t="s">
        <v>1346</v>
      </c>
      <c r="H84" s="48" t="s">
        <v>1329</v>
      </c>
      <c r="I84" s="48" t="s">
        <v>1411</v>
      </c>
      <c r="J84" s="2"/>
      <c r="K84" s="2"/>
      <c r="L84" s="2"/>
      <c r="M84" s="2"/>
      <c r="N84" s="2"/>
    </row>
    <row r="85">
      <c r="B85" s="1">
        <v>3.0</v>
      </c>
      <c r="C85" s="41">
        <v>45930.0</v>
      </c>
      <c r="D85" s="136" t="s">
        <v>1412</v>
      </c>
      <c r="E85" s="35" t="s">
        <v>1243</v>
      </c>
      <c r="F85" s="35">
        <v>1393.0</v>
      </c>
      <c r="G85" s="35" t="s">
        <v>1373</v>
      </c>
      <c r="H85" s="48" t="s">
        <v>1329</v>
      </c>
      <c r="I85" s="48" t="s">
        <v>1411</v>
      </c>
      <c r="J85" s="2"/>
      <c r="K85" s="2"/>
      <c r="L85" s="2"/>
      <c r="M85" s="2"/>
      <c r="N85" s="2"/>
    </row>
    <row r="86">
      <c r="A86" s="146"/>
      <c r="B86" s="58"/>
      <c r="C86" s="2"/>
      <c r="D86" s="2"/>
      <c r="E86" s="138" t="s">
        <v>1384</v>
      </c>
      <c r="F86" s="147">
        <f>SUM(F83:F85)</f>
        <v>3453</v>
      </c>
      <c r="G86" s="2"/>
      <c r="H86" s="2"/>
      <c r="I86" s="2"/>
      <c r="J86" s="2"/>
      <c r="K86" s="2"/>
      <c r="L86" s="2"/>
      <c r="M86" s="2"/>
      <c r="N86" s="2"/>
    </row>
    <row r="87">
      <c r="A87" s="146"/>
      <c r="B87" s="5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146"/>
      <c r="B88" s="58"/>
      <c r="C88" s="2"/>
      <c r="D88" s="2"/>
      <c r="E88" s="133" t="s">
        <v>1375</v>
      </c>
      <c r="F88" s="148">
        <f>SUM(F53,F63,F72,F80,F86)</f>
        <v>37713</v>
      </c>
      <c r="G88" s="2"/>
      <c r="H88" s="2"/>
      <c r="I88" s="2"/>
      <c r="J88" s="2"/>
      <c r="K88" s="2"/>
      <c r="L88" s="2"/>
      <c r="M88" s="2"/>
      <c r="N88" s="2"/>
    </row>
    <row r="89">
      <c r="A89" s="134" t="s">
        <v>1413</v>
      </c>
      <c r="J89" s="134" t="s">
        <v>1413</v>
      </c>
      <c r="S89" s="134" t="s">
        <v>1295</v>
      </c>
    </row>
    <row r="91">
      <c r="A91" s="90" t="s">
        <v>1320</v>
      </c>
      <c r="B91" s="91" t="s">
        <v>1233</v>
      </c>
      <c r="C91" s="92" t="s">
        <v>1321</v>
      </c>
      <c r="D91" s="92" t="s">
        <v>2</v>
      </c>
      <c r="E91" s="92" t="s">
        <v>1322</v>
      </c>
      <c r="F91" s="92" t="s">
        <v>1323</v>
      </c>
      <c r="G91" s="92" t="s">
        <v>1324</v>
      </c>
      <c r="H91" s="93" t="s">
        <v>1325</v>
      </c>
      <c r="I91" s="93" t="s">
        <v>1326</v>
      </c>
      <c r="J91" s="149" t="s">
        <v>1414</v>
      </c>
      <c r="K91" s="135" t="s">
        <v>1376</v>
      </c>
      <c r="L91" s="135" t="s">
        <v>1377</v>
      </c>
      <c r="M91" s="135" t="s">
        <v>1350</v>
      </c>
      <c r="N91" s="100"/>
    </row>
    <row r="92">
      <c r="B92" s="1">
        <v>1.0</v>
      </c>
      <c r="C92" s="41">
        <v>45931.0</v>
      </c>
      <c r="D92" s="35" t="s">
        <v>1415</v>
      </c>
      <c r="E92" s="35" t="s">
        <v>1416</v>
      </c>
      <c r="F92" s="35">
        <v>1490.0</v>
      </c>
      <c r="G92" s="35" t="s">
        <v>1373</v>
      </c>
      <c r="H92" s="150" t="s">
        <v>1329</v>
      </c>
      <c r="I92" s="2"/>
      <c r="J92" s="2"/>
      <c r="K92" s="99">
        <v>1490.0</v>
      </c>
      <c r="L92" s="99">
        <v>1160.0</v>
      </c>
      <c r="M92" s="99">
        <v>1393.0</v>
      </c>
      <c r="N92" s="100"/>
    </row>
    <row r="93">
      <c r="B93" s="1">
        <v>2.0</v>
      </c>
      <c r="C93" s="41">
        <v>45932.0</v>
      </c>
      <c r="D93" s="35" t="s">
        <v>1417</v>
      </c>
      <c r="E93" s="35" t="s">
        <v>1243</v>
      </c>
      <c r="F93" s="35">
        <v>1393.0</v>
      </c>
      <c r="G93" s="35" t="s">
        <v>1385</v>
      </c>
      <c r="H93" s="150" t="s">
        <v>1329</v>
      </c>
      <c r="I93" s="2"/>
      <c r="J93" s="2"/>
      <c r="K93" s="99">
        <v>1070.0</v>
      </c>
      <c r="L93" s="99">
        <v>1548.0</v>
      </c>
      <c r="M93" s="99">
        <v>1160.0</v>
      </c>
      <c r="N93" s="100"/>
    </row>
    <row r="94">
      <c r="B94" s="1">
        <v>3.0</v>
      </c>
      <c r="C94" s="41">
        <v>45934.0</v>
      </c>
      <c r="D94" s="35" t="s">
        <v>1418</v>
      </c>
      <c r="E94" s="35" t="s">
        <v>1402</v>
      </c>
      <c r="F94" s="35">
        <v>0.0</v>
      </c>
      <c r="G94" s="14" t="s">
        <v>1419</v>
      </c>
      <c r="H94" s="150" t="s">
        <v>1329</v>
      </c>
      <c r="I94" s="2"/>
      <c r="J94" s="2"/>
      <c r="K94" s="99">
        <v>716.0</v>
      </c>
      <c r="L94" s="99">
        <v>719.0</v>
      </c>
      <c r="M94" s="99">
        <v>719.0</v>
      </c>
      <c r="N94" s="100"/>
    </row>
    <row r="95">
      <c r="B95" s="1">
        <v>4.0</v>
      </c>
      <c r="C95" s="41">
        <v>45934.0</v>
      </c>
      <c r="D95" s="35" t="s">
        <v>1420</v>
      </c>
      <c r="E95" s="35" t="s">
        <v>1253</v>
      </c>
      <c r="F95" s="35">
        <v>1160.0</v>
      </c>
      <c r="G95" s="35" t="s">
        <v>1385</v>
      </c>
      <c r="H95" s="150" t="s">
        <v>1329</v>
      </c>
      <c r="I95" s="2"/>
      <c r="J95" s="2"/>
      <c r="K95" s="99">
        <v>716.0</v>
      </c>
      <c r="L95" s="99">
        <v>1160.0</v>
      </c>
      <c r="M95" s="99">
        <v>1392.0</v>
      </c>
      <c r="N95" s="100"/>
    </row>
    <row r="96">
      <c r="B96" s="1">
        <v>5.0</v>
      </c>
      <c r="C96" s="41">
        <v>45935.0</v>
      </c>
      <c r="D96" s="35" t="s">
        <v>324</v>
      </c>
      <c r="E96" s="35" t="s">
        <v>1402</v>
      </c>
      <c r="F96" s="35">
        <v>1070.0</v>
      </c>
      <c r="G96" s="35" t="s">
        <v>1373</v>
      </c>
      <c r="H96" s="150" t="s">
        <v>1329</v>
      </c>
      <c r="I96" s="2"/>
      <c r="J96" s="2"/>
      <c r="K96" s="99">
        <v>1160.0</v>
      </c>
      <c r="L96" s="99">
        <v>1020.0</v>
      </c>
      <c r="M96" s="99">
        <v>800.0</v>
      </c>
      <c r="N96" s="100"/>
    </row>
    <row r="97">
      <c r="B97" s="1">
        <v>6.0</v>
      </c>
      <c r="C97" s="41">
        <v>45935.0</v>
      </c>
      <c r="D97" s="35" t="s">
        <v>1355</v>
      </c>
      <c r="E97" s="35" t="s">
        <v>1256</v>
      </c>
      <c r="F97" s="35">
        <v>716.0</v>
      </c>
      <c r="G97" s="35" t="s">
        <v>1373</v>
      </c>
      <c r="H97" s="150" t="s">
        <v>1329</v>
      </c>
      <c r="I97" s="2"/>
      <c r="J97" s="2"/>
      <c r="K97" s="99">
        <v>1340.0</v>
      </c>
      <c r="L97" s="99">
        <v>1093.0</v>
      </c>
      <c r="M97" s="99">
        <v>719.0</v>
      </c>
      <c r="N97" s="100"/>
    </row>
    <row r="98">
      <c r="B98" s="1">
        <v>7.0</v>
      </c>
      <c r="C98" s="41">
        <v>45935.0</v>
      </c>
      <c r="D98" s="35" t="s">
        <v>1421</v>
      </c>
      <c r="E98" s="35" t="s">
        <v>1298</v>
      </c>
      <c r="F98" s="35">
        <v>716.0</v>
      </c>
      <c r="G98" s="35" t="s">
        <v>1373</v>
      </c>
      <c r="H98" s="150" t="s">
        <v>1329</v>
      </c>
      <c r="I98" s="2"/>
      <c r="J98" s="2"/>
      <c r="K98" s="99">
        <v>1169.0</v>
      </c>
      <c r="L98" s="99">
        <v>800.0</v>
      </c>
      <c r="M98" s="99">
        <v>2000.0</v>
      </c>
      <c r="N98" s="100"/>
    </row>
    <row r="99">
      <c r="B99" s="1">
        <v>8.0</v>
      </c>
      <c r="C99" s="41">
        <v>45935.0</v>
      </c>
      <c r="D99" s="35" t="s">
        <v>295</v>
      </c>
      <c r="E99" s="35" t="s">
        <v>1253</v>
      </c>
      <c r="F99" s="35">
        <v>1160.0</v>
      </c>
      <c r="G99" s="35" t="s">
        <v>1373</v>
      </c>
      <c r="H99" s="150" t="s">
        <v>1329</v>
      </c>
      <c r="I99" s="2"/>
      <c r="J99" s="2"/>
      <c r="K99" s="99">
        <v>630.0</v>
      </c>
      <c r="L99" s="99">
        <v>1390.0</v>
      </c>
      <c r="M99" s="99">
        <v>1353.0</v>
      </c>
      <c r="N99" s="100"/>
    </row>
    <row r="100">
      <c r="B100" s="1">
        <v>9.0</v>
      </c>
      <c r="C100" s="41">
        <v>45935.0</v>
      </c>
      <c r="D100" s="35" t="s">
        <v>1422</v>
      </c>
      <c r="E100" s="35" t="s">
        <v>1253</v>
      </c>
      <c r="F100" s="35">
        <v>1160.0</v>
      </c>
      <c r="G100" s="35" t="s">
        <v>1346</v>
      </c>
      <c r="H100" s="150" t="s">
        <v>1329</v>
      </c>
      <c r="I100" s="2"/>
      <c r="J100" s="2"/>
      <c r="K100" s="99">
        <v>1160.0</v>
      </c>
      <c r="L100" s="99">
        <v>800.0</v>
      </c>
      <c r="M100" s="100"/>
      <c r="N100" s="100"/>
    </row>
    <row r="101">
      <c r="B101" s="1">
        <v>10.0</v>
      </c>
      <c r="C101" s="41">
        <v>45935.0</v>
      </c>
      <c r="D101" s="36" t="s">
        <v>331</v>
      </c>
      <c r="E101" s="35" t="s">
        <v>1256</v>
      </c>
      <c r="F101" s="35">
        <v>719.0</v>
      </c>
      <c r="G101" s="35" t="s">
        <v>1385</v>
      </c>
      <c r="H101" s="150" t="s">
        <v>1329</v>
      </c>
      <c r="I101" s="2"/>
      <c r="J101" s="2"/>
      <c r="K101" s="99">
        <v>719.0</v>
      </c>
      <c r="L101" s="99">
        <v>300.0</v>
      </c>
      <c r="M101" s="100"/>
      <c r="N101" s="100"/>
    </row>
    <row r="102">
      <c r="B102" s="1">
        <v>11.0</v>
      </c>
      <c r="C102" s="41">
        <v>45935.0</v>
      </c>
      <c r="D102" s="35" t="s">
        <v>61</v>
      </c>
      <c r="E102" s="35" t="s">
        <v>1423</v>
      </c>
      <c r="F102" s="35">
        <v>1340.0</v>
      </c>
      <c r="G102" s="35" t="s">
        <v>1373</v>
      </c>
      <c r="H102" s="150" t="s">
        <v>1329</v>
      </c>
      <c r="I102" s="2"/>
      <c r="J102" s="2"/>
      <c r="K102" s="99">
        <v>949.0</v>
      </c>
      <c r="L102" s="100"/>
      <c r="M102" s="100"/>
      <c r="N102" s="100"/>
    </row>
    <row r="103">
      <c r="B103" s="58"/>
      <c r="C103" s="2"/>
      <c r="D103" s="2"/>
      <c r="E103" s="138" t="s">
        <v>1384</v>
      </c>
      <c r="F103" s="147">
        <f>SUM(F92:F102)</f>
        <v>10924</v>
      </c>
      <c r="G103" s="2"/>
      <c r="H103" s="2"/>
      <c r="I103" s="151" t="s">
        <v>1384</v>
      </c>
      <c r="J103" s="35">
        <v>0.0</v>
      </c>
      <c r="K103" s="99">
        <v>1400.0</v>
      </c>
      <c r="L103" s="100"/>
      <c r="M103" s="100"/>
      <c r="N103" s="100"/>
    </row>
    <row r="104">
      <c r="B104" s="58"/>
      <c r="C104" s="2"/>
      <c r="D104" s="2"/>
      <c r="E104" s="2"/>
      <c r="F104" s="2"/>
      <c r="G104" s="2"/>
      <c r="H104" s="2"/>
      <c r="I104" s="2"/>
      <c r="J104" s="2"/>
      <c r="K104" s="99">
        <v>190.0</v>
      </c>
      <c r="L104" s="100"/>
      <c r="M104" s="100"/>
      <c r="N104" s="100"/>
    </row>
    <row r="105">
      <c r="A105" s="90" t="s">
        <v>1424</v>
      </c>
      <c r="B105" s="91" t="s">
        <v>1233</v>
      </c>
      <c r="C105" s="92" t="s">
        <v>1321</v>
      </c>
      <c r="D105" s="92" t="s">
        <v>2</v>
      </c>
      <c r="E105" s="92" t="s">
        <v>1322</v>
      </c>
      <c r="F105" s="92" t="s">
        <v>1323</v>
      </c>
      <c r="G105" s="92" t="s">
        <v>1324</v>
      </c>
      <c r="H105" s="93" t="s">
        <v>1325</v>
      </c>
      <c r="I105" s="93" t="s">
        <v>1326</v>
      </c>
      <c r="J105" s="149" t="s">
        <v>1414</v>
      </c>
      <c r="K105" s="99">
        <v>700.0</v>
      </c>
      <c r="L105" s="152"/>
      <c r="M105" s="152"/>
      <c r="N105" s="100"/>
    </row>
    <row r="106">
      <c r="B106" s="1">
        <v>1.0</v>
      </c>
      <c r="C106" s="51">
        <v>45936.0</v>
      </c>
      <c r="D106" s="35" t="s">
        <v>1425</v>
      </c>
      <c r="E106" s="35" t="s">
        <v>1243</v>
      </c>
      <c r="F106" s="35">
        <v>1392.0</v>
      </c>
      <c r="G106" s="35" t="s">
        <v>1385</v>
      </c>
      <c r="H106" s="150" t="s">
        <v>1329</v>
      </c>
      <c r="I106" s="2"/>
      <c r="J106" s="2"/>
      <c r="K106" s="99">
        <v>1393.0</v>
      </c>
      <c r="L106" s="100"/>
      <c r="M106" s="100"/>
      <c r="N106" s="100"/>
    </row>
    <row r="107">
      <c r="B107" s="1">
        <v>2.0</v>
      </c>
      <c r="C107" s="51">
        <v>45938.0</v>
      </c>
      <c r="D107" s="35" t="s">
        <v>69</v>
      </c>
      <c r="E107" s="35" t="s">
        <v>1423</v>
      </c>
      <c r="F107" s="35">
        <v>1169.0</v>
      </c>
      <c r="G107" s="35" t="s">
        <v>1373</v>
      </c>
      <c r="H107" s="150" t="s">
        <v>1329</v>
      </c>
      <c r="I107" s="2"/>
      <c r="J107" s="2"/>
      <c r="K107" s="137">
        <v>300.0</v>
      </c>
      <c r="N107" s="100"/>
    </row>
    <row r="108">
      <c r="B108" s="1">
        <v>3.0</v>
      </c>
      <c r="C108" s="51">
        <v>45941.0</v>
      </c>
      <c r="D108" s="35" t="s">
        <v>271</v>
      </c>
      <c r="E108" s="35" t="s">
        <v>1426</v>
      </c>
      <c r="F108" s="35">
        <v>630.0</v>
      </c>
      <c r="G108" s="35" t="s">
        <v>1373</v>
      </c>
      <c r="H108" s="150" t="s">
        <v>1329</v>
      </c>
      <c r="I108" s="35" t="s">
        <v>1427</v>
      </c>
      <c r="J108" s="35">
        <v>300.0</v>
      </c>
      <c r="K108" s="153">
        <f>SUM(K92:K107)</f>
        <v>15102</v>
      </c>
      <c r="L108" s="153">
        <f t="shared" ref="L108:M108" si="4">SUM(L92:L106)</f>
        <v>9990</v>
      </c>
      <c r="M108" s="153">
        <f t="shared" si="4"/>
        <v>9536</v>
      </c>
      <c r="N108" s="100"/>
    </row>
    <row r="109">
      <c r="B109" s="1">
        <v>4.0</v>
      </c>
      <c r="C109" s="51">
        <v>45941.0</v>
      </c>
      <c r="D109" s="35" t="s">
        <v>1428</v>
      </c>
      <c r="E109" s="35" t="s">
        <v>1298</v>
      </c>
      <c r="F109" s="35">
        <v>800.0</v>
      </c>
      <c r="G109" s="35" t="s">
        <v>1385</v>
      </c>
      <c r="H109" s="150" t="s">
        <v>1329</v>
      </c>
      <c r="I109" s="2"/>
      <c r="J109" s="2"/>
      <c r="K109" s="2"/>
      <c r="L109" s="2"/>
      <c r="M109" s="2"/>
      <c r="N109" s="2"/>
    </row>
    <row r="110">
      <c r="B110" s="1">
        <v>5.0</v>
      </c>
      <c r="C110" s="51">
        <v>45942.0</v>
      </c>
      <c r="D110" s="35" t="s">
        <v>1397</v>
      </c>
      <c r="E110" s="35" t="s">
        <v>1243</v>
      </c>
      <c r="F110" s="35">
        <v>1548.0</v>
      </c>
      <c r="G110" s="35" t="s">
        <v>1346</v>
      </c>
      <c r="H110" s="150" t="s">
        <v>1329</v>
      </c>
      <c r="I110" s="2"/>
      <c r="J110" s="2"/>
      <c r="K110" s="2"/>
      <c r="L110" s="2"/>
      <c r="M110" s="2"/>
      <c r="N110" s="2"/>
    </row>
    <row r="111">
      <c r="B111" s="58"/>
      <c r="C111" s="2"/>
      <c r="D111" s="2"/>
      <c r="E111" s="138" t="s">
        <v>1384</v>
      </c>
      <c r="F111" s="147">
        <f>SUM(F106:F110)</f>
        <v>5539</v>
      </c>
      <c r="G111" s="2"/>
      <c r="H111" s="2"/>
      <c r="I111" s="151" t="s">
        <v>1384</v>
      </c>
      <c r="J111" s="154">
        <f>SUM(J106:J110)</f>
        <v>300</v>
      </c>
      <c r="K111" s="2"/>
      <c r="L111" s="2"/>
      <c r="M111" s="2"/>
      <c r="N111" s="2"/>
    </row>
    <row r="112">
      <c r="B112" s="5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90" t="s">
        <v>1395</v>
      </c>
      <c r="B113" s="91" t="s">
        <v>1233</v>
      </c>
      <c r="C113" s="92" t="s">
        <v>1321</v>
      </c>
      <c r="D113" s="92" t="s">
        <v>2</v>
      </c>
      <c r="E113" s="92" t="s">
        <v>1322</v>
      </c>
      <c r="F113" s="92" t="s">
        <v>1323</v>
      </c>
      <c r="G113" s="92" t="s">
        <v>1324</v>
      </c>
      <c r="H113" s="93" t="s">
        <v>1325</v>
      </c>
      <c r="I113" s="93" t="s">
        <v>1326</v>
      </c>
      <c r="J113" s="149" t="s">
        <v>1414</v>
      </c>
      <c r="K113" s="2"/>
      <c r="L113" s="2"/>
      <c r="M113" s="2"/>
      <c r="N113" s="2"/>
    </row>
    <row r="114">
      <c r="B114" s="1">
        <v>1.0</v>
      </c>
      <c r="C114" s="51">
        <v>45943.0</v>
      </c>
      <c r="D114" s="35" t="s">
        <v>1421</v>
      </c>
      <c r="E114" s="35" t="s">
        <v>1253</v>
      </c>
      <c r="F114" s="35">
        <v>1160.0</v>
      </c>
      <c r="G114" s="48" t="s">
        <v>1373</v>
      </c>
      <c r="H114" s="150" t="s">
        <v>1329</v>
      </c>
      <c r="I114" s="2"/>
      <c r="J114" s="2"/>
      <c r="K114" s="2"/>
      <c r="L114" s="2"/>
      <c r="M114" s="2"/>
      <c r="N114" s="2"/>
    </row>
    <row r="115">
      <c r="B115" s="1">
        <v>2.0</v>
      </c>
      <c r="C115" s="51">
        <v>45943.0</v>
      </c>
      <c r="D115" s="35" t="s">
        <v>1355</v>
      </c>
      <c r="E115" s="35" t="s">
        <v>1298</v>
      </c>
      <c r="F115" s="35">
        <v>719.0</v>
      </c>
      <c r="H115" s="150" t="s">
        <v>1329</v>
      </c>
      <c r="I115" s="2"/>
      <c r="J115" s="2"/>
      <c r="K115" s="2"/>
      <c r="L115" s="2"/>
      <c r="M115" s="2"/>
      <c r="N115" s="2"/>
    </row>
    <row r="116">
      <c r="B116" s="1">
        <v>3.0</v>
      </c>
      <c r="C116" s="35" t="s">
        <v>1429</v>
      </c>
      <c r="D116" s="35" t="s">
        <v>1422</v>
      </c>
      <c r="E116" s="35" t="s">
        <v>1298</v>
      </c>
      <c r="F116" s="35">
        <v>719.0</v>
      </c>
      <c r="G116" s="35" t="s">
        <v>1346</v>
      </c>
      <c r="H116" s="150" t="s">
        <v>1329</v>
      </c>
      <c r="I116" s="2"/>
      <c r="J116" s="2"/>
      <c r="K116" s="2"/>
      <c r="L116" s="2"/>
      <c r="M116" s="2"/>
      <c r="N116" s="2"/>
    </row>
    <row r="117">
      <c r="B117" s="1">
        <v>4.0</v>
      </c>
      <c r="C117" s="51">
        <v>45945.0</v>
      </c>
      <c r="D117" s="35" t="s">
        <v>336</v>
      </c>
      <c r="E117" s="35" t="s">
        <v>1253</v>
      </c>
      <c r="F117" s="35">
        <v>1160.0</v>
      </c>
      <c r="G117" s="35" t="s">
        <v>1346</v>
      </c>
      <c r="H117" s="150" t="s">
        <v>1329</v>
      </c>
      <c r="I117" s="2"/>
      <c r="J117" s="2"/>
      <c r="K117" s="2"/>
      <c r="L117" s="2"/>
      <c r="M117" s="2"/>
      <c r="N117" s="2"/>
    </row>
    <row r="118">
      <c r="B118" s="1">
        <v>5.0</v>
      </c>
      <c r="C118" s="51">
        <v>45946.0</v>
      </c>
      <c r="D118" s="35" t="s">
        <v>345</v>
      </c>
      <c r="E118" s="35" t="s">
        <v>1410</v>
      </c>
      <c r="F118" s="35">
        <v>949.0</v>
      </c>
      <c r="G118" s="35" t="s">
        <v>1373</v>
      </c>
      <c r="H118" s="150" t="s">
        <v>1329</v>
      </c>
      <c r="I118" s="2"/>
      <c r="J118" s="2"/>
      <c r="K118" s="2"/>
      <c r="L118" s="2"/>
      <c r="M118" s="2"/>
      <c r="N118" s="2"/>
    </row>
    <row r="119">
      <c r="B119" s="1">
        <v>6.0</v>
      </c>
      <c r="C119" s="51">
        <v>45947.0</v>
      </c>
      <c r="D119" s="35" t="s">
        <v>125</v>
      </c>
      <c r="E119" s="35" t="s">
        <v>1298</v>
      </c>
      <c r="F119" s="35">
        <v>1020.0</v>
      </c>
      <c r="G119" s="35" t="s">
        <v>1346</v>
      </c>
      <c r="H119" s="150" t="s">
        <v>1329</v>
      </c>
      <c r="I119" s="35" t="s">
        <v>1427</v>
      </c>
      <c r="J119" s="35">
        <v>300.0</v>
      </c>
      <c r="K119" s="2"/>
      <c r="L119" s="2"/>
      <c r="M119" s="2"/>
      <c r="N119" s="2"/>
    </row>
    <row r="120">
      <c r="B120" s="1">
        <v>7.0</v>
      </c>
      <c r="C120" s="51">
        <v>45947.0</v>
      </c>
      <c r="D120" s="35" t="s">
        <v>1430</v>
      </c>
      <c r="E120" s="35" t="s">
        <v>1243</v>
      </c>
      <c r="F120" s="35">
        <v>1400.0</v>
      </c>
      <c r="G120" s="35" t="s">
        <v>1373</v>
      </c>
      <c r="H120" s="150" t="s">
        <v>1329</v>
      </c>
      <c r="I120" s="35" t="s">
        <v>1431</v>
      </c>
      <c r="J120" s="35">
        <v>8.0</v>
      </c>
      <c r="K120" s="2"/>
      <c r="L120" s="2"/>
      <c r="M120" s="2"/>
      <c r="N120" s="2"/>
    </row>
    <row r="121">
      <c r="B121" s="1">
        <v>8.0</v>
      </c>
      <c r="C121" s="51">
        <v>45948.0</v>
      </c>
      <c r="D121" s="35" t="s">
        <v>1396</v>
      </c>
      <c r="E121" s="35" t="s">
        <v>1298</v>
      </c>
      <c r="F121" s="35">
        <v>719.0</v>
      </c>
      <c r="G121" s="35" t="s">
        <v>1385</v>
      </c>
      <c r="H121" s="150" t="s">
        <v>1329</v>
      </c>
      <c r="I121" s="2"/>
      <c r="J121" s="2"/>
      <c r="K121" s="2"/>
      <c r="L121" s="2"/>
      <c r="M121" s="2"/>
      <c r="N121" s="2"/>
    </row>
    <row r="122">
      <c r="B122" s="1">
        <v>9.0</v>
      </c>
      <c r="C122" s="51">
        <v>45948.0</v>
      </c>
      <c r="D122" s="32" t="s">
        <v>220</v>
      </c>
      <c r="E122" s="35" t="s">
        <v>1432</v>
      </c>
      <c r="F122" s="35">
        <v>1789.0</v>
      </c>
      <c r="G122" s="35" t="s">
        <v>1385</v>
      </c>
      <c r="H122" s="150" t="s">
        <v>1329</v>
      </c>
      <c r="I122" s="2"/>
      <c r="J122" s="2"/>
      <c r="K122" s="2"/>
      <c r="L122" s="2"/>
      <c r="M122" s="2"/>
      <c r="N122" s="2"/>
    </row>
    <row r="123">
      <c r="B123" s="1">
        <v>10.0</v>
      </c>
      <c r="C123" s="51">
        <v>45948.0</v>
      </c>
      <c r="D123" s="35" t="s">
        <v>1433</v>
      </c>
      <c r="E123" s="35" t="s">
        <v>1298</v>
      </c>
      <c r="F123" s="35">
        <v>719.0</v>
      </c>
      <c r="G123" s="35" t="s">
        <v>1385</v>
      </c>
      <c r="H123" s="150" t="s">
        <v>1329</v>
      </c>
      <c r="I123" s="35" t="s">
        <v>1434</v>
      </c>
      <c r="J123" s="35">
        <v>120.0</v>
      </c>
      <c r="K123" s="2"/>
      <c r="L123" s="2"/>
      <c r="M123" s="2"/>
      <c r="N123" s="2"/>
    </row>
    <row r="124">
      <c r="B124" s="1">
        <v>11.0</v>
      </c>
      <c r="C124" s="51">
        <v>45948.0</v>
      </c>
      <c r="D124" s="35" t="s">
        <v>1430</v>
      </c>
      <c r="E124" s="35" t="s">
        <v>1253</v>
      </c>
      <c r="F124" s="48">
        <v>2190.0</v>
      </c>
      <c r="G124" s="35" t="s">
        <v>1435</v>
      </c>
      <c r="H124" s="155" t="s">
        <v>1329</v>
      </c>
      <c r="I124" s="48" t="s">
        <v>1436</v>
      </c>
      <c r="J124" s="2"/>
      <c r="K124" s="2"/>
      <c r="L124" s="2"/>
      <c r="M124" s="2"/>
      <c r="N124" s="2"/>
    </row>
    <row r="125">
      <c r="B125" s="1">
        <v>12.0</v>
      </c>
      <c r="C125" s="51">
        <v>45948.0</v>
      </c>
      <c r="D125" s="35" t="s">
        <v>1437</v>
      </c>
      <c r="E125" s="35" t="s">
        <v>1253</v>
      </c>
      <c r="G125" s="35" t="s">
        <v>1438</v>
      </c>
      <c r="J125" s="2"/>
      <c r="K125" s="2"/>
      <c r="L125" s="2"/>
      <c r="M125" s="2"/>
      <c r="N125" s="2"/>
    </row>
    <row r="126">
      <c r="B126" s="1">
        <v>13.0</v>
      </c>
      <c r="C126" s="51">
        <v>45949.0</v>
      </c>
      <c r="D126" s="35" t="s">
        <v>324</v>
      </c>
      <c r="E126" s="35" t="s">
        <v>1439</v>
      </c>
      <c r="F126" s="35">
        <v>700.0</v>
      </c>
      <c r="G126" s="35" t="s">
        <v>1373</v>
      </c>
      <c r="H126" s="150" t="s">
        <v>1329</v>
      </c>
      <c r="I126" s="2"/>
      <c r="J126" s="2"/>
      <c r="K126" s="2"/>
      <c r="L126" s="2"/>
      <c r="M126" s="2"/>
      <c r="N126" s="2"/>
    </row>
    <row r="127">
      <c r="B127" s="1">
        <v>14.0</v>
      </c>
      <c r="C127" s="51">
        <v>45949.0</v>
      </c>
      <c r="D127" s="35" t="s">
        <v>1440</v>
      </c>
      <c r="E127" s="35" t="s">
        <v>1243</v>
      </c>
      <c r="F127" s="35">
        <v>1393.0</v>
      </c>
      <c r="G127" s="35" t="s">
        <v>1346</v>
      </c>
      <c r="H127" s="150" t="s">
        <v>1329</v>
      </c>
      <c r="I127" s="2"/>
      <c r="J127" s="2"/>
      <c r="K127" s="2"/>
      <c r="L127" s="2"/>
      <c r="M127" s="2"/>
      <c r="N127" s="2"/>
    </row>
    <row r="128">
      <c r="B128" s="1">
        <v>15.0</v>
      </c>
      <c r="C128" s="51">
        <v>45949.0</v>
      </c>
      <c r="D128" s="35" t="s">
        <v>1441</v>
      </c>
      <c r="E128" s="35" t="s">
        <v>1298</v>
      </c>
      <c r="F128" s="48">
        <v>1353.0</v>
      </c>
      <c r="G128" s="48" t="s">
        <v>1385</v>
      </c>
      <c r="H128" s="155" t="s">
        <v>1329</v>
      </c>
      <c r="I128" s="2"/>
      <c r="J128" s="2"/>
      <c r="K128" s="2"/>
      <c r="L128" s="2"/>
      <c r="M128" s="2"/>
      <c r="N128" s="2"/>
    </row>
    <row r="129">
      <c r="B129" s="1">
        <v>16.0</v>
      </c>
      <c r="C129" s="51">
        <v>45949.0</v>
      </c>
      <c r="D129" s="35" t="s">
        <v>1442</v>
      </c>
      <c r="E129" s="35" t="s">
        <v>1426</v>
      </c>
      <c r="I129" s="2"/>
      <c r="J129" s="2"/>
      <c r="K129" s="2"/>
      <c r="L129" s="2"/>
      <c r="M129" s="2"/>
      <c r="N129" s="2"/>
    </row>
    <row r="130">
      <c r="B130" s="58"/>
      <c r="C130" s="2"/>
      <c r="D130" s="2"/>
      <c r="E130" s="138" t="s">
        <v>1384</v>
      </c>
      <c r="F130" s="147">
        <f>SUM(F114:F129)</f>
        <v>15990</v>
      </c>
      <c r="G130" s="2"/>
      <c r="H130" s="2"/>
      <c r="I130" s="151" t="s">
        <v>1384</v>
      </c>
      <c r="J130" s="154">
        <f>SUM(J114:J129)</f>
        <v>428</v>
      </c>
      <c r="K130" s="2"/>
      <c r="L130" s="2"/>
      <c r="M130" s="2"/>
      <c r="N130" s="2"/>
    </row>
    <row r="131">
      <c r="B131" s="5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90" t="s">
        <v>1401</v>
      </c>
      <c r="B132" s="91" t="s">
        <v>1233</v>
      </c>
      <c r="C132" s="92" t="s">
        <v>1321</v>
      </c>
      <c r="D132" s="92" t="s">
        <v>2</v>
      </c>
      <c r="E132" s="92" t="s">
        <v>1322</v>
      </c>
      <c r="F132" s="92" t="s">
        <v>1323</v>
      </c>
      <c r="G132" s="92" t="s">
        <v>1324</v>
      </c>
      <c r="H132" s="93" t="s">
        <v>1325</v>
      </c>
      <c r="I132" s="93" t="s">
        <v>1326</v>
      </c>
      <c r="J132" s="149" t="s">
        <v>1414</v>
      </c>
      <c r="K132" s="2"/>
      <c r="L132" s="2"/>
      <c r="M132" s="2"/>
      <c r="N132" s="2"/>
    </row>
    <row r="133">
      <c r="B133" s="1">
        <v>1.0</v>
      </c>
      <c r="C133" s="51">
        <v>45951.0</v>
      </c>
      <c r="D133" s="35" t="s">
        <v>1398</v>
      </c>
      <c r="E133" s="35" t="s">
        <v>1298</v>
      </c>
      <c r="F133" s="35">
        <v>800.0</v>
      </c>
      <c r="G133" s="35" t="s">
        <v>1346</v>
      </c>
      <c r="H133" s="150" t="s">
        <v>1329</v>
      </c>
      <c r="I133" s="2"/>
      <c r="J133" s="2"/>
      <c r="K133" s="2"/>
      <c r="L133" s="2"/>
      <c r="M133" s="2"/>
      <c r="N133" s="2"/>
    </row>
    <row r="134">
      <c r="B134" s="1">
        <v>2.0</v>
      </c>
      <c r="C134" s="51">
        <v>45955.0</v>
      </c>
      <c r="D134" s="35" t="s">
        <v>1313</v>
      </c>
      <c r="E134" s="35" t="s">
        <v>1243</v>
      </c>
      <c r="F134" s="35">
        <v>1393.0</v>
      </c>
      <c r="G134" s="35" t="s">
        <v>1373</v>
      </c>
      <c r="H134" s="150" t="s">
        <v>1329</v>
      </c>
      <c r="I134" s="2"/>
      <c r="J134" s="2"/>
      <c r="K134" s="2"/>
      <c r="L134" s="2"/>
      <c r="M134" s="2"/>
      <c r="N134" s="2"/>
    </row>
    <row r="135">
      <c r="B135" s="1">
        <v>3.0</v>
      </c>
      <c r="C135" s="51">
        <v>45956.0</v>
      </c>
      <c r="D135" s="35" t="s">
        <v>1443</v>
      </c>
      <c r="E135" s="35" t="s">
        <v>1243</v>
      </c>
      <c r="F135" s="35">
        <v>1390.0</v>
      </c>
      <c r="G135" s="35" t="s">
        <v>1346</v>
      </c>
      <c r="H135" s="150" t="s">
        <v>1329</v>
      </c>
      <c r="I135" s="2"/>
      <c r="J135" s="2"/>
      <c r="K135" s="2"/>
      <c r="L135" s="2"/>
      <c r="M135" s="2"/>
      <c r="N135" s="2"/>
    </row>
    <row r="136">
      <c r="B136" s="1">
        <v>4.0</v>
      </c>
      <c r="C136" s="51">
        <v>45956.0</v>
      </c>
      <c r="D136" s="35" t="s">
        <v>1444</v>
      </c>
      <c r="E136" s="35" t="s">
        <v>1410</v>
      </c>
      <c r="F136" s="35">
        <v>800.0</v>
      </c>
      <c r="G136" s="35" t="s">
        <v>1346</v>
      </c>
      <c r="H136" s="150" t="s">
        <v>1329</v>
      </c>
      <c r="I136" s="2"/>
      <c r="J136" s="2"/>
      <c r="K136" s="2"/>
      <c r="L136" s="2"/>
      <c r="M136" s="2"/>
      <c r="N136" s="2"/>
    </row>
    <row r="137">
      <c r="B137" s="58"/>
      <c r="C137" s="2"/>
      <c r="D137" s="2"/>
      <c r="E137" s="151" t="s">
        <v>1384</v>
      </c>
      <c r="F137" s="131">
        <f>SUM(F133:F136)</f>
        <v>4383</v>
      </c>
      <c r="G137" s="2"/>
      <c r="H137" s="2"/>
      <c r="I137" s="151" t="s">
        <v>1384</v>
      </c>
      <c r="J137" s="130">
        <v>0.0</v>
      </c>
      <c r="K137" s="2"/>
      <c r="L137" s="2"/>
      <c r="M137" s="2"/>
      <c r="N137" s="2"/>
    </row>
    <row r="138">
      <c r="A138" s="42" t="s">
        <v>946</v>
      </c>
      <c r="B138" s="5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90" t="s">
        <v>1407</v>
      </c>
      <c r="B139" s="91" t="s">
        <v>1233</v>
      </c>
      <c r="C139" s="92" t="s">
        <v>1321</v>
      </c>
      <c r="D139" s="92" t="s">
        <v>2</v>
      </c>
      <c r="E139" s="92" t="s">
        <v>1322</v>
      </c>
      <c r="F139" s="92" t="s">
        <v>1323</v>
      </c>
      <c r="G139" s="92" t="s">
        <v>1324</v>
      </c>
      <c r="H139" s="93" t="s">
        <v>1325</v>
      </c>
      <c r="I139" s="93" t="s">
        <v>1326</v>
      </c>
      <c r="J139" s="149" t="s">
        <v>1414</v>
      </c>
      <c r="K139" s="2"/>
      <c r="L139" s="2"/>
      <c r="M139" s="2"/>
      <c r="N139" s="2"/>
    </row>
    <row r="140">
      <c r="B140" s="1">
        <v>1.0</v>
      </c>
      <c r="C140" s="51">
        <v>45957.0</v>
      </c>
      <c r="D140" s="35" t="s">
        <v>1404</v>
      </c>
      <c r="E140" s="35" t="s">
        <v>1298</v>
      </c>
      <c r="F140" s="35">
        <v>719.0</v>
      </c>
      <c r="G140" s="35" t="s">
        <v>1373</v>
      </c>
      <c r="H140" s="150" t="s">
        <v>1329</v>
      </c>
      <c r="I140" s="2"/>
      <c r="J140" s="2"/>
      <c r="K140" s="2"/>
      <c r="L140" s="2"/>
      <c r="M140" s="2"/>
      <c r="N140" s="2"/>
    </row>
    <row r="141">
      <c r="B141" s="1">
        <v>2.0</v>
      </c>
      <c r="C141" s="35" t="s">
        <v>1445</v>
      </c>
      <c r="D141" s="35" t="s">
        <v>1446</v>
      </c>
      <c r="E141" s="35" t="s">
        <v>1298</v>
      </c>
      <c r="F141" s="35">
        <v>719.0</v>
      </c>
      <c r="G141" s="35" t="s">
        <v>1385</v>
      </c>
      <c r="H141" s="150" t="s">
        <v>1329</v>
      </c>
      <c r="I141" s="2"/>
      <c r="J141" s="2"/>
      <c r="K141" s="2"/>
      <c r="L141" s="2"/>
      <c r="M141" s="2"/>
      <c r="N141" s="2"/>
    </row>
    <row r="142">
      <c r="B142" s="1">
        <v>3.0</v>
      </c>
      <c r="C142" s="51">
        <v>45960.0</v>
      </c>
      <c r="D142" s="35" t="s">
        <v>271</v>
      </c>
      <c r="E142" s="35" t="s">
        <v>1253</v>
      </c>
      <c r="F142" s="35">
        <v>1390.0</v>
      </c>
      <c r="G142" s="35" t="s">
        <v>1385</v>
      </c>
      <c r="H142" s="150" t="s">
        <v>1329</v>
      </c>
      <c r="I142" s="2"/>
      <c r="J142" s="2"/>
      <c r="K142" s="2"/>
      <c r="L142" s="2"/>
      <c r="M142" s="2"/>
      <c r="N142" s="2"/>
    </row>
    <row r="143">
      <c r="B143" s="1">
        <v>4.0</v>
      </c>
      <c r="C143" s="51">
        <v>45961.0</v>
      </c>
      <c r="D143" s="35" t="s">
        <v>36</v>
      </c>
      <c r="E143" s="35" t="s">
        <v>1253</v>
      </c>
      <c r="F143" s="35">
        <v>1390.0</v>
      </c>
      <c r="G143" s="35" t="s">
        <v>1385</v>
      </c>
      <c r="H143" s="150" t="s">
        <v>1329</v>
      </c>
      <c r="I143" s="2"/>
      <c r="J143" s="2"/>
      <c r="K143" s="2"/>
      <c r="L143" s="2"/>
      <c r="M143" s="2"/>
      <c r="N143" s="2"/>
    </row>
    <row r="144">
      <c r="B144" s="1">
        <v>5.0</v>
      </c>
      <c r="C144" s="51">
        <v>45961.0</v>
      </c>
      <c r="D144" s="35" t="s">
        <v>310</v>
      </c>
      <c r="E144" s="35" t="s">
        <v>1298</v>
      </c>
      <c r="F144" s="35">
        <v>719.0</v>
      </c>
      <c r="G144" s="35" t="s">
        <v>1447</v>
      </c>
      <c r="H144" s="150" t="s">
        <v>1329</v>
      </c>
      <c r="I144" s="2"/>
      <c r="J144" s="2"/>
      <c r="K144" s="2"/>
      <c r="L144" s="2"/>
      <c r="M144" s="2"/>
      <c r="N144" s="2"/>
    </row>
    <row r="145">
      <c r="B145" s="1">
        <v>6.0</v>
      </c>
      <c r="C145" s="51">
        <v>45961.0</v>
      </c>
      <c r="D145" s="35" t="s">
        <v>202</v>
      </c>
      <c r="E145" s="35" t="s">
        <v>1243</v>
      </c>
      <c r="F145" s="35">
        <v>1392.0</v>
      </c>
      <c r="G145" s="35" t="s">
        <v>1448</v>
      </c>
      <c r="H145" s="150" t="s">
        <v>1329</v>
      </c>
      <c r="I145" s="2"/>
      <c r="J145" s="2"/>
      <c r="K145" s="2"/>
      <c r="L145" s="2"/>
      <c r="M145" s="2"/>
      <c r="N145" s="2"/>
    </row>
    <row r="146">
      <c r="B146" s="58"/>
      <c r="C146" s="2"/>
      <c r="D146" s="2"/>
      <c r="E146" s="138" t="s">
        <v>1384</v>
      </c>
      <c r="F146" s="139">
        <f>SUM(F140:F145)</f>
        <v>6329</v>
      </c>
      <c r="G146" s="2"/>
      <c r="H146" s="2"/>
      <c r="I146" s="151" t="s">
        <v>1384</v>
      </c>
      <c r="J146" s="130">
        <v>0.0</v>
      </c>
      <c r="K146" s="2"/>
      <c r="L146" s="2"/>
      <c r="M146" s="2"/>
      <c r="N146" s="2"/>
    </row>
    <row r="147">
      <c r="B147" s="5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B148" s="58"/>
      <c r="C148" s="2"/>
      <c r="D148" s="2"/>
      <c r="E148" s="133" t="s">
        <v>1375</v>
      </c>
      <c r="F148" s="139">
        <f>SUM(F103,F111,F130,F137,F146)</f>
        <v>43165</v>
      </c>
      <c r="G148" s="2"/>
      <c r="H148" s="2"/>
      <c r="I148" s="2"/>
      <c r="J148" s="2"/>
      <c r="K148" s="2"/>
      <c r="L148" s="2"/>
      <c r="M148" s="2"/>
      <c r="N148" s="2"/>
    </row>
    <row r="149">
      <c r="A149" s="134" t="s">
        <v>1449</v>
      </c>
    </row>
    <row r="151">
      <c r="A151" s="90" t="s">
        <v>1450</v>
      </c>
      <c r="B151" s="91" t="s">
        <v>1233</v>
      </c>
      <c r="C151" s="92" t="s">
        <v>1321</v>
      </c>
      <c r="D151" s="92" t="s">
        <v>2</v>
      </c>
      <c r="E151" s="92" t="s">
        <v>1322</v>
      </c>
      <c r="F151" s="92" t="s">
        <v>1323</v>
      </c>
      <c r="G151" s="92" t="s">
        <v>1324</v>
      </c>
      <c r="H151" s="93" t="s">
        <v>1325</v>
      </c>
      <c r="I151" s="93" t="s">
        <v>1326</v>
      </c>
      <c r="J151" s="149" t="s">
        <v>1451</v>
      </c>
      <c r="K151" s="2"/>
      <c r="L151" s="2"/>
      <c r="M151" s="2"/>
      <c r="N151" s="2"/>
    </row>
    <row r="152">
      <c r="B152" s="1">
        <v>1.0</v>
      </c>
      <c r="C152" s="51">
        <v>45962.0</v>
      </c>
      <c r="D152" s="35" t="s">
        <v>1452</v>
      </c>
      <c r="E152" s="35" t="s">
        <v>1426</v>
      </c>
      <c r="F152" s="35">
        <v>699.0</v>
      </c>
      <c r="G152" s="35" t="s">
        <v>1385</v>
      </c>
      <c r="H152" s="35" t="s">
        <v>1329</v>
      </c>
      <c r="I152" s="35" t="s">
        <v>1453</v>
      </c>
      <c r="J152" s="35">
        <v>635.0</v>
      </c>
      <c r="K152" s="2"/>
      <c r="L152" s="2"/>
      <c r="M152" s="2"/>
      <c r="N152" s="2"/>
    </row>
    <row r="153">
      <c r="B153" s="1">
        <v>2.0</v>
      </c>
      <c r="C153" s="51">
        <v>45962.0</v>
      </c>
      <c r="D153" s="35" t="s">
        <v>478</v>
      </c>
      <c r="E153" s="35" t="s">
        <v>1454</v>
      </c>
      <c r="F153" s="35">
        <v>1340.0</v>
      </c>
      <c r="G153" s="35" t="s">
        <v>1346</v>
      </c>
      <c r="H153" s="35" t="s">
        <v>1329</v>
      </c>
      <c r="I153" s="35" t="s">
        <v>1455</v>
      </c>
      <c r="J153" s="35">
        <v>60.0</v>
      </c>
      <c r="K153" s="2"/>
      <c r="L153" s="2"/>
      <c r="M153" s="2"/>
      <c r="N153" s="2"/>
    </row>
    <row r="154">
      <c r="B154" s="1">
        <v>3.0</v>
      </c>
      <c r="C154" s="51">
        <v>45962.0</v>
      </c>
      <c r="D154" s="35" t="s">
        <v>682</v>
      </c>
      <c r="E154" s="35" t="s">
        <v>1243</v>
      </c>
      <c r="F154" s="35">
        <v>1550.0</v>
      </c>
      <c r="G154" s="35" t="s">
        <v>1346</v>
      </c>
      <c r="H154" s="35" t="s">
        <v>1329</v>
      </c>
      <c r="I154" s="2"/>
      <c r="J154" s="2"/>
      <c r="K154" s="2"/>
      <c r="L154" s="2"/>
      <c r="M154" s="2"/>
      <c r="N154" s="2"/>
    </row>
    <row r="155">
      <c r="B155" s="1">
        <v>4.0</v>
      </c>
      <c r="C155" s="51">
        <v>45962.0</v>
      </c>
      <c r="D155" s="35" t="s">
        <v>1456</v>
      </c>
      <c r="E155" s="156"/>
      <c r="F155" s="4"/>
      <c r="G155" s="4"/>
      <c r="H155" s="4"/>
      <c r="I155" s="35" t="s">
        <v>1457</v>
      </c>
      <c r="J155" s="35">
        <v>1269.0</v>
      </c>
      <c r="K155" s="2"/>
      <c r="L155" s="2"/>
      <c r="M155" s="2"/>
      <c r="N155" s="2"/>
    </row>
    <row r="156">
      <c r="B156" s="1">
        <v>5.0</v>
      </c>
      <c r="C156" s="51">
        <v>45962.0</v>
      </c>
      <c r="D156" s="35" t="s">
        <v>892</v>
      </c>
      <c r="E156" s="35" t="s">
        <v>1400</v>
      </c>
      <c r="F156" s="35">
        <v>1149.0</v>
      </c>
      <c r="G156" s="35" t="s">
        <v>1373</v>
      </c>
      <c r="H156" s="35" t="s">
        <v>1329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B157" s="1">
        <v>6.0</v>
      </c>
      <c r="C157" s="51">
        <v>45962.0</v>
      </c>
      <c r="D157" s="35" t="s">
        <v>495</v>
      </c>
      <c r="E157" s="35" t="s">
        <v>1243</v>
      </c>
      <c r="F157" s="35">
        <v>1500.0</v>
      </c>
      <c r="G157" s="35" t="s">
        <v>1385</v>
      </c>
      <c r="H157" s="35" t="s">
        <v>1329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B158" s="1">
        <v>7.0</v>
      </c>
      <c r="C158" s="51">
        <v>45962.0</v>
      </c>
      <c r="D158" s="35" t="s">
        <v>824</v>
      </c>
      <c r="E158" s="35" t="s">
        <v>1256</v>
      </c>
      <c r="F158" s="35">
        <v>800.0</v>
      </c>
      <c r="G158" s="35" t="s">
        <v>1385</v>
      </c>
      <c r="H158" s="35" t="s">
        <v>1329</v>
      </c>
      <c r="I158" s="35" t="s">
        <v>1458</v>
      </c>
      <c r="J158" s="35">
        <v>300.0</v>
      </c>
      <c r="K158" s="2"/>
      <c r="L158" s="2"/>
      <c r="M158" s="2"/>
      <c r="N158" s="2"/>
    </row>
    <row r="159">
      <c r="B159" s="1">
        <v>8.0</v>
      </c>
      <c r="C159" s="51">
        <v>45962.0</v>
      </c>
      <c r="D159" s="35" t="s">
        <v>971</v>
      </c>
      <c r="E159" s="35" t="s">
        <v>1243</v>
      </c>
      <c r="F159" s="35">
        <v>1548.0</v>
      </c>
      <c r="G159" s="35" t="s">
        <v>1346</v>
      </c>
      <c r="H159" s="35" t="s">
        <v>1329</v>
      </c>
      <c r="I159" s="35" t="s">
        <v>1459</v>
      </c>
      <c r="J159" s="35">
        <v>120.0</v>
      </c>
      <c r="K159" s="2"/>
      <c r="L159" s="2"/>
      <c r="M159" s="2"/>
      <c r="N159" s="2"/>
    </row>
    <row r="160">
      <c r="B160" s="1">
        <v>9.0</v>
      </c>
      <c r="C160" s="51">
        <v>45963.0</v>
      </c>
      <c r="D160" s="35" t="s">
        <v>1284</v>
      </c>
      <c r="E160" s="35" t="s">
        <v>1243</v>
      </c>
      <c r="F160" s="35">
        <v>1390.0</v>
      </c>
      <c r="G160" s="35" t="s">
        <v>1373</v>
      </c>
      <c r="H160" s="35" t="s">
        <v>1329</v>
      </c>
      <c r="I160" s="2"/>
      <c r="J160" s="2"/>
      <c r="K160" s="2"/>
      <c r="L160" s="2"/>
      <c r="M160" s="2"/>
      <c r="N160" s="2"/>
    </row>
    <row r="161">
      <c r="B161" s="1">
        <v>10.0</v>
      </c>
      <c r="C161" s="51">
        <v>45963.0</v>
      </c>
      <c r="D161" s="35" t="s">
        <v>1460</v>
      </c>
      <c r="E161" s="35" t="s">
        <v>1243</v>
      </c>
      <c r="F161" s="35">
        <v>1548.0</v>
      </c>
      <c r="G161" s="35" t="s">
        <v>1346</v>
      </c>
      <c r="H161" s="35" t="s">
        <v>1329</v>
      </c>
      <c r="I161" s="35" t="s">
        <v>1461</v>
      </c>
      <c r="J161" s="35">
        <v>500.0</v>
      </c>
      <c r="K161" s="2"/>
      <c r="L161" s="2"/>
      <c r="M161" s="2"/>
      <c r="N161" s="2"/>
    </row>
    <row r="162">
      <c r="B162" s="1">
        <v>11.0</v>
      </c>
      <c r="C162" s="51">
        <v>45963.0</v>
      </c>
      <c r="D162" s="35" t="s">
        <v>964</v>
      </c>
      <c r="E162" s="35" t="s">
        <v>1243</v>
      </c>
      <c r="F162" s="17"/>
      <c r="G162" s="2"/>
      <c r="H162" s="2"/>
      <c r="I162" s="2"/>
      <c r="J162" s="2"/>
      <c r="K162" s="2"/>
      <c r="L162" s="2"/>
      <c r="M162" s="2"/>
      <c r="N162" s="2"/>
    </row>
    <row r="163">
      <c r="B163" s="1">
        <v>12.0</v>
      </c>
      <c r="C163" s="51">
        <v>45963.0</v>
      </c>
      <c r="D163" s="35" t="s">
        <v>1462</v>
      </c>
      <c r="E163" s="35" t="s">
        <v>1243</v>
      </c>
      <c r="F163" s="35">
        <v>1548.0</v>
      </c>
      <c r="G163" s="35" t="s">
        <v>1373</v>
      </c>
      <c r="H163" s="35" t="s">
        <v>1329</v>
      </c>
      <c r="I163" s="35" t="s">
        <v>1463</v>
      </c>
      <c r="J163" s="35">
        <v>2395.0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146"/>
      <c r="B164" s="58"/>
      <c r="C164" s="2"/>
      <c r="D164" s="2"/>
      <c r="E164" s="151" t="s">
        <v>1384</v>
      </c>
      <c r="F164" s="131">
        <f>SUM(F152:F163)</f>
        <v>13072</v>
      </c>
      <c r="G164" s="2"/>
      <c r="H164" s="2"/>
      <c r="I164" s="151" t="s">
        <v>1384</v>
      </c>
      <c r="J164" s="154">
        <f>SUM(J152:J163)</f>
        <v>5279</v>
      </c>
      <c r="K164" s="2"/>
      <c r="L164" s="2"/>
      <c r="M164" s="2"/>
      <c r="N164" s="2"/>
    </row>
    <row r="165">
      <c r="A165" s="146"/>
      <c r="B165" s="5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90" t="s">
        <v>1424</v>
      </c>
      <c r="B166" s="91" t="s">
        <v>1233</v>
      </c>
      <c r="C166" s="92" t="s">
        <v>1321</v>
      </c>
      <c r="D166" s="92" t="s">
        <v>2</v>
      </c>
      <c r="E166" s="92" t="s">
        <v>1322</v>
      </c>
      <c r="F166" s="92" t="s">
        <v>1323</v>
      </c>
      <c r="G166" s="92" t="s">
        <v>1324</v>
      </c>
      <c r="H166" s="93" t="s">
        <v>1325</v>
      </c>
      <c r="I166" s="93" t="s">
        <v>1326</v>
      </c>
      <c r="J166" s="149" t="s">
        <v>1414</v>
      </c>
      <c r="K166" s="2"/>
      <c r="L166" s="2"/>
      <c r="M166" s="2"/>
      <c r="N166" s="2"/>
    </row>
    <row r="167">
      <c r="B167" s="35">
        <v>1.0</v>
      </c>
      <c r="C167" s="157">
        <v>45964.0</v>
      </c>
      <c r="D167" s="35" t="s">
        <v>1464</v>
      </c>
      <c r="E167" s="35" t="s">
        <v>1465</v>
      </c>
      <c r="F167" s="35">
        <v>1431.0</v>
      </c>
      <c r="G167" s="35" t="s">
        <v>1346</v>
      </c>
      <c r="H167" s="35" t="s">
        <v>1466</v>
      </c>
      <c r="I167" s="2"/>
      <c r="J167" s="2"/>
      <c r="K167" s="2"/>
      <c r="L167" s="2"/>
      <c r="M167" s="2"/>
      <c r="N167" s="2"/>
    </row>
    <row r="168">
      <c r="B168" s="1">
        <v>2.0</v>
      </c>
      <c r="C168" s="51">
        <v>45964.0</v>
      </c>
      <c r="D168" s="35" t="s">
        <v>1467</v>
      </c>
      <c r="E168" s="4"/>
      <c r="F168" s="4"/>
      <c r="G168" s="35" t="s">
        <v>1346</v>
      </c>
      <c r="H168" s="2"/>
      <c r="I168" s="35" t="s">
        <v>1468</v>
      </c>
      <c r="J168" s="35">
        <v>450.0</v>
      </c>
      <c r="K168" s="2"/>
      <c r="L168" s="2"/>
      <c r="M168" s="2"/>
      <c r="N168" s="2"/>
    </row>
    <row r="169">
      <c r="B169" s="1">
        <v>3.0</v>
      </c>
      <c r="C169" s="51">
        <v>45965.0</v>
      </c>
      <c r="D169" s="35" t="s">
        <v>1469</v>
      </c>
      <c r="E169" s="35" t="s">
        <v>1256</v>
      </c>
      <c r="F169" s="35">
        <v>719.0</v>
      </c>
      <c r="G169" s="35" t="s">
        <v>1385</v>
      </c>
      <c r="H169" s="35" t="s">
        <v>1466</v>
      </c>
      <c r="I169" s="35" t="s">
        <v>1470</v>
      </c>
      <c r="J169" s="35">
        <v>81.0</v>
      </c>
      <c r="K169" s="2"/>
      <c r="L169" s="2"/>
      <c r="M169" s="2"/>
      <c r="N169" s="2"/>
    </row>
    <row r="170">
      <c r="B170" s="1">
        <v>4.0</v>
      </c>
      <c r="C170" s="51">
        <v>45965.0</v>
      </c>
      <c r="D170" s="35" t="s">
        <v>900</v>
      </c>
      <c r="E170" s="35" t="s">
        <v>1243</v>
      </c>
      <c r="F170" s="35">
        <v>1390.0</v>
      </c>
      <c r="G170" s="35" t="s">
        <v>1385</v>
      </c>
      <c r="H170" s="35" t="s">
        <v>1466</v>
      </c>
      <c r="I170" s="2"/>
      <c r="J170" s="2"/>
      <c r="K170" s="2"/>
      <c r="L170" s="2"/>
      <c r="M170" s="2"/>
      <c r="N170" s="2"/>
    </row>
    <row r="171">
      <c r="B171" s="1">
        <v>5.0</v>
      </c>
      <c r="C171" s="51">
        <v>45968.0</v>
      </c>
      <c r="D171" s="35" t="s">
        <v>1422</v>
      </c>
      <c r="E171" s="35" t="s">
        <v>1423</v>
      </c>
      <c r="F171" s="35">
        <v>1304.0</v>
      </c>
      <c r="G171" s="35" t="s">
        <v>1471</v>
      </c>
      <c r="H171" s="2"/>
      <c r="I171" s="2"/>
      <c r="J171" s="2"/>
      <c r="K171" s="2"/>
      <c r="L171" s="2"/>
      <c r="M171" s="2"/>
      <c r="N171" s="2"/>
    </row>
    <row r="172">
      <c r="B172" s="1">
        <v>6.0</v>
      </c>
      <c r="C172" s="51">
        <v>45969.0</v>
      </c>
      <c r="D172" s="35" t="s">
        <v>1472</v>
      </c>
      <c r="E172" s="35" t="s">
        <v>1426</v>
      </c>
      <c r="F172" s="35">
        <v>699.0</v>
      </c>
      <c r="G172" s="35" t="s">
        <v>1385</v>
      </c>
      <c r="H172" s="2"/>
      <c r="I172" s="2"/>
      <c r="J172" s="2"/>
      <c r="K172" s="2"/>
      <c r="L172" s="2"/>
      <c r="M172" s="2"/>
      <c r="N172" s="2"/>
    </row>
    <row r="173">
      <c r="B173" s="1">
        <v>7.0</v>
      </c>
      <c r="C173" s="51">
        <v>45969.0</v>
      </c>
      <c r="D173" s="35" t="s">
        <v>310</v>
      </c>
      <c r="E173" s="35" t="s">
        <v>1253</v>
      </c>
      <c r="F173" s="35">
        <v>1289.0</v>
      </c>
      <c r="G173" s="35" t="s">
        <v>1385</v>
      </c>
      <c r="H173" s="2"/>
      <c r="I173" s="2"/>
      <c r="J173" s="2"/>
      <c r="K173" s="2"/>
      <c r="L173" s="2"/>
      <c r="M173" s="2"/>
      <c r="N173" s="2"/>
    </row>
    <row r="174">
      <c r="B174" s="1">
        <v>8.0</v>
      </c>
      <c r="C174" s="51">
        <v>45969.0</v>
      </c>
      <c r="D174" s="35" t="s">
        <v>1473</v>
      </c>
      <c r="E174" s="35" t="s">
        <v>1243</v>
      </c>
      <c r="F174" s="35">
        <v>1600.0</v>
      </c>
      <c r="G174" s="35" t="s">
        <v>1373</v>
      </c>
      <c r="H174" s="35" t="s">
        <v>1466</v>
      </c>
      <c r="I174" s="2"/>
      <c r="J174" s="2"/>
      <c r="K174" s="2"/>
      <c r="L174" s="2"/>
      <c r="M174" s="2"/>
      <c r="N174" s="2"/>
    </row>
    <row r="175">
      <c r="B175" s="58"/>
      <c r="C175" s="2"/>
      <c r="D175" s="2"/>
      <c r="E175" s="151" t="s">
        <v>1384</v>
      </c>
      <c r="F175" s="131">
        <f>SUM(F167:F174)</f>
        <v>8432</v>
      </c>
      <c r="G175" s="2"/>
      <c r="H175" s="2"/>
      <c r="I175" s="151" t="s">
        <v>1384</v>
      </c>
      <c r="J175" s="154">
        <f>SUM(J167:J174)</f>
        <v>531</v>
      </c>
      <c r="K175" s="2"/>
      <c r="L175" s="2"/>
      <c r="M175" s="2"/>
      <c r="N175" s="2"/>
    </row>
    <row r="176">
      <c r="B176" s="5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90" t="s">
        <v>1395</v>
      </c>
      <c r="B177" s="91" t="s">
        <v>1233</v>
      </c>
      <c r="C177" s="92" t="s">
        <v>1321</v>
      </c>
      <c r="D177" s="92" t="s">
        <v>2</v>
      </c>
      <c r="E177" s="92" t="s">
        <v>1322</v>
      </c>
      <c r="F177" s="92" t="s">
        <v>1323</v>
      </c>
      <c r="G177" s="92" t="s">
        <v>1324</v>
      </c>
      <c r="H177" s="93" t="s">
        <v>1325</v>
      </c>
      <c r="I177" s="93" t="s">
        <v>1326</v>
      </c>
      <c r="J177" s="149" t="s">
        <v>1414</v>
      </c>
      <c r="K177" s="149" t="s">
        <v>1474</v>
      </c>
      <c r="L177" s="61" t="s">
        <v>1475</v>
      </c>
      <c r="M177" s="149" t="s">
        <v>1414</v>
      </c>
      <c r="N177" s="61" t="s">
        <v>1474</v>
      </c>
      <c r="O177" s="93" t="s">
        <v>1326</v>
      </c>
    </row>
    <row r="178">
      <c r="B178" s="1">
        <v>1.0</v>
      </c>
      <c r="C178" s="51">
        <v>45972.0</v>
      </c>
      <c r="D178" s="35" t="s">
        <v>1476</v>
      </c>
      <c r="E178" s="35" t="s">
        <v>1256</v>
      </c>
      <c r="F178" s="35">
        <v>800.0</v>
      </c>
      <c r="G178" s="35" t="s">
        <v>1373</v>
      </c>
      <c r="H178" s="35" t="s">
        <v>1466</v>
      </c>
      <c r="I178" s="2"/>
      <c r="J178" s="2"/>
      <c r="K178" s="2"/>
      <c r="L178" s="100"/>
      <c r="M178" s="100"/>
      <c r="N178" s="100"/>
      <c r="O178" s="152"/>
    </row>
    <row r="179">
      <c r="B179" s="1">
        <v>2.0</v>
      </c>
      <c r="C179" s="158">
        <v>45973.0</v>
      </c>
      <c r="D179" s="35" t="s">
        <v>384</v>
      </c>
      <c r="E179" s="35" t="s">
        <v>1243</v>
      </c>
      <c r="F179" s="35">
        <v>1548.0</v>
      </c>
      <c r="G179" s="35" t="s">
        <v>1346</v>
      </c>
      <c r="H179" s="35" t="s">
        <v>1466</v>
      </c>
      <c r="I179" s="2"/>
      <c r="J179" s="2"/>
      <c r="K179" s="2"/>
      <c r="L179" s="100"/>
      <c r="M179" s="100"/>
      <c r="N179" s="100"/>
      <c r="O179" s="152"/>
    </row>
    <row r="180">
      <c r="B180" s="1">
        <v>3.0</v>
      </c>
      <c r="C180" s="51">
        <v>45973.0</v>
      </c>
      <c r="D180" s="35" t="s">
        <v>61</v>
      </c>
      <c r="E180" s="35" t="s">
        <v>1256</v>
      </c>
      <c r="F180" s="35">
        <v>800.0</v>
      </c>
      <c r="G180" s="35" t="s">
        <v>1385</v>
      </c>
      <c r="H180" s="35" t="s">
        <v>1466</v>
      </c>
      <c r="I180" s="2"/>
      <c r="J180" s="2"/>
      <c r="K180" s="2"/>
      <c r="L180" s="100"/>
      <c r="M180" s="100"/>
      <c r="N180" s="100"/>
      <c r="O180" s="152"/>
    </row>
    <row r="181">
      <c r="B181" s="1">
        <v>4.0</v>
      </c>
      <c r="C181" s="51">
        <v>45974.0</v>
      </c>
      <c r="D181" s="35" t="s">
        <v>1242</v>
      </c>
      <c r="E181" s="35" t="s">
        <v>1243</v>
      </c>
      <c r="F181" s="35">
        <v>1340.0</v>
      </c>
      <c r="G181" s="35" t="s">
        <v>1346</v>
      </c>
      <c r="H181" s="35" t="s">
        <v>1466</v>
      </c>
      <c r="I181" s="35" t="s">
        <v>1477</v>
      </c>
      <c r="J181" s="35">
        <v>200.0</v>
      </c>
      <c r="K181" s="35" t="s">
        <v>1385</v>
      </c>
      <c r="L181" s="100"/>
      <c r="M181" s="100"/>
      <c r="N181" s="100"/>
      <c r="O181" s="152"/>
    </row>
    <row r="182">
      <c r="B182" s="1">
        <v>5.0</v>
      </c>
      <c r="C182" s="51">
        <v>45975.0</v>
      </c>
      <c r="D182" s="35" t="s">
        <v>1478</v>
      </c>
      <c r="E182" s="35" t="s">
        <v>1479</v>
      </c>
      <c r="F182" s="35">
        <v>1698.0</v>
      </c>
      <c r="G182" s="35" t="s">
        <v>1373</v>
      </c>
      <c r="H182" s="35" t="s">
        <v>1466</v>
      </c>
      <c r="I182" s="2"/>
      <c r="J182" s="2"/>
      <c r="K182" s="2"/>
      <c r="L182" s="100"/>
      <c r="M182" s="100"/>
      <c r="N182" s="100"/>
      <c r="O182" s="152"/>
    </row>
    <row r="183">
      <c r="B183" s="1">
        <v>6.0</v>
      </c>
      <c r="C183" s="51">
        <v>45976.0</v>
      </c>
      <c r="D183" s="35" t="s">
        <v>1480</v>
      </c>
      <c r="E183" s="35" t="s">
        <v>1243</v>
      </c>
      <c r="F183" s="35">
        <v>1390.0</v>
      </c>
      <c r="G183" s="35" t="s">
        <v>1385</v>
      </c>
      <c r="H183" s="35" t="s">
        <v>1466</v>
      </c>
      <c r="I183" s="2"/>
      <c r="J183" s="2"/>
      <c r="K183" s="2"/>
      <c r="L183" s="100"/>
      <c r="M183" s="100"/>
      <c r="N183" s="100"/>
      <c r="O183" s="152"/>
    </row>
    <row r="184">
      <c r="B184" s="1">
        <v>7.0</v>
      </c>
      <c r="C184" s="51">
        <v>45976.0</v>
      </c>
      <c r="D184" s="35" t="s">
        <v>521</v>
      </c>
      <c r="E184" s="4"/>
      <c r="F184" s="4"/>
      <c r="G184" s="4"/>
      <c r="H184" s="36" t="s">
        <v>1466</v>
      </c>
      <c r="I184" s="35" t="s">
        <v>1481</v>
      </c>
      <c r="J184" s="35">
        <v>2298.0</v>
      </c>
      <c r="K184" s="35" t="s">
        <v>1346</v>
      </c>
      <c r="L184" s="100"/>
      <c r="M184" s="100"/>
      <c r="N184" s="100"/>
      <c r="O184" s="152"/>
    </row>
    <row r="185">
      <c r="B185" s="1">
        <v>8.0</v>
      </c>
      <c r="C185" s="51">
        <v>45976.0</v>
      </c>
      <c r="D185" s="35" t="s">
        <v>1482</v>
      </c>
      <c r="E185" s="35" t="s">
        <v>1253</v>
      </c>
      <c r="F185" s="35">
        <v>1289.0</v>
      </c>
      <c r="G185" s="35" t="s">
        <v>1373</v>
      </c>
      <c r="H185" s="35" t="s">
        <v>1466</v>
      </c>
      <c r="I185" s="2"/>
      <c r="J185" s="2"/>
      <c r="K185" s="2"/>
      <c r="L185" s="100"/>
      <c r="M185" s="100"/>
      <c r="N185" s="100"/>
      <c r="O185" s="152"/>
    </row>
    <row r="186">
      <c r="B186" s="1">
        <v>9.0</v>
      </c>
      <c r="C186" s="51">
        <v>45976.0</v>
      </c>
      <c r="D186" s="35" t="s">
        <v>1315</v>
      </c>
      <c r="E186" s="35" t="s">
        <v>1483</v>
      </c>
      <c r="F186" s="35">
        <v>2000.0</v>
      </c>
      <c r="G186" s="35" t="s">
        <v>1385</v>
      </c>
      <c r="H186" s="35" t="s">
        <v>1466</v>
      </c>
      <c r="I186" s="35" t="s">
        <v>1484</v>
      </c>
      <c r="J186" s="2"/>
      <c r="K186" s="2"/>
      <c r="L186" s="100"/>
      <c r="M186" s="100"/>
      <c r="N186" s="100"/>
      <c r="O186" s="152"/>
    </row>
    <row r="187">
      <c r="B187" s="1">
        <v>10.0</v>
      </c>
      <c r="C187" s="51">
        <v>45976.0</v>
      </c>
      <c r="D187" s="35" t="s">
        <v>1485</v>
      </c>
      <c r="E187" s="35" t="s">
        <v>1486</v>
      </c>
      <c r="F187" s="35">
        <v>949.0</v>
      </c>
      <c r="G187" s="35" t="s">
        <v>1346</v>
      </c>
      <c r="H187" s="35" t="s">
        <v>1466</v>
      </c>
      <c r="I187" s="2"/>
      <c r="J187" s="2"/>
      <c r="K187" s="2"/>
      <c r="L187" s="100"/>
      <c r="M187" s="100"/>
      <c r="N187" s="100"/>
      <c r="O187" s="152"/>
    </row>
    <row r="188">
      <c r="B188" s="1">
        <v>11.0</v>
      </c>
      <c r="C188" s="51">
        <v>45976.0</v>
      </c>
      <c r="D188" s="35" t="s">
        <v>1487</v>
      </c>
      <c r="E188" s="35" t="s">
        <v>1243</v>
      </c>
      <c r="F188" s="35">
        <v>1390.0</v>
      </c>
      <c r="G188" s="35" t="s">
        <v>1373</v>
      </c>
      <c r="H188" s="35" t="s">
        <v>1466</v>
      </c>
      <c r="I188" s="2"/>
      <c r="J188" s="2"/>
      <c r="K188" s="2"/>
      <c r="L188" s="100"/>
      <c r="M188" s="100"/>
      <c r="N188" s="100"/>
      <c r="O188" s="152"/>
    </row>
    <row r="189">
      <c r="B189" s="1">
        <v>12.0</v>
      </c>
      <c r="C189" s="51">
        <v>45977.0</v>
      </c>
      <c r="D189" s="35" t="s">
        <v>1488</v>
      </c>
      <c r="E189" s="35" t="s">
        <v>1256</v>
      </c>
      <c r="F189" s="35">
        <v>800.0</v>
      </c>
      <c r="G189" s="35" t="s">
        <v>1385</v>
      </c>
      <c r="H189" s="35" t="s">
        <v>1466</v>
      </c>
      <c r="I189" s="2"/>
      <c r="J189" s="2"/>
      <c r="K189" s="2"/>
      <c r="L189" s="100"/>
      <c r="M189" s="100"/>
      <c r="N189" s="100"/>
      <c r="O189" s="152"/>
    </row>
    <row r="190">
      <c r="B190" s="1">
        <v>13.0</v>
      </c>
      <c r="C190" s="51">
        <v>45977.0</v>
      </c>
      <c r="D190" s="35" t="s">
        <v>1489</v>
      </c>
      <c r="E190" s="35" t="s">
        <v>1256</v>
      </c>
      <c r="F190" s="35">
        <v>800.0</v>
      </c>
      <c r="G190" s="35" t="s">
        <v>1385</v>
      </c>
      <c r="H190" s="35" t="s">
        <v>1466</v>
      </c>
      <c r="I190" s="2"/>
      <c r="J190" s="2"/>
      <c r="K190" s="2"/>
      <c r="L190" s="100"/>
      <c r="M190" s="100"/>
      <c r="N190" s="100"/>
      <c r="O190" s="152"/>
    </row>
    <row r="191">
      <c r="B191" s="1">
        <v>14.0</v>
      </c>
      <c r="C191" s="51">
        <v>45977.0</v>
      </c>
      <c r="D191" s="35" t="s">
        <v>324</v>
      </c>
      <c r="E191" s="35" t="s">
        <v>1490</v>
      </c>
      <c r="F191" s="35">
        <v>1200.0</v>
      </c>
      <c r="G191" s="35" t="s">
        <v>1447</v>
      </c>
      <c r="H191" s="35" t="s">
        <v>1466</v>
      </c>
      <c r="I191" s="35" t="s">
        <v>1491</v>
      </c>
      <c r="J191" s="35">
        <v>300.0</v>
      </c>
      <c r="K191" s="35" t="s">
        <v>1447</v>
      </c>
      <c r="L191" s="100"/>
      <c r="M191" s="100"/>
      <c r="N191" s="100"/>
      <c r="O191" s="152"/>
    </row>
    <row r="192">
      <c r="B192" s="1">
        <v>15.0</v>
      </c>
      <c r="C192" s="51">
        <v>45977.0</v>
      </c>
      <c r="D192" s="35" t="s">
        <v>1492</v>
      </c>
      <c r="E192" s="35" t="s">
        <v>1253</v>
      </c>
      <c r="F192" s="35">
        <v>1289.0</v>
      </c>
      <c r="G192" s="35" t="s">
        <v>1373</v>
      </c>
      <c r="H192" s="35" t="s">
        <v>1466</v>
      </c>
      <c r="I192" s="2"/>
      <c r="J192" s="2"/>
      <c r="K192" s="2"/>
      <c r="L192" s="100"/>
      <c r="M192" s="100"/>
      <c r="N192" s="100"/>
      <c r="O192" s="152"/>
    </row>
    <row r="193">
      <c r="B193" s="1">
        <v>16.0</v>
      </c>
      <c r="C193" s="51">
        <v>45977.0</v>
      </c>
      <c r="D193" s="35" t="s">
        <v>864</v>
      </c>
      <c r="E193" s="35" t="s">
        <v>1256</v>
      </c>
      <c r="F193" s="35">
        <v>800.0</v>
      </c>
      <c r="G193" s="35" t="s">
        <v>1385</v>
      </c>
      <c r="H193" s="35" t="s">
        <v>1466</v>
      </c>
      <c r="I193" s="2"/>
      <c r="J193" s="2"/>
      <c r="K193" s="2"/>
      <c r="L193" s="100"/>
      <c r="M193" s="100"/>
      <c r="N193" s="100"/>
      <c r="O193" s="152"/>
    </row>
    <row r="194">
      <c r="B194" s="1"/>
      <c r="C194" s="51"/>
      <c r="D194" s="2"/>
      <c r="E194" s="151" t="s">
        <v>1384</v>
      </c>
      <c r="F194" s="131">
        <f>SUM(F178:F193)</f>
        <v>18093</v>
      </c>
      <c r="G194" s="2"/>
      <c r="H194" s="2"/>
      <c r="I194" s="151" t="s">
        <v>1384</v>
      </c>
      <c r="J194" s="131">
        <f>SUM(J178:J193)</f>
        <v>2798</v>
      </c>
      <c r="K194" s="2"/>
      <c r="L194" s="141" t="s">
        <v>1384</v>
      </c>
      <c r="M194" s="100"/>
      <c r="N194" s="100"/>
      <c r="O194" s="152"/>
    </row>
    <row r="195">
      <c r="A195" s="146"/>
      <c r="B195" s="159"/>
      <c r="C195" s="159"/>
      <c r="D195" s="159"/>
      <c r="E195" s="159"/>
      <c r="F195" s="159"/>
      <c r="G195" s="159"/>
      <c r="H195" s="160"/>
      <c r="I195" s="160"/>
      <c r="J195" s="38"/>
      <c r="K195" s="38"/>
      <c r="L195" s="160"/>
      <c r="M195" s="38"/>
      <c r="N195" s="160"/>
      <c r="O195" s="160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</row>
    <row r="196">
      <c r="A196" s="90"/>
      <c r="B196" s="91" t="s">
        <v>1233</v>
      </c>
      <c r="C196" s="92" t="s">
        <v>1321</v>
      </c>
      <c r="D196" s="92" t="s">
        <v>2</v>
      </c>
      <c r="E196" s="92" t="s">
        <v>1322</v>
      </c>
      <c r="F196" s="92" t="s">
        <v>1323</v>
      </c>
      <c r="G196" s="92" t="s">
        <v>1324</v>
      </c>
      <c r="H196" s="93" t="s">
        <v>1325</v>
      </c>
      <c r="I196" s="93" t="s">
        <v>1326</v>
      </c>
      <c r="J196" s="149" t="s">
        <v>1414</v>
      </c>
      <c r="K196" s="149" t="s">
        <v>1474</v>
      </c>
      <c r="L196" s="93" t="s">
        <v>1475</v>
      </c>
      <c r="M196" s="161" t="s">
        <v>1414</v>
      </c>
      <c r="N196" s="93" t="s">
        <v>1474</v>
      </c>
      <c r="O196" s="93" t="s">
        <v>1326</v>
      </c>
    </row>
    <row r="197">
      <c r="A197" s="90" t="s">
        <v>1401</v>
      </c>
      <c r="B197" s="1">
        <v>1.0</v>
      </c>
      <c r="C197" s="51">
        <v>45978.0</v>
      </c>
      <c r="D197" s="35" t="s">
        <v>1493</v>
      </c>
      <c r="E197" s="35" t="s">
        <v>1256</v>
      </c>
      <c r="F197" s="35">
        <v>800.0</v>
      </c>
      <c r="G197" s="35" t="s">
        <v>1385</v>
      </c>
      <c r="H197" s="2"/>
      <c r="I197" s="2"/>
      <c r="J197" s="2"/>
      <c r="K197" s="2"/>
      <c r="L197" s="100"/>
      <c r="M197" s="100"/>
      <c r="N197" s="100"/>
      <c r="O197" s="152"/>
    </row>
    <row r="198">
      <c r="B198" s="1">
        <v>2.0</v>
      </c>
      <c r="C198" s="51">
        <v>45978.0</v>
      </c>
      <c r="D198" s="35" t="s">
        <v>1494</v>
      </c>
      <c r="E198" s="35" t="s">
        <v>1253</v>
      </c>
      <c r="F198" s="35">
        <v>1289.0</v>
      </c>
      <c r="G198" s="35" t="s">
        <v>1373</v>
      </c>
      <c r="H198" s="2"/>
      <c r="I198" s="2"/>
      <c r="J198" s="2"/>
      <c r="K198" s="2"/>
      <c r="L198" s="100"/>
      <c r="M198" s="100"/>
      <c r="N198" s="100"/>
      <c r="O198" s="152"/>
    </row>
    <row r="199">
      <c r="B199" s="1">
        <v>3.0</v>
      </c>
      <c r="C199" s="51">
        <v>45978.0</v>
      </c>
      <c r="D199" s="35" t="s">
        <v>1430</v>
      </c>
      <c r="E199" s="35" t="s">
        <v>1256</v>
      </c>
      <c r="F199" s="35">
        <v>800.0</v>
      </c>
      <c r="G199" s="48" t="s">
        <v>1385</v>
      </c>
      <c r="H199" s="2"/>
      <c r="I199" s="2"/>
      <c r="J199" s="2"/>
      <c r="K199" s="2"/>
      <c r="L199" s="100"/>
      <c r="M199" s="100"/>
      <c r="N199" s="100"/>
      <c r="O199" s="152"/>
    </row>
    <row r="200">
      <c r="B200" s="1">
        <v>4.0</v>
      </c>
      <c r="C200" s="51">
        <v>45978.0</v>
      </c>
      <c r="D200" s="35" t="s">
        <v>1437</v>
      </c>
      <c r="E200" s="35" t="s">
        <v>1243</v>
      </c>
      <c r="F200" s="35">
        <v>1340.0</v>
      </c>
      <c r="H200" s="2"/>
      <c r="I200" s="2"/>
      <c r="J200" s="2"/>
      <c r="K200" s="2"/>
      <c r="L200" s="100"/>
      <c r="M200" s="100"/>
      <c r="N200" s="100"/>
      <c r="O200" s="152"/>
    </row>
    <row r="201">
      <c r="B201" s="1">
        <v>5.0</v>
      </c>
      <c r="C201" s="51">
        <v>45978.0</v>
      </c>
      <c r="D201" s="35" t="s">
        <v>292</v>
      </c>
      <c r="E201" s="35" t="s">
        <v>1243</v>
      </c>
      <c r="F201" s="35">
        <v>1589.0</v>
      </c>
      <c r="G201" s="35" t="s">
        <v>1346</v>
      </c>
      <c r="H201" s="2"/>
      <c r="I201" s="2"/>
      <c r="J201" s="2"/>
      <c r="K201" s="2"/>
      <c r="L201" s="100"/>
      <c r="M201" s="100"/>
      <c r="N201" s="100"/>
      <c r="O201" s="152"/>
    </row>
    <row r="202">
      <c r="B202" s="1">
        <v>6.0</v>
      </c>
      <c r="C202" s="51">
        <v>45979.0</v>
      </c>
      <c r="D202" s="35" t="s">
        <v>1495</v>
      </c>
      <c r="E202" s="35" t="s">
        <v>1256</v>
      </c>
      <c r="F202" s="35">
        <v>800.0</v>
      </c>
      <c r="G202" s="35" t="s">
        <v>1385</v>
      </c>
      <c r="H202" s="2"/>
      <c r="I202" s="2"/>
      <c r="J202" s="2"/>
      <c r="K202" s="2"/>
      <c r="L202" s="100"/>
      <c r="M202" s="100"/>
      <c r="N202" s="100"/>
      <c r="O202" s="152"/>
    </row>
    <row r="203">
      <c r="B203" s="1">
        <v>7.0</v>
      </c>
      <c r="C203" s="51">
        <v>45979.0</v>
      </c>
      <c r="D203" s="35" t="s">
        <v>1496</v>
      </c>
      <c r="E203" s="35" t="s">
        <v>1490</v>
      </c>
      <c r="F203" s="35">
        <v>1189.0</v>
      </c>
      <c r="G203" s="35" t="s">
        <v>1373</v>
      </c>
      <c r="H203" s="2"/>
      <c r="I203" s="2"/>
      <c r="J203" s="2"/>
      <c r="K203" s="2"/>
      <c r="L203" s="152"/>
      <c r="M203" s="152"/>
      <c r="N203" s="100"/>
      <c r="O203" s="152"/>
    </row>
    <row r="204">
      <c r="B204" s="1">
        <v>8.0</v>
      </c>
      <c r="C204" s="51">
        <v>45980.0</v>
      </c>
      <c r="D204" s="35" t="s">
        <v>1497</v>
      </c>
      <c r="E204" s="4"/>
      <c r="F204" s="4"/>
      <c r="G204" s="4"/>
      <c r="H204" s="4"/>
      <c r="I204" s="79"/>
      <c r="J204" s="79"/>
      <c r="K204" s="4"/>
      <c r="L204" s="99" t="s">
        <v>1498</v>
      </c>
      <c r="M204" s="99">
        <v>1200.0</v>
      </c>
      <c r="N204" s="99" t="s">
        <v>1385</v>
      </c>
      <c r="O204" s="99" t="s">
        <v>1499</v>
      </c>
    </row>
    <row r="205">
      <c r="B205" s="1">
        <v>9.0</v>
      </c>
      <c r="C205" s="51">
        <v>45980.0</v>
      </c>
      <c r="D205" s="35" t="s">
        <v>1500</v>
      </c>
      <c r="E205" s="4"/>
      <c r="F205" s="4"/>
      <c r="G205" s="4"/>
      <c r="H205" s="4"/>
      <c r="I205" s="4"/>
      <c r="J205" s="4"/>
      <c r="K205" s="4"/>
      <c r="L205" s="99" t="s">
        <v>1498</v>
      </c>
      <c r="M205" s="99">
        <v>1200.0</v>
      </c>
      <c r="N205" s="99" t="s">
        <v>1385</v>
      </c>
      <c r="O205" s="99" t="s">
        <v>1499</v>
      </c>
    </row>
    <row r="206">
      <c r="B206" s="1">
        <v>10.0</v>
      </c>
      <c r="C206" s="51">
        <v>45980.0</v>
      </c>
      <c r="D206" s="35" t="s">
        <v>369</v>
      </c>
      <c r="E206" s="4"/>
      <c r="F206" s="4"/>
      <c r="G206" s="4"/>
      <c r="H206" s="4"/>
      <c r="I206" s="4"/>
      <c r="J206" s="4"/>
      <c r="K206" s="4"/>
      <c r="L206" s="99" t="s">
        <v>1498</v>
      </c>
      <c r="M206" s="99">
        <v>1200.0</v>
      </c>
      <c r="N206" s="99" t="s">
        <v>1385</v>
      </c>
      <c r="O206" s="99" t="s">
        <v>1499</v>
      </c>
    </row>
    <row r="207">
      <c r="B207" s="1">
        <v>11.0</v>
      </c>
      <c r="C207" s="51">
        <v>45981.0</v>
      </c>
      <c r="D207" s="35" t="s">
        <v>384</v>
      </c>
      <c r="E207" s="35" t="s">
        <v>1256</v>
      </c>
      <c r="F207" s="35">
        <v>800.0</v>
      </c>
      <c r="G207" s="35" t="s">
        <v>1346</v>
      </c>
      <c r="H207" s="2"/>
      <c r="I207" s="2"/>
      <c r="J207" s="2"/>
      <c r="K207" s="2"/>
      <c r="L207" s="100"/>
      <c r="M207" s="100"/>
      <c r="N207" s="100"/>
      <c r="O207" s="152"/>
    </row>
    <row r="208">
      <c r="B208" s="1">
        <v>12.0</v>
      </c>
      <c r="C208" s="51">
        <v>45981.0</v>
      </c>
      <c r="D208" s="35" t="s">
        <v>1501</v>
      </c>
      <c r="E208" s="35" t="s">
        <v>1243</v>
      </c>
      <c r="F208" s="35">
        <v>1393.0</v>
      </c>
      <c r="G208" s="48" t="s">
        <v>1385</v>
      </c>
      <c r="H208" s="2"/>
      <c r="I208" s="35" t="s">
        <v>1502</v>
      </c>
      <c r="J208" s="35">
        <v>200.0</v>
      </c>
      <c r="K208" s="35" t="s">
        <v>1385</v>
      </c>
      <c r="L208" s="100"/>
      <c r="M208" s="100"/>
      <c r="N208" s="100"/>
      <c r="O208" s="152"/>
    </row>
    <row r="209">
      <c r="B209" s="1">
        <v>13.0</v>
      </c>
      <c r="C209" s="51">
        <v>45981.0</v>
      </c>
      <c r="D209" s="35" t="s">
        <v>1503</v>
      </c>
      <c r="E209" s="35" t="s">
        <v>1256</v>
      </c>
      <c r="F209" s="35">
        <v>719.0</v>
      </c>
      <c r="H209" s="2"/>
      <c r="I209" s="2"/>
      <c r="J209" s="2"/>
      <c r="K209" s="2"/>
      <c r="L209" s="100"/>
      <c r="M209" s="100"/>
      <c r="N209" s="100"/>
      <c r="O209" s="152"/>
    </row>
    <row r="210">
      <c r="B210" s="1">
        <v>14.0</v>
      </c>
      <c r="C210" s="51">
        <v>45981.0</v>
      </c>
      <c r="D210" s="35" t="s">
        <v>392</v>
      </c>
      <c r="E210" s="35" t="s">
        <v>1243</v>
      </c>
      <c r="F210" s="35">
        <v>1548.0</v>
      </c>
      <c r="G210" s="35" t="s">
        <v>1385</v>
      </c>
      <c r="H210" s="2"/>
      <c r="I210" s="2"/>
      <c r="J210" s="2"/>
      <c r="K210" s="2"/>
      <c r="L210" s="100"/>
      <c r="M210" s="100"/>
      <c r="N210" s="100"/>
      <c r="O210" s="152"/>
    </row>
    <row r="211">
      <c r="B211" s="1">
        <v>15.0</v>
      </c>
      <c r="C211" s="51">
        <v>45984.0</v>
      </c>
      <c r="D211" s="35" t="s">
        <v>1408</v>
      </c>
      <c r="E211" s="35" t="s">
        <v>1243</v>
      </c>
      <c r="F211" s="35">
        <v>1548.0</v>
      </c>
      <c r="G211" s="35" t="s">
        <v>1385</v>
      </c>
      <c r="H211" s="2"/>
      <c r="I211" s="2"/>
      <c r="J211" s="2"/>
      <c r="K211" s="2"/>
      <c r="L211" s="100"/>
      <c r="M211" s="100"/>
      <c r="N211" s="100"/>
      <c r="O211" s="152"/>
    </row>
    <row r="212">
      <c r="B212" s="1">
        <v>16.0</v>
      </c>
      <c r="C212" s="51">
        <v>45984.0</v>
      </c>
      <c r="D212" s="35" t="s">
        <v>1504</v>
      </c>
      <c r="E212" s="35" t="s">
        <v>1426</v>
      </c>
      <c r="F212" s="35">
        <v>699.0</v>
      </c>
      <c r="G212" s="35" t="s">
        <v>1346</v>
      </c>
      <c r="H212" s="2"/>
      <c r="I212" s="35" t="s">
        <v>1505</v>
      </c>
      <c r="J212" s="35">
        <v>500.0</v>
      </c>
      <c r="K212" s="2"/>
      <c r="L212" s="100"/>
      <c r="M212" s="100"/>
      <c r="N212" s="100"/>
      <c r="O212" s="152"/>
    </row>
    <row r="213">
      <c r="B213" s="1">
        <v>17.0</v>
      </c>
      <c r="C213" s="51">
        <v>45984.0</v>
      </c>
      <c r="D213" s="35" t="s">
        <v>1506</v>
      </c>
      <c r="E213" s="35" t="s">
        <v>1256</v>
      </c>
      <c r="F213" s="35">
        <v>799.0</v>
      </c>
      <c r="G213" s="35" t="s">
        <v>1346</v>
      </c>
      <c r="H213" s="2"/>
      <c r="I213" s="2"/>
      <c r="J213" s="2"/>
      <c r="K213" s="2"/>
      <c r="L213" s="100"/>
      <c r="M213" s="100"/>
      <c r="N213" s="100"/>
      <c r="O213" s="152"/>
    </row>
    <row r="214">
      <c r="B214" s="1">
        <v>18.0</v>
      </c>
      <c r="C214" s="51">
        <v>45984.0</v>
      </c>
      <c r="D214" s="35" t="s">
        <v>1507</v>
      </c>
      <c r="E214" s="4"/>
      <c r="F214" s="4"/>
      <c r="G214" s="4"/>
      <c r="H214" s="4"/>
      <c r="I214" s="4"/>
      <c r="J214" s="4"/>
      <c r="K214" s="4"/>
      <c r="L214" s="99" t="s">
        <v>1508</v>
      </c>
      <c r="M214" s="99">
        <v>2450.0</v>
      </c>
      <c r="N214" s="100"/>
      <c r="O214" s="152"/>
    </row>
    <row r="215">
      <c r="B215" s="1">
        <v>19.0</v>
      </c>
      <c r="C215" s="51">
        <v>45984.0</v>
      </c>
      <c r="D215" s="35" t="s">
        <v>143</v>
      </c>
      <c r="E215" s="35" t="s">
        <v>1256</v>
      </c>
      <c r="F215" s="35">
        <v>799.0</v>
      </c>
      <c r="G215" s="2"/>
      <c r="H215" s="2"/>
      <c r="I215" s="2"/>
      <c r="J215" s="2"/>
      <c r="K215" s="2"/>
      <c r="L215" s="100"/>
      <c r="M215" s="100"/>
      <c r="N215" s="100"/>
      <c r="O215" s="152"/>
    </row>
    <row r="216">
      <c r="B216" s="58"/>
      <c r="C216" s="2"/>
      <c r="D216" s="2"/>
      <c r="E216" s="130" t="s">
        <v>1337</v>
      </c>
      <c r="F216" s="154">
        <f>SUM(F197:F215)</f>
        <v>16112</v>
      </c>
      <c r="G216" s="2"/>
      <c r="H216" s="2"/>
      <c r="I216" s="130" t="s">
        <v>1337</v>
      </c>
      <c r="J216" s="154">
        <f>SUM(J197:J215)</f>
        <v>700</v>
      </c>
      <c r="K216" s="2"/>
      <c r="L216" s="128" t="s">
        <v>1337</v>
      </c>
      <c r="M216" s="162">
        <f>SUM(M204:M214)</f>
        <v>6050</v>
      </c>
      <c r="N216" s="100"/>
      <c r="O216" s="152"/>
    </row>
    <row r="217">
      <c r="B217" s="5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90" t="s">
        <v>1509</v>
      </c>
      <c r="B218" s="91" t="s">
        <v>1233</v>
      </c>
      <c r="C218" s="92" t="s">
        <v>1321</v>
      </c>
      <c r="D218" s="92" t="s">
        <v>2</v>
      </c>
      <c r="E218" s="92" t="s">
        <v>1322</v>
      </c>
      <c r="F218" s="92" t="s">
        <v>1323</v>
      </c>
      <c r="G218" s="92" t="s">
        <v>1324</v>
      </c>
      <c r="H218" s="93" t="s">
        <v>1325</v>
      </c>
      <c r="I218" s="93" t="s">
        <v>1326</v>
      </c>
      <c r="J218" s="61" t="s">
        <v>1414</v>
      </c>
      <c r="K218" s="61" t="s">
        <v>1474</v>
      </c>
      <c r="L218" s="61" t="s">
        <v>1475</v>
      </c>
      <c r="M218" s="149" t="s">
        <v>1414</v>
      </c>
      <c r="N218" s="61" t="s">
        <v>1474</v>
      </c>
      <c r="O218" s="93" t="s">
        <v>1326</v>
      </c>
    </row>
    <row r="219">
      <c r="B219" s="1">
        <v>1.0</v>
      </c>
      <c r="C219" s="51">
        <v>45985.0</v>
      </c>
      <c r="D219" s="35" t="s">
        <v>1510</v>
      </c>
      <c r="E219" s="35" t="s">
        <v>1426</v>
      </c>
      <c r="F219" s="35">
        <v>699.0</v>
      </c>
      <c r="G219" s="35" t="s">
        <v>1346</v>
      </c>
      <c r="H219" s="35" t="s">
        <v>1466</v>
      </c>
      <c r="I219" s="35" t="s">
        <v>1511</v>
      </c>
      <c r="J219" s="35">
        <v>1301.0</v>
      </c>
      <c r="K219" s="35" t="s">
        <v>1346</v>
      </c>
      <c r="L219" s="99" t="s">
        <v>1512</v>
      </c>
      <c r="M219" s="99">
        <v>1200.0</v>
      </c>
      <c r="N219" s="99" t="s">
        <v>1346</v>
      </c>
      <c r="O219" s="99" t="s">
        <v>1513</v>
      </c>
    </row>
    <row r="220">
      <c r="B220" s="1">
        <v>2.0</v>
      </c>
      <c r="C220" s="51">
        <v>45987.0</v>
      </c>
      <c r="D220" s="35" t="s">
        <v>36</v>
      </c>
      <c r="E220" s="35" t="s">
        <v>1514</v>
      </c>
      <c r="F220" s="35">
        <v>1600.0</v>
      </c>
      <c r="G220" s="35" t="s">
        <v>1385</v>
      </c>
      <c r="H220" s="2"/>
      <c r="I220" s="2"/>
      <c r="J220" s="2"/>
      <c r="K220" s="2"/>
      <c r="L220" s="100"/>
      <c r="M220" s="100"/>
      <c r="N220" s="100"/>
      <c r="O220" s="152"/>
    </row>
    <row r="221">
      <c r="B221" s="1">
        <v>3.0</v>
      </c>
      <c r="C221" s="51">
        <v>45988.0</v>
      </c>
      <c r="D221" s="35" t="s">
        <v>1446</v>
      </c>
      <c r="E221" s="35" t="s">
        <v>1256</v>
      </c>
      <c r="F221" s="35">
        <v>719.0</v>
      </c>
      <c r="G221" s="35" t="s">
        <v>1385</v>
      </c>
      <c r="H221" s="2"/>
      <c r="I221" s="2"/>
      <c r="J221" s="2"/>
      <c r="K221" s="2"/>
      <c r="L221" s="100"/>
      <c r="M221" s="100"/>
      <c r="N221" s="100"/>
      <c r="O221" s="152"/>
    </row>
    <row r="222">
      <c r="B222" s="1">
        <v>4.0</v>
      </c>
      <c r="C222" s="51">
        <v>45989.0</v>
      </c>
      <c r="D222" s="35" t="s">
        <v>1515</v>
      </c>
      <c r="E222" s="35" t="s">
        <v>1256</v>
      </c>
      <c r="F222" s="35">
        <v>800.0</v>
      </c>
      <c r="G222" s="35" t="s">
        <v>1385</v>
      </c>
      <c r="H222" s="2"/>
      <c r="I222" s="2"/>
      <c r="J222" s="2"/>
      <c r="K222" s="2"/>
      <c r="L222" s="100"/>
      <c r="M222" s="100"/>
      <c r="N222" s="100"/>
      <c r="O222" s="152"/>
    </row>
    <row r="223">
      <c r="B223" s="1">
        <v>5.0</v>
      </c>
      <c r="C223" s="51">
        <v>45989.0</v>
      </c>
      <c r="D223" s="35" t="s">
        <v>1516</v>
      </c>
      <c r="E223" s="35" t="s">
        <v>1256</v>
      </c>
      <c r="F223" s="35">
        <v>700.0</v>
      </c>
      <c r="G223" s="48" t="s">
        <v>1346</v>
      </c>
      <c r="H223" s="2"/>
      <c r="I223" s="2"/>
      <c r="J223" s="2"/>
      <c r="K223" s="2"/>
      <c r="L223" s="100"/>
      <c r="M223" s="100"/>
      <c r="N223" s="100"/>
      <c r="O223" s="152"/>
    </row>
    <row r="224">
      <c r="B224" s="1">
        <v>6.0</v>
      </c>
      <c r="C224" s="51">
        <v>45989.0</v>
      </c>
      <c r="D224" s="35" t="s">
        <v>849</v>
      </c>
      <c r="E224" s="35" t="s">
        <v>1256</v>
      </c>
      <c r="F224" s="35">
        <v>700.0</v>
      </c>
      <c r="H224" s="2"/>
      <c r="I224" s="2"/>
      <c r="J224" s="2"/>
      <c r="K224" s="2"/>
      <c r="L224" s="100"/>
      <c r="M224" s="100"/>
      <c r="N224" s="100"/>
      <c r="O224" s="152"/>
    </row>
    <row r="225">
      <c r="B225" s="1">
        <v>7.0</v>
      </c>
      <c r="C225" s="51">
        <v>45989.0</v>
      </c>
      <c r="D225" s="35" t="s">
        <v>384</v>
      </c>
      <c r="E225" s="35" t="s">
        <v>1256</v>
      </c>
      <c r="F225" s="35">
        <v>800.0</v>
      </c>
      <c r="G225" s="48" t="s">
        <v>1346</v>
      </c>
      <c r="H225" s="2"/>
      <c r="I225" s="2"/>
      <c r="J225" s="2"/>
      <c r="K225" s="2"/>
      <c r="L225" s="100"/>
      <c r="M225" s="100"/>
      <c r="N225" s="100"/>
      <c r="O225" s="152"/>
    </row>
    <row r="226">
      <c r="B226" s="1">
        <v>8.0</v>
      </c>
      <c r="C226" s="51">
        <v>45989.0</v>
      </c>
      <c r="D226" s="35" t="s">
        <v>1473</v>
      </c>
      <c r="E226" s="79"/>
      <c r="F226" s="79"/>
      <c r="G226" s="145"/>
      <c r="H226" s="4"/>
      <c r="I226" s="35" t="s">
        <v>1517</v>
      </c>
      <c r="J226" s="35">
        <v>945.0</v>
      </c>
      <c r="K226" s="35" t="s">
        <v>1346</v>
      </c>
      <c r="L226" s="100"/>
      <c r="M226" s="100"/>
      <c r="N226" s="100"/>
      <c r="O226" s="152"/>
    </row>
    <row r="227">
      <c r="B227" s="1">
        <v>9.0</v>
      </c>
      <c r="C227" s="51">
        <v>45990.0</v>
      </c>
      <c r="D227" s="35" t="s">
        <v>358</v>
      </c>
      <c r="E227" s="35" t="s">
        <v>1253</v>
      </c>
      <c r="F227" s="35">
        <v>1289.0</v>
      </c>
      <c r="G227" s="48"/>
      <c r="H227" s="2"/>
      <c r="I227" s="2"/>
      <c r="J227" s="2"/>
      <c r="K227" s="2"/>
      <c r="L227" s="100"/>
      <c r="M227" s="100"/>
      <c r="N227" s="100"/>
      <c r="O227" s="152"/>
    </row>
    <row r="228">
      <c r="B228" s="1">
        <v>10.0</v>
      </c>
      <c r="C228" s="51">
        <v>45990.0</v>
      </c>
      <c r="D228" s="35" t="s">
        <v>1518</v>
      </c>
      <c r="E228" s="35" t="s">
        <v>1519</v>
      </c>
      <c r="F228" s="35">
        <v>799.0</v>
      </c>
      <c r="G228" s="2"/>
      <c r="H228" s="2"/>
      <c r="I228" s="2"/>
      <c r="J228" s="2"/>
      <c r="K228" s="2"/>
      <c r="L228" s="100"/>
      <c r="M228" s="100"/>
      <c r="N228" s="100"/>
      <c r="O228" s="152"/>
    </row>
    <row r="229">
      <c r="B229" s="1">
        <v>11.0</v>
      </c>
      <c r="C229" s="51">
        <v>45990.0</v>
      </c>
      <c r="D229" s="35" t="s">
        <v>1473</v>
      </c>
      <c r="E229" s="35" t="s">
        <v>1256</v>
      </c>
      <c r="F229" s="130">
        <v>800.0</v>
      </c>
      <c r="G229" s="35" t="s">
        <v>1373</v>
      </c>
      <c r="H229" s="2"/>
      <c r="I229" s="130"/>
      <c r="J229" s="154"/>
      <c r="K229" s="2"/>
      <c r="L229" s="128"/>
      <c r="M229" s="162"/>
      <c r="N229" s="100"/>
      <c r="O229" s="152"/>
    </row>
    <row r="230">
      <c r="B230" s="1">
        <v>12.0</v>
      </c>
      <c r="C230" s="51">
        <v>45991.0</v>
      </c>
      <c r="D230" s="35" t="s">
        <v>1520</v>
      </c>
      <c r="E230" s="35" t="s">
        <v>1256</v>
      </c>
      <c r="F230" s="130">
        <v>800.0</v>
      </c>
      <c r="G230" s="35" t="s">
        <v>1521</v>
      </c>
      <c r="H230" s="2"/>
      <c r="I230" s="130"/>
      <c r="J230" s="154"/>
      <c r="K230" s="2"/>
      <c r="L230" s="128"/>
      <c r="M230" s="162"/>
      <c r="N230" s="100"/>
      <c r="O230" s="152"/>
    </row>
    <row r="231">
      <c r="B231" s="1">
        <v>13.0</v>
      </c>
      <c r="C231" s="51">
        <v>45991.0</v>
      </c>
      <c r="D231" s="35" t="s">
        <v>1522</v>
      </c>
      <c r="E231" s="35" t="s">
        <v>1256</v>
      </c>
      <c r="F231" s="130">
        <v>800.0</v>
      </c>
      <c r="G231" s="35" t="s">
        <v>1521</v>
      </c>
      <c r="H231" s="2"/>
      <c r="I231" s="130"/>
      <c r="J231" s="154"/>
      <c r="K231" s="2"/>
      <c r="L231" s="128"/>
      <c r="M231" s="162"/>
      <c r="N231" s="100"/>
      <c r="O231" s="152"/>
    </row>
    <row r="232">
      <c r="B232" s="1">
        <v>14.0</v>
      </c>
      <c r="C232" s="51">
        <v>45991.0</v>
      </c>
      <c r="D232" s="35" t="s">
        <v>880</v>
      </c>
      <c r="E232" s="35" t="s">
        <v>1243</v>
      </c>
      <c r="F232" s="130">
        <v>1550.0</v>
      </c>
      <c r="G232" s="35" t="s">
        <v>1373</v>
      </c>
      <c r="H232" s="2"/>
      <c r="I232" s="130"/>
      <c r="J232" s="154"/>
      <c r="K232" s="2"/>
      <c r="L232" s="128"/>
      <c r="M232" s="162"/>
      <c r="N232" s="100"/>
      <c r="O232" s="152"/>
    </row>
    <row r="233">
      <c r="B233" s="1">
        <v>15.0</v>
      </c>
      <c r="C233" s="51">
        <v>45991.0</v>
      </c>
      <c r="D233" s="35" t="s">
        <v>1523</v>
      </c>
      <c r="E233" s="35" t="s">
        <v>1256</v>
      </c>
      <c r="F233" s="147"/>
      <c r="G233" s="2"/>
      <c r="H233" s="2"/>
      <c r="I233" s="130"/>
      <c r="J233" s="154"/>
      <c r="K233" s="2"/>
      <c r="L233" s="128"/>
      <c r="M233" s="162"/>
      <c r="N233" s="100"/>
      <c r="O233" s="152"/>
    </row>
    <row r="234">
      <c r="B234" s="1">
        <v>16.0</v>
      </c>
      <c r="C234" s="51">
        <v>45991.0</v>
      </c>
      <c r="D234" s="35" t="s">
        <v>1524</v>
      </c>
      <c r="E234" s="35" t="s">
        <v>1256</v>
      </c>
      <c r="F234" s="130">
        <v>800.0</v>
      </c>
      <c r="G234" s="35" t="s">
        <v>1373</v>
      </c>
      <c r="H234" s="2"/>
      <c r="I234" s="130"/>
      <c r="J234" s="154"/>
      <c r="K234" s="2"/>
      <c r="L234" s="128"/>
      <c r="M234" s="162"/>
      <c r="N234" s="100"/>
      <c r="O234" s="152"/>
    </row>
    <row r="235">
      <c r="B235" s="1">
        <v>17.0</v>
      </c>
      <c r="C235" s="51">
        <v>45991.0</v>
      </c>
      <c r="D235" s="35" t="s">
        <v>1525</v>
      </c>
      <c r="E235" s="35" t="s">
        <v>1426</v>
      </c>
      <c r="F235" s="130">
        <v>699.0</v>
      </c>
      <c r="G235" s="35" t="s">
        <v>1373</v>
      </c>
      <c r="H235" s="2"/>
      <c r="I235" s="130" t="s">
        <v>1526</v>
      </c>
      <c r="J235" s="130">
        <v>200.0</v>
      </c>
      <c r="K235" s="35" t="s">
        <v>1373</v>
      </c>
      <c r="L235" s="128" t="s">
        <v>1527</v>
      </c>
      <c r="M235" s="128">
        <v>300.0</v>
      </c>
      <c r="N235" s="35" t="s">
        <v>1373</v>
      </c>
      <c r="O235" s="99" t="s">
        <v>1513</v>
      </c>
    </row>
    <row r="236" ht="25.5" customHeight="1">
      <c r="B236" s="1">
        <v>18.0</v>
      </c>
      <c r="C236" s="51">
        <v>45991.0</v>
      </c>
      <c r="D236" s="35" t="s">
        <v>876</v>
      </c>
      <c r="E236" s="35" t="s">
        <v>1426</v>
      </c>
      <c r="F236" s="130">
        <v>699.0</v>
      </c>
      <c r="G236" s="35" t="s">
        <v>1346</v>
      </c>
      <c r="H236" s="2"/>
      <c r="I236" s="35" t="s">
        <v>1517</v>
      </c>
      <c r="J236" s="130">
        <v>945.0</v>
      </c>
      <c r="K236" s="35" t="s">
        <v>1346</v>
      </c>
      <c r="L236" s="99" t="s">
        <v>1512</v>
      </c>
      <c r="M236" s="128">
        <v>1200.0</v>
      </c>
      <c r="N236" s="35" t="s">
        <v>1346</v>
      </c>
      <c r="O236" s="99" t="s">
        <v>1513</v>
      </c>
    </row>
    <row r="237">
      <c r="B237" s="58"/>
      <c r="C237" s="2"/>
      <c r="D237" s="2"/>
      <c r="E237" s="130" t="s">
        <v>1337</v>
      </c>
      <c r="F237" s="154">
        <f>SUM(F219:F236)</f>
        <v>14254</v>
      </c>
      <c r="G237" s="2"/>
      <c r="H237" s="2"/>
      <c r="I237" s="130" t="s">
        <v>1337</v>
      </c>
      <c r="J237" s="154">
        <f>SUM(J219:J236)</f>
        <v>3391</v>
      </c>
      <c r="K237" s="2"/>
      <c r="L237" s="128" t="s">
        <v>1337</v>
      </c>
      <c r="M237" s="162">
        <f>SUM(M219:M236)</f>
        <v>2700</v>
      </c>
      <c r="N237" s="100"/>
      <c r="O237" s="152"/>
    </row>
    <row r="238">
      <c r="B238" s="5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B239" s="58"/>
      <c r="C239" s="2"/>
      <c r="D239" s="2"/>
      <c r="E239" s="163" t="s">
        <v>1528</v>
      </c>
      <c r="F239" s="147">
        <f>SUM(F164,F175,F194,F216,F237)</f>
        <v>69963</v>
      </c>
      <c r="G239" s="2"/>
      <c r="H239" s="2"/>
      <c r="I239" s="163" t="s">
        <v>1529</v>
      </c>
      <c r="J239" s="130">
        <v>3391.0</v>
      </c>
      <c r="K239" s="2"/>
      <c r="L239" s="13" t="s">
        <v>1530</v>
      </c>
      <c r="M239" s="2"/>
      <c r="N239" s="2"/>
    </row>
    <row r="240">
      <c r="B240" s="58"/>
      <c r="C240" s="2"/>
      <c r="D240" s="2"/>
      <c r="E240" s="2"/>
      <c r="F240" s="2"/>
      <c r="G240" s="35" t="s">
        <v>0</v>
      </c>
      <c r="H240" s="2"/>
      <c r="I240" s="2"/>
      <c r="J240" s="2"/>
      <c r="K240" s="2"/>
      <c r="L240" s="2"/>
      <c r="M240" s="2"/>
      <c r="N240" s="2"/>
    </row>
    <row r="241">
      <c r="A241" s="134" t="s">
        <v>1531</v>
      </c>
    </row>
    <row r="243">
      <c r="A243" s="90" t="s">
        <v>1320</v>
      </c>
      <c r="B243" s="91" t="s">
        <v>1233</v>
      </c>
      <c r="C243" s="92" t="s">
        <v>1321</v>
      </c>
      <c r="D243" s="92" t="s">
        <v>2</v>
      </c>
      <c r="E243" s="92" t="s">
        <v>1322</v>
      </c>
      <c r="F243" s="92" t="s">
        <v>1323</v>
      </c>
      <c r="G243" s="92" t="s">
        <v>1324</v>
      </c>
      <c r="H243" s="93" t="s">
        <v>1325</v>
      </c>
      <c r="I243" s="93" t="s">
        <v>1326</v>
      </c>
      <c r="J243" s="61" t="s">
        <v>1414</v>
      </c>
      <c r="K243" s="61" t="s">
        <v>1474</v>
      </c>
      <c r="L243" s="61" t="s">
        <v>1475</v>
      </c>
      <c r="M243" s="149" t="s">
        <v>1414</v>
      </c>
      <c r="N243" s="61" t="s">
        <v>1474</v>
      </c>
      <c r="O243" s="93" t="s">
        <v>1326</v>
      </c>
      <c r="P243" s="61" t="s">
        <v>1414</v>
      </c>
      <c r="Q243" s="61" t="s">
        <v>1474</v>
      </c>
    </row>
    <row r="244">
      <c r="B244" s="1">
        <v>1.0</v>
      </c>
      <c r="C244" s="51">
        <v>45994.0</v>
      </c>
      <c r="D244" s="35" t="s">
        <v>1532</v>
      </c>
      <c r="E244" s="35" t="s">
        <v>1533</v>
      </c>
      <c r="F244" s="35">
        <v>800.0</v>
      </c>
      <c r="G244" s="35" t="s">
        <v>1534</v>
      </c>
      <c r="H244" s="35" t="s">
        <v>1535</v>
      </c>
      <c r="I244" s="35" t="s">
        <v>1536</v>
      </c>
      <c r="J244" s="35">
        <v>100.0</v>
      </c>
      <c r="K244" s="35" t="s">
        <v>1534</v>
      </c>
      <c r="L244" s="2"/>
      <c r="M244" s="2"/>
      <c r="N244" s="2"/>
    </row>
    <row r="245">
      <c r="B245" s="1">
        <v>2.0</v>
      </c>
      <c r="C245" s="51">
        <v>45994.0</v>
      </c>
      <c r="D245" s="35" t="s">
        <v>1537</v>
      </c>
      <c r="E245" s="35" t="s">
        <v>1538</v>
      </c>
      <c r="F245" s="35">
        <v>1289.0</v>
      </c>
      <c r="G245" s="35" t="s">
        <v>1534</v>
      </c>
      <c r="H245" s="35" t="s">
        <v>1535</v>
      </c>
      <c r="I245" s="2"/>
      <c r="J245" s="2"/>
      <c r="K245" s="2"/>
      <c r="L245" s="2"/>
      <c r="M245" s="2"/>
      <c r="N245" s="2"/>
    </row>
    <row r="246">
      <c r="B246" s="1">
        <v>3.0</v>
      </c>
      <c r="C246" s="51">
        <v>45995.0</v>
      </c>
      <c r="D246" s="35" t="s">
        <v>856</v>
      </c>
      <c r="E246" s="35" t="s">
        <v>1243</v>
      </c>
      <c r="F246" s="35">
        <v>1548.0</v>
      </c>
      <c r="G246" s="35" t="s">
        <v>1534</v>
      </c>
      <c r="H246" s="35" t="s">
        <v>1535</v>
      </c>
      <c r="I246" s="2"/>
      <c r="J246" s="2"/>
      <c r="K246" s="2"/>
      <c r="L246" s="2"/>
      <c r="M246" s="2"/>
      <c r="N246" s="2"/>
    </row>
    <row r="247">
      <c r="B247" s="1">
        <v>4.0</v>
      </c>
      <c r="C247" s="51">
        <v>45995.0</v>
      </c>
      <c r="D247" s="35" t="s">
        <v>870</v>
      </c>
      <c r="E247" s="35" t="s">
        <v>1243</v>
      </c>
      <c r="F247" s="35">
        <v>1548.0</v>
      </c>
      <c r="G247" s="35" t="s">
        <v>1346</v>
      </c>
      <c r="H247" s="35" t="s">
        <v>1535</v>
      </c>
      <c r="I247" s="35" t="s">
        <v>1539</v>
      </c>
      <c r="J247" s="35">
        <v>194.0</v>
      </c>
      <c r="K247" s="35" t="s">
        <v>1346</v>
      </c>
      <c r="L247" s="2"/>
      <c r="M247" s="2"/>
      <c r="N247" s="2"/>
    </row>
    <row r="248">
      <c r="B248" s="1">
        <v>5.0</v>
      </c>
      <c r="C248" s="51">
        <v>45995.0</v>
      </c>
      <c r="D248" s="35" t="s">
        <v>1540</v>
      </c>
      <c r="E248" s="35" t="s">
        <v>1370</v>
      </c>
      <c r="F248" s="36">
        <v>1289.0</v>
      </c>
      <c r="G248" s="36" t="s">
        <v>1385</v>
      </c>
      <c r="H248" s="35" t="s">
        <v>1535</v>
      </c>
      <c r="I248" s="35" t="s">
        <v>1541</v>
      </c>
      <c r="J248" s="35">
        <v>11.0</v>
      </c>
      <c r="K248" s="35" t="s">
        <v>1385</v>
      </c>
      <c r="L248" s="2"/>
      <c r="M248" s="2"/>
      <c r="N248" s="2"/>
    </row>
    <row r="249">
      <c r="B249" s="1">
        <v>6.0</v>
      </c>
      <c r="C249" s="51">
        <v>45995.0</v>
      </c>
      <c r="D249" s="35" t="s">
        <v>184</v>
      </c>
      <c r="E249" s="35" t="s">
        <v>1256</v>
      </c>
      <c r="F249" s="36">
        <v>799.0</v>
      </c>
      <c r="G249" s="36" t="s">
        <v>1385</v>
      </c>
      <c r="H249" s="35" t="s">
        <v>1535</v>
      </c>
      <c r="I249" s="2"/>
      <c r="J249" s="2"/>
      <c r="K249" s="2"/>
      <c r="L249" s="2"/>
      <c r="M249" s="2"/>
      <c r="N249" s="2"/>
    </row>
    <row r="250">
      <c r="B250" s="1">
        <v>7.0</v>
      </c>
      <c r="C250" s="51">
        <v>45996.0</v>
      </c>
      <c r="D250" s="35" t="s">
        <v>1542</v>
      </c>
      <c r="E250" s="35" t="s">
        <v>1381</v>
      </c>
      <c r="F250" s="35">
        <v>2238.0</v>
      </c>
      <c r="G250" s="35" t="s">
        <v>1534</v>
      </c>
      <c r="H250" s="35" t="s">
        <v>1535</v>
      </c>
      <c r="I250" s="2"/>
      <c r="J250" s="2"/>
      <c r="K250" s="2"/>
      <c r="L250" s="2"/>
      <c r="M250" s="2"/>
      <c r="N250" s="2"/>
    </row>
    <row r="251">
      <c r="B251" s="1">
        <v>8.0</v>
      </c>
      <c r="C251" s="51">
        <v>45996.0</v>
      </c>
      <c r="D251" s="35" t="s">
        <v>1543</v>
      </c>
      <c r="E251" s="35" t="s">
        <v>1533</v>
      </c>
      <c r="F251" s="35">
        <v>799.0</v>
      </c>
      <c r="G251" s="35" t="s">
        <v>1346</v>
      </c>
      <c r="H251" s="35" t="s">
        <v>1535</v>
      </c>
      <c r="I251" s="2"/>
      <c r="J251" s="2"/>
      <c r="K251" s="2"/>
      <c r="L251" s="2"/>
      <c r="M251" s="2"/>
      <c r="N251" s="2"/>
    </row>
    <row r="252">
      <c r="B252" s="1">
        <v>9.0</v>
      </c>
      <c r="C252" s="51">
        <v>45997.0</v>
      </c>
      <c r="D252" s="35" t="s">
        <v>1544</v>
      </c>
      <c r="E252" s="35" t="s">
        <v>1533</v>
      </c>
      <c r="F252" s="35">
        <v>799.0</v>
      </c>
      <c r="G252" s="35" t="s">
        <v>1346</v>
      </c>
      <c r="H252" s="35" t="s">
        <v>1535</v>
      </c>
      <c r="I252" s="35" t="s">
        <v>1545</v>
      </c>
      <c r="J252" s="35">
        <v>200.0</v>
      </c>
      <c r="K252" s="35" t="s">
        <v>1346</v>
      </c>
      <c r="L252" s="2"/>
      <c r="M252" s="2"/>
      <c r="N252" s="2"/>
    </row>
    <row r="253">
      <c r="B253" s="1">
        <v>10.0</v>
      </c>
      <c r="C253" s="51">
        <v>45997.0</v>
      </c>
      <c r="D253" s="35" t="s">
        <v>1546</v>
      </c>
      <c r="E253" s="35" t="s">
        <v>1243</v>
      </c>
      <c r="F253" s="36">
        <v>1548.0</v>
      </c>
      <c r="G253" s="36" t="s">
        <v>1385</v>
      </c>
      <c r="H253" s="35" t="s">
        <v>1535</v>
      </c>
      <c r="I253" s="35" t="s">
        <v>1547</v>
      </c>
      <c r="J253" s="35">
        <v>1200.0</v>
      </c>
      <c r="K253" s="35" t="s">
        <v>1328</v>
      </c>
      <c r="L253" s="2"/>
      <c r="M253" s="2"/>
      <c r="N253" s="2"/>
    </row>
    <row r="254">
      <c r="B254" s="1">
        <v>11.0</v>
      </c>
      <c r="C254" s="51">
        <v>45997.0</v>
      </c>
      <c r="D254" s="35" t="s">
        <v>1548</v>
      </c>
      <c r="E254" s="4"/>
      <c r="F254" s="4"/>
      <c r="G254" s="4"/>
      <c r="H254" s="4"/>
      <c r="I254" s="35" t="s">
        <v>1549</v>
      </c>
      <c r="J254" s="35">
        <v>400.0</v>
      </c>
      <c r="K254" s="35" t="s">
        <v>1346</v>
      </c>
      <c r="L254" s="2"/>
      <c r="M254" s="2"/>
      <c r="N254" s="2"/>
    </row>
    <row r="255">
      <c r="B255" s="1">
        <v>12.0</v>
      </c>
      <c r="C255" s="51">
        <v>45997.0</v>
      </c>
      <c r="D255" s="35" t="s">
        <v>791</v>
      </c>
      <c r="E255" s="35" t="s">
        <v>1550</v>
      </c>
      <c r="F255" s="36">
        <v>1439.0</v>
      </c>
      <c r="G255" s="36" t="s">
        <v>1385</v>
      </c>
      <c r="H255" s="35" t="s">
        <v>1551</v>
      </c>
      <c r="I255" s="2"/>
      <c r="J255" s="2"/>
      <c r="K255" s="2"/>
      <c r="L255" s="2"/>
      <c r="M255" s="2"/>
      <c r="N255" s="2"/>
    </row>
    <row r="256">
      <c r="B256" s="1">
        <v>13.0</v>
      </c>
      <c r="C256" s="51">
        <v>45997.0</v>
      </c>
      <c r="D256" s="35" t="s">
        <v>1552</v>
      </c>
      <c r="E256" s="35" t="s">
        <v>1256</v>
      </c>
      <c r="F256" s="36">
        <v>799.0</v>
      </c>
      <c r="G256" s="36" t="s">
        <v>1385</v>
      </c>
      <c r="H256" s="35" t="s">
        <v>1551</v>
      </c>
      <c r="I256" s="35" t="s">
        <v>1539</v>
      </c>
      <c r="J256" s="35">
        <v>100.0</v>
      </c>
      <c r="K256" s="2"/>
      <c r="L256" s="2"/>
      <c r="M256" s="2"/>
      <c r="N256" s="2"/>
    </row>
    <row r="257">
      <c r="B257" s="1">
        <v>14.0</v>
      </c>
      <c r="C257" s="51">
        <v>45997.0</v>
      </c>
      <c r="D257" s="35">
        <v>3.0</v>
      </c>
      <c r="E257" s="35" t="s">
        <v>1256</v>
      </c>
      <c r="F257" s="36">
        <v>799.0</v>
      </c>
      <c r="G257" s="36" t="s">
        <v>1385</v>
      </c>
      <c r="H257" s="35" t="s">
        <v>1551</v>
      </c>
      <c r="I257" s="2"/>
      <c r="J257" s="2"/>
      <c r="K257" s="2"/>
      <c r="L257" s="2"/>
      <c r="M257" s="2"/>
      <c r="N257" s="2"/>
    </row>
    <row r="258">
      <c r="B258" s="1">
        <v>15.0</v>
      </c>
      <c r="C258" s="51">
        <v>45997.0</v>
      </c>
      <c r="D258" s="35" t="s">
        <v>1553</v>
      </c>
      <c r="E258" s="35" t="s">
        <v>1256</v>
      </c>
      <c r="F258" s="36">
        <v>799.0</v>
      </c>
      <c r="G258" s="36" t="s">
        <v>1385</v>
      </c>
      <c r="H258" s="35" t="s">
        <v>1551</v>
      </c>
      <c r="I258" s="35"/>
      <c r="J258" s="35"/>
      <c r="K258" s="2"/>
      <c r="L258" s="2"/>
      <c r="M258" s="2"/>
      <c r="N258" s="2"/>
    </row>
    <row r="259">
      <c r="B259" s="1">
        <v>16.0</v>
      </c>
      <c r="C259" s="51">
        <v>45997.0</v>
      </c>
      <c r="D259" s="35" t="s">
        <v>1554</v>
      </c>
      <c r="E259" s="35" t="s">
        <v>1370</v>
      </c>
      <c r="F259" s="35">
        <v>1289.0</v>
      </c>
      <c r="G259" s="35" t="s">
        <v>1346</v>
      </c>
      <c r="H259" s="35" t="s">
        <v>1466</v>
      </c>
      <c r="I259" s="35" t="s">
        <v>1555</v>
      </c>
      <c r="J259" s="35">
        <v>11.0</v>
      </c>
      <c r="K259" s="35" t="s">
        <v>1346</v>
      </c>
      <c r="L259" s="2"/>
      <c r="M259" s="2"/>
      <c r="N259" s="2"/>
    </row>
    <row r="260">
      <c r="B260" s="1">
        <v>17.0</v>
      </c>
      <c r="C260" s="51">
        <v>45997.0</v>
      </c>
      <c r="D260" s="35" t="s">
        <v>1556</v>
      </c>
      <c r="E260" s="35" t="s">
        <v>1400</v>
      </c>
      <c r="F260" s="35">
        <v>1149.0</v>
      </c>
      <c r="G260" s="35" t="s">
        <v>1346</v>
      </c>
      <c r="H260" s="35" t="s">
        <v>1466</v>
      </c>
      <c r="I260" s="2"/>
      <c r="J260" s="2"/>
      <c r="K260" s="2"/>
      <c r="L260" s="2"/>
      <c r="M260" s="2"/>
      <c r="N260" s="2"/>
    </row>
    <row r="261">
      <c r="B261" s="1">
        <v>18.0</v>
      </c>
      <c r="C261" s="51">
        <v>45997.0</v>
      </c>
      <c r="D261" s="35" t="s">
        <v>1437</v>
      </c>
      <c r="E261" s="35" t="s">
        <v>1256</v>
      </c>
      <c r="F261" s="35">
        <v>799.0</v>
      </c>
      <c r="G261" s="35" t="s">
        <v>1346</v>
      </c>
      <c r="H261" s="35" t="s">
        <v>1466</v>
      </c>
      <c r="I261" s="35" t="s">
        <v>1557</v>
      </c>
      <c r="J261" s="35">
        <v>500.0</v>
      </c>
      <c r="K261" s="35" t="s">
        <v>1534</v>
      </c>
      <c r="L261" s="2"/>
      <c r="M261" s="2"/>
      <c r="N261" s="2"/>
    </row>
    <row r="262">
      <c r="B262" s="1">
        <v>19.0</v>
      </c>
      <c r="C262" s="51">
        <v>45997.0</v>
      </c>
      <c r="D262" s="35" t="s">
        <v>271</v>
      </c>
      <c r="E262" s="35" t="s">
        <v>1370</v>
      </c>
      <c r="F262" s="35">
        <v>1200.0</v>
      </c>
      <c r="G262" s="35" t="s">
        <v>1534</v>
      </c>
      <c r="H262" s="35" t="s">
        <v>1466</v>
      </c>
      <c r="I262" s="35" t="s">
        <v>1558</v>
      </c>
      <c r="J262" s="2"/>
      <c r="K262" s="2"/>
      <c r="L262" s="2"/>
      <c r="M262" s="2"/>
      <c r="N262" s="2"/>
    </row>
    <row r="263">
      <c r="B263" s="1">
        <v>20.0</v>
      </c>
      <c r="C263" s="51">
        <v>45998.0</v>
      </c>
      <c r="D263" s="35" t="s">
        <v>1559</v>
      </c>
      <c r="E263" s="35" t="s">
        <v>1486</v>
      </c>
      <c r="F263" s="36">
        <v>950.0</v>
      </c>
      <c r="G263" s="36" t="s">
        <v>1385</v>
      </c>
      <c r="H263" s="35" t="s">
        <v>1466</v>
      </c>
      <c r="I263" s="2"/>
      <c r="J263" s="2"/>
      <c r="K263" s="2"/>
      <c r="L263" s="2"/>
      <c r="M263" s="2"/>
      <c r="N263" s="2"/>
    </row>
    <row r="264">
      <c r="B264" s="1">
        <v>21.0</v>
      </c>
      <c r="C264" s="51">
        <v>45998.0</v>
      </c>
      <c r="D264" s="35" t="s">
        <v>1560</v>
      </c>
      <c r="E264" s="35" t="s">
        <v>1370</v>
      </c>
      <c r="F264" s="35">
        <v>1289.0</v>
      </c>
      <c r="G264" s="35" t="s">
        <v>1346</v>
      </c>
      <c r="H264" s="35" t="s">
        <v>1466</v>
      </c>
      <c r="I264" s="4"/>
      <c r="J264" s="4"/>
      <c r="K264" s="4"/>
      <c r="L264" s="35" t="s">
        <v>1561</v>
      </c>
      <c r="M264" s="35">
        <v>1500.0</v>
      </c>
      <c r="N264" s="35" t="s">
        <v>1346</v>
      </c>
      <c r="O264" s="35" t="s">
        <v>1562</v>
      </c>
      <c r="P264" s="35">
        <v>300.0</v>
      </c>
      <c r="Q264" s="35" t="s">
        <v>1346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B265" s="1">
        <v>22.0</v>
      </c>
      <c r="C265" s="51">
        <v>45998.0</v>
      </c>
      <c r="D265" s="35" t="s">
        <v>1563</v>
      </c>
      <c r="E265" s="35" t="s">
        <v>1243</v>
      </c>
      <c r="F265" s="36">
        <v>1548.0</v>
      </c>
      <c r="G265" s="36" t="s">
        <v>1385</v>
      </c>
      <c r="H265" s="35" t="s">
        <v>1466</v>
      </c>
      <c r="I265" s="2"/>
      <c r="J265" s="2"/>
      <c r="K265" s="2"/>
      <c r="L265" s="2"/>
      <c r="M265" s="2"/>
      <c r="N265" s="2"/>
    </row>
    <row r="266">
      <c r="B266" s="1"/>
      <c r="C266" s="2"/>
      <c r="D266" s="2"/>
      <c r="E266" s="163" t="s">
        <v>1337</v>
      </c>
      <c r="F266" s="147">
        <f>SUM(F244:F265)</f>
        <v>24717</v>
      </c>
      <c r="G266" s="2"/>
      <c r="H266" s="2"/>
      <c r="I266" s="163" t="s">
        <v>1337</v>
      </c>
      <c r="J266" s="139">
        <f>SUM(J244:J262)</f>
        <v>2716</v>
      </c>
      <c r="K266" s="2"/>
      <c r="L266" s="163" t="s">
        <v>1337</v>
      </c>
      <c r="M266" s="147">
        <f>SUM(M244:M265)</f>
        <v>1500</v>
      </c>
      <c r="N266" s="2"/>
      <c r="O266" s="163" t="s">
        <v>1337</v>
      </c>
      <c r="P266" s="147">
        <f>SUM(P244:P264)</f>
        <v>300</v>
      </c>
    </row>
    <row r="267">
      <c r="B267" s="5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90" t="s">
        <v>1345</v>
      </c>
      <c r="B268" s="91" t="s">
        <v>1233</v>
      </c>
      <c r="C268" s="92" t="s">
        <v>1321</v>
      </c>
      <c r="D268" s="92" t="s">
        <v>2</v>
      </c>
      <c r="E268" s="92" t="s">
        <v>1322</v>
      </c>
      <c r="F268" s="92" t="s">
        <v>1323</v>
      </c>
      <c r="G268" s="92" t="s">
        <v>1324</v>
      </c>
      <c r="H268" s="93" t="s">
        <v>1325</v>
      </c>
      <c r="I268" s="93" t="s">
        <v>1326</v>
      </c>
      <c r="J268" s="61" t="s">
        <v>1414</v>
      </c>
      <c r="K268" s="61" t="s">
        <v>1474</v>
      </c>
      <c r="L268" s="61" t="s">
        <v>1475</v>
      </c>
      <c r="M268" s="149" t="s">
        <v>1414</v>
      </c>
      <c r="N268" s="61" t="s">
        <v>1474</v>
      </c>
      <c r="O268" s="93" t="s">
        <v>1326</v>
      </c>
      <c r="P268" s="61" t="s">
        <v>1414</v>
      </c>
      <c r="Q268" s="61" t="s">
        <v>1474</v>
      </c>
    </row>
    <row r="269">
      <c r="B269" s="1">
        <v>1.0</v>
      </c>
      <c r="C269" s="51">
        <v>45999.0</v>
      </c>
      <c r="D269" s="35" t="s">
        <v>170</v>
      </c>
      <c r="E269" s="35" t="s">
        <v>1243</v>
      </c>
      <c r="F269" s="35">
        <v>1393.0</v>
      </c>
      <c r="G269" s="35" t="s">
        <v>1534</v>
      </c>
      <c r="H269" s="35" t="s">
        <v>1564</v>
      </c>
      <c r="I269" s="35" t="s">
        <v>1565</v>
      </c>
      <c r="J269" s="2"/>
      <c r="K269" s="2"/>
      <c r="L269" s="2"/>
      <c r="M269" s="2"/>
      <c r="N269" s="2"/>
    </row>
    <row r="270">
      <c r="B270" s="38">
        <v>2.0</v>
      </c>
      <c r="C270" s="39">
        <v>45999.0</v>
      </c>
      <c r="D270" s="36" t="s">
        <v>1566</v>
      </c>
      <c r="E270" s="36" t="s">
        <v>1426</v>
      </c>
      <c r="F270" s="36">
        <v>629.0</v>
      </c>
      <c r="G270" s="35" t="s">
        <v>1534</v>
      </c>
      <c r="H270" s="35" t="s">
        <v>1564</v>
      </c>
      <c r="I270" s="35" t="s">
        <v>1565</v>
      </c>
      <c r="J270" s="2"/>
      <c r="K270" s="2"/>
      <c r="L270" s="35" t="s">
        <v>1512</v>
      </c>
      <c r="M270" s="35">
        <v>1200.0</v>
      </c>
      <c r="N270" s="35" t="s">
        <v>1534</v>
      </c>
    </row>
    <row r="271">
      <c r="B271" s="1">
        <v>3.0</v>
      </c>
      <c r="C271" s="51">
        <v>45999.0</v>
      </c>
      <c r="D271" s="35" t="s">
        <v>1313</v>
      </c>
      <c r="E271" s="35" t="s">
        <v>1243</v>
      </c>
      <c r="F271" s="35">
        <v>1393.0</v>
      </c>
      <c r="G271" s="35" t="s">
        <v>1534</v>
      </c>
      <c r="H271" s="35" t="s">
        <v>1564</v>
      </c>
      <c r="I271" s="35" t="s">
        <v>1567</v>
      </c>
      <c r="J271" s="2"/>
      <c r="K271" s="2"/>
      <c r="L271" s="2"/>
      <c r="M271" s="2"/>
      <c r="N271" s="2"/>
    </row>
    <row r="272">
      <c r="B272" s="1">
        <v>4.0</v>
      </c>
      <c r="C272" s="51">
        <v>46001.0</v>
      </c>
      <c r="D272" s="35" t="s">
        <v>1568</v>
      </c>
      <c r="E272" s="35" t="s">
        <v>1486</v>
      </c>
      <c r="F272" s="35">
        <v>949.0</v>
      </c>
      <c r="G272" s="35" t="s">
        <v>1346</v>
      </c>
      <c r="H272" s="35" t="s">
        <v>1564</v>
      </c>
      <c r="I272" s="2"/>
      <c r="J272" s="2"/>
      <c r="K272" s="2"/>
      <c r="L272" s="2"/>
      <c r="M272" s="2"/>
      <c r="N272" s="2"/>
    </row>
    <row r="273">
      <c r="B273" s="1">
        <v>5.0</v>
      </c>
      <c r="C273" s="51">
        <v>46001.0</v>
      </c>
      <c r="D273" s="35" t="s">
        <v>1569</v>
      </c>
      <c r="E273" s="35" t="s">
        <v>1256</v>
      </c>
      <c r="F273" s="35">
        <v>799.0</v>
      </c>
      <c r="G273" s="35" t="s">
        <v>1385</v>
      </c>
      <c r="H273" s="35" t="s">
        <v>1564</v>
      </c>
      <c r="I273" s="2"/>
      <c r="J273" s="2"/>
      <c r="K273" s="2"/>
      <c r="L273" s="2"/>
      <c r="M273" s="2"/>
      <c r="N273" s="2"/>
    </row>
    <row r="274">
      <c r="B274" s="1">
        <v>6.0</v>
      </c>
      <c r="C274" s="51">
        <v>46001.0</v>
      </c>
      <c r="D274" s="35" t="s">
        <v>1570</v>
      </c>
      <c r="E274" s="35" t="s">
        <v>1256</v>
      </c>
      <c r="F274" s="35">
        <v>799.0</v>
      </c>
      <c r="G274" s="35" t="s">
        <v>1385</v>
      </c>
      <c r="H274" s="35" t="s">
        <v>1564</v>
      </c>
      <c r="I274" s="2"/>
      <c r="J274" s="2"/>
      <c r="K274" s="2"/>
      <c r="L274" s="2"/>
      <c r="M274" s="2"/>
      <c r="N274" s="2"/>
    </row>
    <row r="275">
      <c r="B275" s="1">
        <v>7.0</v>
      </c>
      <c r="C275" s="51">
        <v>46001.0</v>
      </c>
      <c r="D275" s="35" t="s">
        <v>1571</v>
      </c>
      <c r="E275" s="35" t="s">
        <v>1572</v>
      </c>
      <c r="F275" s="35">
        <v>1189.0</v>
      </c>
      <c r="G275" s="35" t="s">
        <v>1534</v>
      </c>
      <c r="H275" s="35" t="s">
        <v>1564</v>
      </c>
      <c r="I275" s="2"/>
      <c r="J275" s="2"/>
      <c r="K275" s="2"/>
      <c r="L275" s="2"/>
      <c r="M275" s="2"/>
      <c r="N275" s="2"/>
    </row>
    <row r="276">
      <c r="B276" s="1">
        <v>8.0</v>
      </c>
      <c r="C276" s="51">
        <v>46001.0</v>
      </c>
      <c r="D276" s="35" t="s">
        <v>310</v>
      </c>
      <c r="E276" s="35" t="s">
        <v>1243</v>
      </c>
      <c r="F276" s="35">
        <v>1548.0</v>
      </c>
      <c r="G276" s="35" t="s">
        <v>1534</v>
      </c>
      <c r="H276" s="35" t="s">
        <v>1564</v>
      </c>
      <c r="I276" s="2"/>
      <c r="J276" s="2"/>
      <c r="K276" s="2"/>
      <c r="L276" s="2"/>
      <c r="M276" s="2"/>
      <c r="N276" s="2"/>
    </row>
    <row r="277">
      <c r="B277" s="1">
        <v>9.0</v>
      </c>
      <c r="C277" s="51">
        <v>46002.0</v>
      </c>
      <c r="D277" s="35" t="s">
        <v>207</v>
      </c>
      <c r="E277" s="35" t="s">
        <v>1573</v>
      </c>
      <c r="F277" s="35">
        <v>1489.0</v>
      </c>
      <c r="G277" s="35" t="s">
        <v>1534</v>
      </c>
      <c r="H277" s="35" t="s">
        <v>1564</v>
      </c>
      <c r="I277" s="2"/>
      <c r="J277" s="2"/>
      <c r="K277" s="2"/>
      <c r="L277" s="2"/>
      <c r="M277" s="2"/>
      <c r="N277" s="2"/>
    </row>
    <row r="278">
      <c r="B278" s="47">
        <v>10.0</v>
      </c>
      <c r="C278" s="57">
        <v>46003.0</v>
      </c>
      <c r="D278" s="48" t="s">
        <v>1574</v>
      </c>
      <c r="E278" s="48" t="s">
        <v>1243</v>
      </c>
      <c r="F278" s="48">
        <v>1548.0</v>
      </c>
      <c r="G278" s="48" t="s">
        <v>1534</v>
      </c>
      <c r="H278" s="48" t="s">
        <v>1564</v>
      </c>
      <c r="I278" s="142" t="s">
        <v>1575</v>
      </c>
      <c r="J278" s="48">
        <v>975.0</v>
      </c>
      <c r="K278" s="54"/>
      <c r="L278" s="54"/>
      <c r="M278" s="54"/>
      <c r="N278" s="5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</row>
    <row r="279">
      <c r="B279" s="1">
        <v>11.0</v>
      </c>
      <c r="C279" s="51">
        <v>46004.0</v>
      </c>
      <c r="D279" s="35" t="s">
        <v>1576</v>
      </c>
      <c r="E279" s="35" t="s">
        <v>1577</v>
      </c>
      <c r="F279" s="35">
        <v>700.0</v>
      </c>
      <c r="G279" s="48" t="s">
        <v>1534</v>
      </c>
      <c r="H279" s="48" t="s">
        <v>1564</v>
      </c>
      <c r="I279" s="2"/>
      <c r="J279" s="2"/>
      <c r="K279" s="2"/>
      <c r="L279" s="2"/>
      <c r="M279" s="2"/>
      <c r="N279" s="2"/>
    </row>
    <row r="280">
      <c r="B280" s="1">
        <v>12.0</v>
      </c>
      <c r="C280" s="51">
        <v>46004.0</v>
      </c>
      <c r="D280" s="35" t="s">
        <v>1520</v>
      </c>
      <c r="E280" s="35" t="s">
        <v>1256</v>
      </c>
      <c r="F280" s="35">
        <v>799.0</v>
      </c>
      <c r="G280" s="35" t="s">
        <v>1385</v>
      </c>
      <c r="H280" s="35" t="s">
        <v>1564</v>
      </c>
      <c r="I280" s="2"/>
      <c r="J280" s="2"/>
      <c r="K280" s="2"/>
      <c r="L280" s="2"/>
      <c r="M280" s="2"/>
      <c r="N280" s="2"/>
    </row>
    <row r="281">
      <c r="B281" s="1">
        <v>13.0</v>
      </c>
      <c r="C281" s="51">
        <v>46004.0</v>
      </c>
      <c r="D281" s="35" t="s">
        <v>1578</v>
      </c>
      <c r="E281" s="35" t="s">
        <v>1256</v>
      </c>
      <c r="F281" s="35">
        <v>799.0</v>
      </c>
      <c r="G281" s="35" t="s">
        <v>1385</v>
      </c>
      <c r="H281" s="35" t="s">
        <v>1564</v>
      </c>
      <c r="I281" s="2"/>
      <c r="J281" s="2"/>
      <c r="K281" s="2"/>
      <c r="L281" s="2"/>
      <c r="M281" s="2"/>
      <c r="N281" s="2"/>
    </row>
    <row r="282">
      <c r="B282" s="38">
        <v>14.0</v>
      </c>
      <c r="C282" s="39">
        <v>46004.0</v>
      </c>
      <c r="D282" s="36" t="s">
        <v>1404</v>
      </c>
      <c r="E282" s="44" t="s">
        <v>1243</v>
      </c>
      <c r="F282" s="36">
        <v>1393.0</v>
      </c>
      <c r="G282" s="36" t="s">
        <v>1579</v>
      </c>
      <c r="H282" s="36" t="s">
        <v>1564</v>
      </c>
      <c r="I282" s="36" t="s">
        <v>1580</v>
      </c>
      <c r="J282" s="165">
        <v>1170.0</v>
      </c>
      <c r="K282" s="36" t="s">
        <v>1579</v>
      </c>
      <c r="L282" s="3"/>
      <c r="M282" s="3"/>
      <c r="N282" s="3"/>
      <c r="O282" s="36" t="s">
        <v>1581</v>
      </c>
      <c r="P282" s="36">
        <v>1300.0</v>
      </c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</row>
    <row r="283">
      <c r="B283" s="1">
        <v>15.0</v>
      </c>
      <c r="C283" s="51">
        <v>46004.0</v>
      </c>
      <c r="D283" s="35" t="s">
        <v>1582</v>
      </c>
      <c r="E283" s="48" t="s">
        <v>1243</v>
      </c>
      <c r="F283" s="35">
        <v>1548.0</v>
      </c>
      <c r="G283" s="35" t="s">
        <v>1385</v>
      </c>
      <c r="H283" s="35" t="s">
        <v>1564</v>
      </c>
      <c r="I283" s="2"/>
      <c r="J283" s="2"/>
      <c r="K283" s="2"/>
      <c r="L283" s="2"/>
      <c r="M283" s="2"/>
      <c r="N283" s="2"/>
    </row>
    <row r="284">
      <c r="B284" s="1">
        <v>16.0</v>
      </c>
      <c r="C284" s="51">
        <v>46004.0</v>
      </c>
      <c r="D284" s="35" t="s">
        <v>1583</v>
      </c>
      <c r="E284" s="35" t="s">
        <v>1256</v>
      </c>
      <c r="F284" s="35">
        <v>800.0</v>
      </c>
      <c r="G284" s="48" t="s">
        <v>1534</v>
      </c>
      <c r="H284" s="35" t="s">
        <v>1564</v>
      </c>
      <c r="I284" s="2"/>
      <c r="J284" s="2"/>
      <c r="K284" s="2"/>
      <c r="L284" s="2"/>
      <c r="M284" s="2"/>
      <c r="N284" s="2"/>
    </row>
    <row r="285">
      <c r="B285" s="1">
        <v>17.0</v>
      </c>
      <c r="C285" s="51">
        <v>46004.0</v>
      </c>
      <c r="D285" s="35" t="s">
        <v>1584</v>
      </c>
      <c r="E285" s="35" t="s">
        <v>1585</v>
      </c>
      <c r="F285" s="35">
        <v>1699.0</v>
      </c>
      <c r="G285" s="35" t="s">
        <v>1346</v>
      </c>
      <c r="H285" s="35" t="s">
        <v>1466</v>
      </c>
      <c r="I285" s="35" t="s">
        <v>1586</v>
      </c>
      <c r="J285" s="35">
        <v>345.0</v>
      </c>
      <c r="K285" s="35" t="s">
        <v>1346</v>
      </c>
      <c r="L285" s="35" t="s">
        <v>1587</v>
      </c>
      <c r="M285" s="35">
        <v>1500.0</v>
      </c>
      <c r="N285" s="35" t="s">
        <v>1346</v>
      </c>
      <c r="O285" s="35" t="s">
        <v>1588</v>
      </c>
      <c r="P285" s="35">
        <v>300.0</v>
      </c>
      <c r="Q285" s="35" t="s">
        <v>1346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B286" s="1">
        <v>18.0</v>
      </c>
      <c r="C286" s="51">
        <v>46005.0</v>
      </c>
      <c r="D286" s="35" t="s">
        <v>1443</v>
      </c>
      <c r="E286" s="35" t="s">
        <v>1256</v>
      </c>
      <c r="F286" s="35">
        <v>800.0</v>
      </c>
      <c r="G286" s="35" t="s">
        <v>1346</v>
      </c>
      <c r="H286" s="35" t="s">
        <v>1466</v>
      </c>
      <c r="I286" s="2"/>
      <c r="J286" s="2"/>
      <c r="K286" s="2"/>
      <c r="L286" s="2"/>
      <c r="M286" s="2"/>
      <c r="N286" s="2"/>
    </row>
    <row r="287">
      <c r="B287" s="1">
        <v>19.0</v>
      </c>
      <c r="C287" s="51">
        <v>46005.0</v>
      </c>
      <c r="D287" s="35" t="s">
        <v>277</v>
      </c>
      <c r="E287" s="35" t="s">
        <v>1370</v>
      </c>
      <c r="F287" s="35">
        <v>800.0</v>
      </c>
      <c r="G287" s="35" t="s">
        <v>1385</v>
      </c>
      <c r="H287" s="35" t="s">
        <v>1466</v>
      </c>
      <c r="I287" s="35" t="s">
        <v>1589</v>
      </c>
      <c r="J287" s="2"/>
      <c r="K287" s="2"/>
      <c r="L287" s="2"/>
      <c r="M287" s="2"/>
      <c r="N287" s="2"/>
    </row>
    <row r="288">
      <c r="B288" s="1">
        <v>20.0</v>
      </c>
      <c r="C288" s="51">
        <v>46005.0</v>
      </c>
      <c r="D288" s="35" t="s">
        <v>303</v>
      </c>
      <c r="E288" s="4"/>
      <c r="F288" s="4"/>
      <c r="G288" s="4"/>
      <c r="H288" s="4"/>
      <c r="I288" s="35" t="s">
        <v>1590</v>
      </c>
      <c r="J288" s="35">
        <v>2495.0</v>
      </c>
      <c r="K288" s="36" t="s">
        <v>1385</v>
      </c>
      <c r="L288" s="35" t="s">
        <v>1587</v>
      </c>
      <c r="M288" s="35">
        <v>1500.0</v>
      </c>
      <c r="N288" s="35" t="s">
        <v>1385</v>
      </c>
      <c r="Q288" s="35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B289" s="1">
        <v>21.0</v>
      </c>
      <c r="C289" s="51">
        <v>46005.0</v>
      </c>
      <c r="D289" s="35" t="s">
        <v>295</v>
      </c>
      <c r="E289" s="35" t="s">
        <v>1256</v>
      </c>
      <c r="F289" s="35">
        <v>800.0</v>
      </c>
      <c r="G289" s="35" t="s">
        <v>1346</v>
      </c>
      <c r="H289" s="35" t="s">
        <v>1564</v>
      </c>
      <c r="I289" s="2"/>
      <c r="J289" s="2"/>
      <c r="K289" s="2"/>
      <c r="L289" s="2"/>
      <c r="M289" s="2"/>
      <c r="N289" s="2"/>
    </row>
    <row r="290">
      <c r="B290" s="1">
        <v>22.0</v>
      </c>
      <c r="C290" s="51">
        <v>46005.0</v>
      </c>
      <c r="D290" s="35" t="s">
        <v>1524</v>
      </c>
      <c r="E290" s="35" t="s">
        <v>1298</v>
      </c>
      <c r="F290" s="35">
        <v>799.0</v>
      </c>
      <c r="G290" s="35" t="s">
        <v>1385</v>
      </c>
      <c r="H290" s="35" t="s">
        <v>1564</v>
      </c>
      <c r="I290" s="35" t="s">
        <v>1591</v>
      </c>
      <c r="J290" s="35">
        <v>500.0</v>
      </c>
      <c r="K290" s="35" t="s">
        <v>1385</v>
      </c>
      <c r="L290" s="2"/>
      <c r="M290" s="2"/>
      <c r="N290" s="2"/>
    </row>
    <row r="291">
      <c r="B291" s="1">
        <v>23.0</v>
      </c>
      <c r="C291" s="51">
        <v>46005.0</v>
      </c>
      <c r="D291" s="35" t="s">
        <v>831</v>
      </c>
      <c r="E291" s="35" t="s">
        <v>1370</v>
      </c>
      <c r="F291" s="35">
        <v>1289.0</v>
      </c>
      <c r="G291" s="35" t="s">
        <v>1385</v>
      </c>
      <c r="H291" s="35" t="s">
        <v>1564</v>
      </c>
      <c r="I291" s="36" t="s">
        <v>1592</v>
      </c>
      <c r="J291" s="36">
        <v>830.0</v>
      </c>
      <c r="K291" s="36" t="s">
        <v>1385</v>
      </c>
      <c r="L291" s="35" t="s">
        <v>1561</v>
      </c>
      <c r="M291" s="35">
        <v>1500.0</v>
      </c>
      <c r="N291" s="35" t="s">
        <v>1385</v>
      </c>
    </row>
    <row r="292">
      <c r="B292" s="58"/>
      <c r="C292" s="2"/>
      <c r="D292" s="2"/>
      <c r="E292" s="163" t="s">
        <v>1337</v>
      </c>
      <c r="F292" s="147">
        <f>SUM(F269:F291)</f>
        <v>23962</v>
      </c>
      <c r="G292" s="2"/>
      <c r="H292" s="2"/>
      <c r="I292" s="163" t="s">
        <v>1337</v>
      </c>
      <c r="J292" s="147">
        <f>SUM(J269:J291)</f>
        <v>6315</v>
      </c>
      <c r="K292" s="2"/>
      <c r="L292" s="163" t="s">
        <v>1337</v>
      </c>
      <c r="M292" s="147">
        <f>SUM(M269:M291)</f>
        <v>5700</v>
      </c>
      <c r="N292" s="2"/>
      <c r="O292" s="163" t="s">
        <v>1337</v>
      </c>
      <c r="P292" s="147">
        <f>SUM(P269:P291)</f>
        <v>1600</v>
      </c>
    </row>
    <row r="293">
      <c r="B293" s="5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90" t="s">
        <v>1364</v>
      </c>
      <c r="B294" s="91" t="s">
        <v>1233</v>
      </c>
      <c r="C294" s="92" t="s">
        <v>1321</v>
      </c>
      <c r="D294" s="92" t="s">
        <v>2</v>
      </c>
      <c r="E294" s="92" t="s">
        <v>1322</v>
      </c>
      <c r="F294" s="92" t="s">
        <v>1323</v>
      </c>
      <c r="G294" s="92" t="s">
        <v>1324</v>
      </c>
      <c r="H294" s="93" t="s">
        <v>1325</v>
      </c>
      <c r="I294" s="93" t="s">
        <v>1326</v>
      </c>
      <c r="J294" s="61" t="s">
        <v>1414</v>
      </c>
      <c r="K294" s="61" t="s">
        <v>1474</v>
      </c>
      <c r="L294" s="61" t="s">
        <v>1475</v>
      </c>
      <c r="M294" s="149" t="s">
        <v>1414</v>
      </c>
      <c r="N294" s="61" t="s">
        <v>1474</v>
      </c>
      <c r="O294" s="93" t="s">
        <v>1326</v>
      </c>
      <c r="P294" s="61" t="s">
        <v>1414</v>
      </c>
      <c r="Q294" s="61" t="s">
        <v>1474</v>
      </c>
    </row>
    <row r="295">
      <c r="B295" s="1">
        <v>1.0</v>
      </c>
      <c r="C295" s="51">
        <v>46006.0</v>
      </c>
      <c r="D295" s="35" t="s">
        <v>806</v>
      </c>
      <c r="E295" s="48" t="s">
        <v>1243</v>
      </c>
      <c r="F295" s="35">
        <v>1548.0</v>
      </c>
      <c r="G295" s="48" t="s">
        <v>1534</v>
      </c>
      <c r="H295" s="35" t="s">
        <v>1564</v>
      </c>
      <c r="I295" s="2"/>
      <c r="J295" s="2"/>
      <c r="K295" s="2"/>
      <c r="L295" s="2"/>
      <c r="M295" s="2"/>
      <c r="N295" s="2"/>
    </row>
    <row r="296">
      <c r="B296" s="1">
        <v>2.0</v>
      </c>
      <c r="C296" s="51">
        <v>46006.0</v>
      </c>
      <c r="D296" s="35" t="s">
        <v>1593</v>
      </c>
      <c r="E296" s="4"/>
      <c r="F296" s="4"/>
      <c r="G296" s="4"/>
      <c r="H296" s="4"/>
      <c r="I296" s="4"/>
      <c r="J296" s="4"/>
      <c r="K296" s="4"/>
      <c r="L296" s="35" t="s">
        <v>1561</v>
      </c>
      <c r="M296" s="35">
        <v>1500.0</v>
      </c>
      <c r="N296" s="35" t="s">
        <v>1534</v>
      </c>
      <c r="O296" s="35" t="s">
        <v>1594</v>
      </c>
      <c r="P296" s="35">
        <v>200.0</v>
      </c>
      <c r="Q296" s="35" t="s">
        <v>1534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B297" s="1">
        <v>3.0</v>
      </c>
      <c r="C297" s="51">
        <v>46006.0</v>
      </c>
      <c r="D297" s="35" t="s">
        <v>772</v>
      </c>
      <c r="E297" s="35" t="s">
        <v>1402</v>
      </c>
      <c r="F297" s="35">
        <v>1189.0</v>
      </c>
      <c r="G297" s="35" t="s">
        <v>1385</v>
      </c>
      <c r="H297" s="2"/>
      <c r="I297" s="2"/>
      <c r="J297" s="2"/>
      <c r="K297" s="2"/>
      <c r="L297" s="2"/>
      <c r="M297" s="2"/>
      <c r="N297" s="2"/>
    </row>
    <row r="298">
      <c r="B298" s="1">
        <v>4.0</v>
      </c>
      <c r="C298" s="51">
        <v>46006.0</v>
      </c>
      <c r="D298" s="35" t="s">
        <v>1595</v>
      </c>
      <c r="E298" s="4"/>
      <c r="F298" s="4"/>
      <c r="G298" s="4"/>
      <c r="H298" s="4"/>
      <c r="I298" s="4"/>
      <c r="J298" s="4"/>
      <c r="K298" s="4"/>
      <c r="L298" s="35" t="s">
        <v>1596</v>
      </c>
      <c r="M298" s="35">
        <v>2800.0</v>
      </c>
      <c r="N298" s="48" t="s">
        <v>1534</v>
      </c>
    </row>
    <row r="299">
      <c r="B299" s="1">
        <v>5.0</v>
      </c>
      <c r="C299" s="51">
        <v>46006.0</v>
      </c>
      <c r="D299" s="35" t="s">
        <v>1597</v>
      </c>
      <c r="E299" s="35" t="s">
        <v>1243</v>
      </c>
      <c r="F299" s="35">
        <v>1550.0</v>
      </c>
      <c r="G299" s="48" t="s">
        <v>1534</v>
      </c>
      <c r="H299" s="2"/>
      <c r="I299" s="2"/>
      <c r="J299" s="2"/>
      <c r="K299" s="2"/>
      <c r="L299" s="2"/>
      <c r="M299" s="2"/>
      <c r="N299" s="2"/>
    </row>
    <row r="300">
      <c r="B300" s="1">
        <v>6.0</v>
      </c>
      <c r="C300" s="51">
        <v>46006.0</v>
      </c>
      <c r="D300" s="35" t="s">
        <v>1430</v>
      </c>
      <c r="E300" s="35" t="s">
        <v>1256</v>
      </c>
      <c r="F300" s="35">
        <v>719.0</v>
      </c>
      <c r="G300" s="48" t="s">
        <v>1534</v>
      </c>
      <c r="H300" s="2"/>
      <c r="I300" s="2"/>
      <c r="J300" s="2"/>
      <c r="K300" s="2"/>
      <c r="N300" s="2"/>
      <c r="Q300" s="35" t="s">
        <v>1534</v>
      </c>
    </row>
    <row r="301">
      <c r="B301" s="1">
        <v>7.0</v>
      </c>
      <c r="C301" s="51">
        <v>46006.0</v>
      </c>
      <c r="D301" s="35" t="s">
        <v>1437</v>
      </c>
      <c r="E301" s="35" t="s">
        <v>1256</v>
      </c>
      <c r="F301" s="35">
        <v>719.0</v>
      </c>
      <c r="G301" s="48" t="s">
        <v>1534</v>
      </c>
      <c r="H301" s="2"/>
      <c r="I301" s="35" t="s">
        <v>1598</v>
      </c>
      <c r="J301" s="2"/>
      <c r="K301" s="2"/>
      <c r="L301" s="35" t="s">
        <v>1587</v>
      </c>
      <c r="M301" s="35">
        <v>1350.0</v>
      </c>
      <c r="N301" s="2"/>
      <c r="O301" s="35" t="s">
        <v>1599</v>
      </c>
      <c r="P301" s="35">
        <v>270.0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B302" s="166">
        <v>8.0</v>
      </c>
      <c r="C302" s="167">
        <v>46006.0</v>
      </c>
      <c r="D302" s="166" t="s">
        <v>645</v>
      </c>
      <c r="E302" s="166" t="s">
        <v>1256</v>
      </c>
      <c r="F302" s="166">
        <v>679.0</v>
      </c>
      <c r="G302" s="168" t="s">
        <v>1534</v>
      </c>
      <c r="H302" s="169"/>
      <c r="I302" s="166" t="s">
        <v>1600</v>
      </c>
      <c r="J302" s="166">
        <v>1341.0</v>
      </c>
      <c r="K302" s="169"/>
      <c r="L302" s="166" t="s">
        <v>1601</v>
      </c>
      <c r="M302" s="166">
        <v>2380.0</v>
      </c>
      <c r="N302" s="169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  <c r="AB302" s="170"/>
      <c r="AC302" s="170"/>
    </row>
    <row r="303">
      <c r="B303" s="166">
        <v>9.0</v>
      </c>
      <c r="C303" s="167">
        <v>46008.0</v>
      </c>
      <c r="D303" s="166" t="s">
        <v>1602</v>
      </c>
      <c r="E303" s="166" t="s">
        <v>1256</v>
      </c>
      <c r="F303" s="166">
        <v>799.0</v>
      </c>
      <c r="G303" s="168" t="s">
        <v>1579</v>
      </c>
      <c r="H303" s="169"/>
      <c r="I303" s="166" t="s">
        <v>1603</v>
      </c>
      <c r="J303" s="166">
        <v>1200.0</v>
      </c>
      <c r="K303" s="169"/>
      <c r="L303" s="169"/>
      <c r="M303" s="169"/>
      <c r="N303" s="169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  <c r="AA303" s="170"/>
      <c r="AB303" s="170"/>
      <c r="AC303" s="170"/>
    </row>
    <row r="304">
      <c r="B304" s="166">
        <v>10.0</v>
      </c>
      <c r="C304" s="167">
        <v>46009.0</v>
      </c>
      <c r="D304" s="166" t="s">
        <v>1604</v>
      </c>
      <c r="E304" s="166" t="s">
        <v>1486</v>
      </c>
      <c r="F304" s="166">
        <v>949.0</v>
      </c>
      <c r="G304" s="168" t="s">
        <v>1534</v>
      </c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  <c r="AB304" s="169"/>
      <c r="AC304" s="169"/>
    </row>
    <row r="305">
      <c r="B305" s="166">
        <v>11.0</v>
      </c>
      <c r="C305" s="167">
        <v>46009.0</v>
      </c>
      <c r="D305" s="166" t="s">
        <v>1605</v>
      </c>
      <c r="E305" s="171" t="s">
        <v>1486</v>
      </c>
      <c r="F305" s="171">
        <v>949.0</v>
      </c>
      <c r="G305" s="168" t="s">
        <v>1534</v>
      </c>
      <c r="H305" s="172"/>
      <c r="I305" s="171"/>
      <c r="J305" s="172"/>
      <c r="K305" s="169"/>
      <c r="L305" s="171"/>
      <c r="M305" s="172"/>
      <c r="N305" s="172"/>
      <c r="O305" s="171"/>
      <c r="P305" s="172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  <c r="AA305" s="170"/>
      <c r="AB305" s="170"/>
      <c r="AC305" s="170"/>
    </row>
    <row r="306">
      <c r="B306" s="166">
        <v>12.0</v>
      </c>
      <c r="C306" s="167">
        <v>46009.0</v>
      </c>
      <c r="D306" s="166" t="s">
        <v>880</v>
      </c>
      <c r="E306" s="166" t="s">
        <v>1256</v>
      </c>
      <c r="F306" s="171">
        <v>800.0</v>
      </c>
      <c r="G306" s="168" t="s">
        <v>1534</v>
      </c>
      <c r="H306" s="172"/>
      <c r="I306" s="171"/>
      <c r="J306" s="172"/>
      <c r="K306" s="169"/>
      <c r="L306" s="171"/>
      <c r="M306" s="172"/>
      <c r="N306" s="172"/>
      <c r="O306" s="171"/>
      <c r="P306" s="172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  <c r="AA306" s="170"/>
      <c r="AB306" s="170"/>
      <c r="AC306" s="170"/>
    </row>
    <row r="307">
      <c r="B307" s="166">
        <v>13.0</v>
      </c>
      <c r="C307" s="167">
        <v>46009.0</v>
      </c>
      <c r="D307" s="166" t="s">
        <v>1255</v>
      </c>
      <c r="E307" s="171" t="s">
        <v>1606</v>
      </c>
      <c r="F307" s="171">
        <v>1548.0</v>
      </c>
      <c r="G307" s="168" t="s">
        <v>1534</v>
      </c>
      <c r="H307" s="172"/>
      <c r="I307" s="171"/>
      <c r="J307" s="172"/>
      <c r="K307" s="169"/>
      <c r="L307" s="171"/>
      <c r="M307" s="172"/>
      <c r="N307" s="172"/>
      <c r="O307" s="171"/>
      <c r="P307" s="172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  <c r="AA307" s="170"/>
      <c r="AB307" s="170"/>
      <c r="AC307" s="170"/>
    </row>
    <row r="308">
      <c r="B308" s="166">
        <v>14.0</v>
      </c>
      <c r="C308" s="167">
        <v>46009.0</v>
      </c>
      <c r="D308" s="166" t="s">
        <v>1314</v>
      </c>
      <c r="E308" s="171" t="s">
        <v>1606</v>
      </c>
      <c r="F308" s="171">
        <v>1548.0</v>
      </c>
      <c r="G308" s="166" t="s">
        <v>1607</v>
      </c>
      <c r="H308" s="172"/>
      <c r="I308" s="171" t="s">
        <v>1539</v>
      </c>
      <c r="J308" s="171">
        <v>152.0</v>
      </c>
      <c r="K308" s="169"/>
      <c r="L308" s="171"/>
      <c r="M308" s="172"/>
      <c r="N308" s="172"/>
      <c r="O308" s="171"/>
      <c r="P308" s="172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  <c r="AA308" s="170"/>
      <c r="AB308" s="170"/>
      <c r="AC308" s="170"/>
    </row>
    <row r="309">
      <c r="B309" s="166">
        <v>15.0</v>
      </c>
      <c r="C309" s="167">
        <v>46010.0</v>
      </c>
      <c r="D309" s="166" t="s">
        <v>1608</v>
      </c>
      <c r="E309" s="171" t="s">
        <v>1486</v>
      </c>
      <c r="F309" s="171">
        <v>854.0</v>
      </c>
      <c r="G309" s="168" t="s">
        <v>1534</v>
      </c>
      <c r="H309" s="172"/>
      <c r="I309" s="173" t="s">
        <v>1565</v>
      </c>
      <c r="J309" s="172"/>
      <c r="K309" s="169"/>
      <c r="L309" s="171"/>
      <c r="M309" s="172"/>
      <c r="N309" s="172"/>
      <c r="O309" s="171"/>
      <c r="P309" s="172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  <c r="AA309" s="170"/>
      <c r="AB309" s="170"/>
      <c r="AC309" s="170"/>
    </row>
    <row r="310">
      <c r="B310" s="166">
        <v>16.0</v>
      </c>
      <c r="C310" s="167">
        <v>46010.0</v>
      </c>
      <c r="D310" s="166" t="s">
        <v>1574</v>
      </c>
      <c r="E310" s="171" t="s">
        <v>1256</v>
      </c>
      <c r="F310" s="171">
        <v>719.0</v>
      </c>
      <c r="H310" s="172"/>
      <c r="J310" s="172"/>
      <c r="K310" s="169"/>
      <c r="L310" s="171"/>
      <c r="M310" s="172"/>
      <c r="N310" s="172"/>
      <c r="O310" s="171"/>
      <c r="P310" s="172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  <c r="AA310" s="170"/>
      <c r="AB310" s="170"/>
      <c r="AC310" s="170"/>
    </row>
    <row r="311">
      <c r="B311" s="166">
        <v>17.0</v>
      </c>
      <c r="C311" s="167">
        <v>46010.0</v>
      </c>
      <c r="D311" s="166" t="s">
        <v>1609</v>
      </c>
      <c r="E311" s="171" t="s">
        <v>1256</v>
      </c>
      <c r="F311" s="171">
        <v>719.0</v>
      </c>
      <c r="H311" s="172"/>
      <c r="J311" s="172"/>
      <c r="K311" s="169"/>
      <c r="L311" s="171"/>
      <c r="M311" s="172"/>
      <c r="N311" s="172"/>
      <c r="O311" s="171"/>
      <c r="P311" s="172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  <c r="AA311" s="170"/>
      <c r="AB311" s="170"/>
      <c r="AC311" s="170"/>
    </row>
    <row r="312">
      <c r="B312" s="166">
        <v>18.0</v>
      </c>
      <c r="C312" s="167">
        <v>46010.0</v>
      </c>
      <c r="D312" s="166" t="s">
        <v>1610</v>
      </c>
      <c r="E312" s="171" t="s">
        <v>1400</v>
      </c>
      <c r="F312" s="171">
        <v>1149.0</v>
      </c>
      <c r="G312" s="168" t="s">
        <v>1534</v>
      </c>
      <c r="H312" s="172"/>
      <c r="I312" s="173"/>
      <c r="J312" s="172"/>
      <c r="K312" s="169"/>
      <c r="L312" s="171"/>
      <c r="M312" s="172"/>
      <c r="N312" s="172"/>
      <c r="O312" s="171"/>
      <c r="P312" s="172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  <c r="AA312" s="170"/>
      <c r="AB312" s="170"/>
      <c r="AC312" s="170"/>
    </row>
    <row r="313">
      <c r="B313" s="166">
        <v>19.0</v>
      </c>
      <c r="C313" s="167">
        <v>46011.0</v>
      </c>
      <c r="D313" s="166" t="s">
        <v>1611</v>
      </c>
      <c r="E313" s="171" t="s">
        <v>1612</v>
      </c>
      <c r="F313" s="171">
        <v>1698.0</v>
      </c>
      <c r="G313" s="168" t="s">
        <v>1534</v>
      </c>
      <c r="H313" s="172"/>
      <c r="I313" s="173" t="s">
        <v>1613</v>
      </c>
      <c r="J313" s="171">
        <v>200.0</v>
      </c>
      <c r="K313" s="169"/>
      <c r="L313" s="171"/>
      <c r="M313" s="172"/>
      <c r="N313" s="172"/>
      <c r="O313" s="171"/>
      <c r="P313" s="172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  <c r="AA313" s="170"/>
      <c r="AB313" s="170"/>
      <c r="AC313" s="170"/>
    </row>
    <row r="314">
      <c r="B314" s="166">
        <v>20.0</v>
      </c>
      <c r="C314" s="167">
        <v>46011.0</v>
      </c>
      <c r="D314" s="166" t="s">
        <v>125</v>
      </c>
      <c r="E314" s="171" t="s">
        <v>1256</v>
      </c>
      <c r="F314" s="171">
        <v>799.0</v>
      </c>
      <c r="G314" s="166" t="s">
        <v>1346</v>
      </c>
      <c r="H314" s="172"/>
      <c r="I314" s="173"/>
      <c r="J314" s="172"/>
      <c r="K314" s="169"/>
      <c r="L314" s="171"/>
      <c r="M314" s="172"/>
      <c r="N314" s="172"/>
      <c r="O314" s="171"/>
      <c r="P314" s="172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  <c r="AA314" s="170"/>
      <c r="AB314" s="170"/>
      <c r="AC314" s="170"/>
    </row>
    <row r="315">
      <c r="B315" s="166">
        <v>21.0</v>
      </c>
      <c r="C315" s="167">
        <v>46011.0</v>
      </c>
      <c r="D315" s="166" t="s">
        <v>1584</v>
      </c>
      <c r="E315" s="171" t="s">
        <v>1614</v>
      </c>
      <c r="F315" s="171">
        <v>950.0</v>
      </c>
      <c r="G315" s="166" t="s">
        <v>1346</v>
      </c>
      <c r="H315" s="172"/>
      <c r="I315" s="173" t="s">
        <v>1615</v>
      </c>
      <c r="J315" s="171">
        <v>1200.0</v>
      </c>
      <c r="K315" s="169"/>
      <c r="L315" s="174"/>
      <c r="M315" s="172"/>
      <c r="N315" s="172"/>
      <c r="O315" s="171" t="s">
        <v>1616</v>
      </c>
      <c r="P315" s="171">
        <v>300.0</v>
      </c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  <c r="AA315" s="170"/>
      <c r="AB315" s="170"/>
      <c r="AC315" s="170"/>
    </row>
    <row r="316">
      <c r="B316" s="166">
        <v>22.0</v>
      </c>
      <c r="C316" s="167">
        <v>46011.0</v>
      </c>
      <c r="D316" s="166" t="s">
        <v>1617</v>
      </c>
      <c r="E316" s="171" t="s">
        <v>1256</v>
      </c>
      <c r="F316" s="171">
        <v>799.0</v>
      </c>
      <c r="G316" s="168"/>
      <c r="H316" s="172"/>
      <c r="I316" s="173"/>
      <c r="J316" s="172"/>
      <c r="K316" s="169"/>
      <c r="L316" s="171"/>
      <c r="M316" s="172"/>
      <c r="N316" s="172"/>
      <c r="O316" s="171"/>
      <c r="P316" s="172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  <c r="AA316" s="170"/>
      <c r="AB316" s="170"/>
      <c r="AC316" s="170"/>
    </row>
    <row r="317">
      <c r="B317" s="166">
        <v>23.0</v>
      </c>
      <c r="C317" s="167">
        <v>46011.0</v>
      </c>
      <c r="D317" s="171" t="s">
        <v>1618</v>
      </c>
      <c r="E317" s="175"/>
      <c r="F317" s="175"/>
      <c r="G317" s="176"/>
      <c r="H317" s="177"/>
      <c r="I317" s="178" t="s">
        <v>1619</v>
      </c>
      <c r="J317" s="176">
        <v>1196.0</v>
      </c>
      <c r="K317" s="177"/>
      <c r="L317" s="171" t="s">
        <v>1620</v>
      </c>
      <c r="M317" s="171">
        <v>1500.0</v>
      </c>
      <c r="N317" s="172"/>
      <c r="O317" s="166" t="s">
        <v>1621</v>
      </c>
      <c r="P317" s="171">
        <v>1300.0</v>
      </c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  <c r="AB317" s="170"/>
      <c r="AC317" s="170"/>
    </row>
    <row r="318">
      <c r="B318" s="171">
        <v>24.0</v>
      </c>
      <c r="C318" s="179">
        <v>46011.0</v>
      </c>
      <c r="D318" s="171" t="s">
        <v>784</v>
      </c>
      <c r="E318" s="171" t="s">
        <v>1298</v>
      </c>
      <c r="F318" s="171">
        <v>719.0</v>
      </c>
      <c r="G318" s="166" t="s">
        <v>1346</v>
      </c>
      <c r="H318" s="172"/>
      <c r="I318" s="180" t="s">
        <v>1622</v>
      </c>
      <c r="J318" s="173">
        <v>1260.0</v>
      </c>
      <c r="K318" s="172"/>
      <c r="L318" s="171"/>
      <c r="M318" s="171"/>
      <c r="N318" s="172"/>
      <c r="O318" s="171"/>
      <c r="P318" s="171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  <c r="AB318" s="174"/>
      <c r="AC318" s="174"/>
    </row>
    <row r="319">
      <c r="B319" s="171">
        <v>25.0</v>
      </c>
      <c r="C319" s="179">
        <v>45950.0</v>
      </c>
      <c r="D319" s="171" t="s">
        <v>689</v>
      </c>
      <c r="E319" s="175"/>
      <c r="F319" s="175"/>
      <c r="G319" s="176"/>
      <c r="H319" s="177"/>
      <c r="I319" s="180" t="s">
        <v>1623</v>
      </c>
      <c r="J319" s="173">
        <v>2695.0</v>
      </c>
      <c r="K319" s="172"/>
      <c r="L319" s="171"/>
      <c r="M319" s="171"/>
      <c r="N319" s="172"/>
      <c r="O319" s="171"/>
      <c r="P319" s="171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  <c r="AA319" s="174"/>
      <c r="AB319" s="174"/>
      <c r="AC319" s="174"/>
    </row>
    <row r="320">
      <c r="B320" s="171">
        <v>26.0</v>
      </c>
      <c r="C320" s="179">
        <v>45950.0</v>
      </c>
      <c r="D320" s="171" t="s">
        <v>1624</v>
      </c>
      <c r="E320" s="171" t="s">
        <v>1253</v>
      </c>
      <c r="F320" s="171">
        <v>1160.0</v>
      </c>
      <c r="G320" s="173" t="s">
        <v>1385</v>
      </c>
      <c r="H320" s="172"/>
      <c r="I320" s="180" t="s">
        <v>1565</v>
      </c>
      <c r="J320" s="173"/>
      <c r="K320" s="171" t="s">
        <v>1385</v>
      </c>
      <c r="L320" s="171"/>
      <c r="M320" s="171"/>
      <c r="N320" s="172"/>
      <c r="O320" s="171"/>
      <c r="P320" s="171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  <c r="AA320" s="174"/>
      <c r="AB320" s="174"/>
      <c r="AC320" s="174"/>
    </row>
    <row r="321">
      <c r="B321" s="171">
        <v>27.0</v>
      </c>
      <c r="C321" s="179">
        <v>45950.0</v>
      </c>
      <c r="D321" s="171" t="s">
        <v>1625</v>
      </c>
      <c r="E321" s="175"/>
      <c r="F321" s="175"/>
      <c r="G321" s="176"/>
      <c r="H321" s="177"/>
      <c r="I321" s="180" t="s">
        <v>1626</v>
      </c>
      <c r="J321" s="173">
        <v>300.0</v>
      </c>
      <c r="K321" s="171" t="s">
        <v>1534</v>
      </c>
      <c r="L321" s="171"/>
      <c r="M321" s="171"/>
      <c r="N321" s="172"/>
      <c r="O321" s="171"/>
      <c r="P321" s="171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  <c r="AB321" s="174"/>
      <c r="AC321" s="174"/>
    </row>
    <row r="322">
      <c r="B322" s="171">
        <v>28.0</v>
      </c>
      <c r="C322" s="179">
        <v>46012.0</v>
      </c>
      <c r="D322" s="171" t="s">
        <v>1627</v>
      </c>
      <c r="E322" s="171" t="s">
        <v>1256</v>
      </c>
      <c r="F322" s="171">
        <v>799.0</v>
      </c>
      <c r="G322" s="166" t="s">
        <v>1346</v>
      </c>
      <c r="H322" s="172"/>
      <c r="K322" s="172"/>
      <c r="L322" s="171"/>
      <c r="M322" s="171"/>
      <c r="N322" s="172"/>
      <c r="O322" s="171"/>
      <c r="P322" s="171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  <c r="AA322" s="174"/>
      <c r="AB322" s="174"/>
      <c r="AC322" s="174"/>
    </row>
    <row r="323">
      <c r="B323" s="171">
        <v>29.0</v>
      </c>
      <c r="C323" s="179">
        <v>46012.0</v>
      </c>
      <c r="D323" s="171" t="s">
        <v>979</v>
      </c>
      <c r="E323" s="175"/>
      <c r="F323" s="181"/>
      <c r="G323" s="177"/>
      <c r="H323" s="177"/>
      <c r="I323" s="182"/>
      <c r="J323" s="183"/>
      <c r="K323" s="177"/>
      <c r="L323" s="184" t="s">
        <v>1628</v>
      </c>
      <c r="M323" s="171">
        <v>4200.0</v>
      </c>
      <c r="N323" s="166" t="s">
        <v>1346</v>
      </c>
      <c r="O323" s="160"/>
      <c r="P323" s="185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  <c r="AB323" s="174"/>
      <c r="AC323" s="174"/>
    </row>
    <row r="324">
      <c r="B324" s="1">
        <v>30.0</v>
      </c>
      <c r="C324" s="51">
        <v>46012.0</v>
      </c>
      <c r="D324" s="35" t="s">
        <v>1629</v>
      </c>
      <c r="E324" s="4"/>
      <c r="F324" s="4"/>
      <c r="G324" s="4"/>
      <c r="H324" s="4"/>
      <c r="I324" s="4"/>
      <c r="J324" s="4"/>
      <c r="K324" s="4"/>
      <c r="L324" s="35" t="s">
        <v>1561</v>
      </c>
      <c r="M324" s="35">
        <v>1500.0</v>
      </c>
      <c r="N324" s="35" t="s">
        <v>1385</v>
      </c>
    </row>
    <row r="325">
      <c r="B325" s="1">
        <v>31.0</v>
      </c>
      <c r="C325" s="51">
        <v>46012.0</v>
      </c>
      <c r="D325" s="35" t="s">
        <v>1630</v>
      </c>
      <c r="E325" s="171" t="s">
        <v>1253</v>
      </c>
      <c r="F325" s="35">
        <v>1289.0</v>
      </c>
      <c r="G325" s="168" t="s">
        <v>1534</v>
      </c>
      <c r="H325" s="2"/>
      <c r="I325" s="2"/>
      <c r="J325" s="2"/>
      <c r="K325" s="2"/>
      <c r="L325" s="2"/>
      <c r="M325" s="2"/>
      <c r="N325" s="2"/>
    </row>
    <row r="326">
      <c r="B326" s="1">
        <v>32.0</v>
      </c>
      <c r="C326" s="158">
        <v>46012.0</v>
      </c>
      <c r="D326" s="35" t="s">
        <v>689</v>
      </c>
      <c r="E326" s="35" t="s">
        <v>1400</v>
      </c>
      <c r="F326" s="35">
        <v>1149.0</v>
      </c>
      <c r="G326" s="166" t="s">
        <v>1346</v>
      </c>
      <c r="H326" s="4"/>
      <c r="I326" s="4"/>
      <c r="J326" s="4"/>
      <c r="K326" s="4"/>
      <c r="L326" s="136" t="s">
        <v>1631</v>
      </c>
      <c r="M326" s="35">
        <v>5400.0</v>
      </c>
      <c r="N326" s="166" t="s">
        <v>1346</v>
      </c>
    </row>
    <row r="327">
      <c r="B327" s="186"/>
      <c r="C327" s="17"/>
      <c r="D327" s="17"/>
      <c r="E327" s="13" t="s">
        <v>1632</v>
      </c>
      <c r="F327" s="147">
        <f>SUM(F295:F326)</f>
        <v>25800</v>
      </c>
      <c r="G327" s="17"/>
      <c r="H327" s="17"/>
      <c r="I327" s="163" t="s">
        <v>1337</v>
      </c>
      <c r="J327" s="147">
        <f>SUM(J295:J326)</f>
        <v>9544</v>
      </c>
      <c r="K327" s="17"/>
      <c r="L327" s="163" t="s">
        <v>1337</v>
      </c>
      <c r="M327" s="147">
        <f>SUM(M295:M326)</f>
        <v>20630</v>
      </c>
      <c r="N327" s="17"/>
      <c r="O327" s="163" t="s">
        <v>1337</v>
      </c>
      <c r="P327" s="147">
        <f>SUM(P295:P326)</f>
        <v>2070</v>
      </c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>
      <c r="A328" s="146"/>
      <c r="B328" s="5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A329" s="90" t="s">
        <v>1633</v>
      </c>
      <c r="B329" s="91" t="s">
        <v>1233</v>
      </c>
      <c r="C329" s="92" t="s">
        <v>1321</v>
      </c>
      <c r="D329" s="92" t="s">
        <v>2</v>
      </c>
      <c r="E329" s="92" t="s">
        <v>1322</v>
      </c>
      <c r="F329" s="92" t="s">
        <v>1323</v>
      </c>
      <c r="G329" s="92" t="s">
        <v>1324</v>
      </c>
      <c r="H329" s="93" t="s">
        <v>1325</v>
      </c>
      <c r="I329" s="93" t="s">
        <v>1326</v>
      </c>
      <c r="J329" s="61" t="s">
        <v>1414</v>
      </c>
      <c r="K329" s="61" t="s">
        <v>1474</v>
      </c>
      <c r="L329" s="61" t="s">
        <v>1475</v>
      </c>
      <c r="M329" s="149" t="s">
        <v>1414</v>
      </c>
      <c r="N329" s="61" t="s">
        <v>1474</v>
      </c>
      <c r="O329" s="93" t="s">
        <v>1326</v>
      </c>
      <c r="P329" s="61" t="s">
        <v>1414</v>
      </c>
      <c r="Q329" s="61" t="s">
        <v>1474</v>
      </c>
    </row>
    <row r="330">
      <c r="B330" s="1">
        <v>1.0</v>
      </c>
      <c r="C330" s="51">
        <v>46013.0</v>
      </c>
      <c r="D330" s="35" t="s">
        <v>753</v>
      </c>
      <c r="E330" s="35" t="s">
        <v>1256</v>
      </c>
      <c r="F330" s="35">
        <v>719.0</v>
      </c>
      <c r="G330" s="35" t="s">
        <v>1385</v>
      </c>
      <c r="H330" s="35" t="s">
        <v>1466</v>
      </c>
      <c r="I330" s="35" t="s">
        <v>1565</v>
      </c>
      <c r="J330" s="2"/>
      <c r="K330" s="2"/>
      <c r="L330" s="35" t="s">
        <v>1634</v>
      </c>
      <c r="M330" s="35">
        <v>2700.0</v>
      </c>
      <c r="N330" s="35" t="s">
        <v>1385</v>
      </c>
      <c r="O330" s="35" t="s">
        <v>1635</v>
      </c>
      <c r="P330" s="35">
        <v>270.0</v>
      </c>
      <c r="Q330" s="35" t="s">
        <v>1385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B331" s="1">
        <v>2.0</v>
      </c>
      <c r="C331" s="51">
        <v>46013.0</v>
      </c>
      <c r="D331" s="35" t="s">
        <v>1473</v>
      </c>
      <c r="E331" s="35" t="s">
        <v>1243</v>
      </c>
      <c r="F331" s="35">
        <v>1548.0</v>
      </c>
      <c r="G331" s="2"/>
      <c r="H331" s="2"/>
      <c r="I331" s="2"/>
      <c r="J331" s="2"/>
      <c r="K331" s="2"/>
      <c r="L331" s="2"/>
      <c r="M331" s="2"/>
      <c r="N331" s="2"/>
    </row>
    <row r="332">
      <c r="B332" s="1">
        <v>3.0</v>
      </c>
      <c r="C332" s="51">
        <v>46013.0</v>
      </c>
      <c r="D332" s="35" t="s">
        <v>745</v>
      </c>
      <c r="E332" s="35" t="s">
        <v>1243</v>
      </c>
      <c r="F332" s="35">
        <v>1548.0</v>
      </c>
      <c r="G332" s="166" t="s">
        <v>1346</v>
      </c>
      <c r="H332" s="35" t="s">
        <v>1466</v>
      </c>
      <c r="I332" s="35" t="s">
        <v>1636</v>
      </c>
      <c r="J332" s="35">
        <v>1215.0</v>
      </c>
      <c r="K332" s="2"/>
      <c r="L332" s="2"/>
      <c r="M332" s="2"/>
      <c r="N332" s="2"/>
    </row>
    <row r="333">
      <c r="B333" s="1">
        <v>4.0</v>
      </c>
      <c r="C333" s="51">
        <v>46013.0</v>
      </c>
      <c r="D333" s="35" t="s">
        <v>645</v>
      </c>
      <c r="E333" s="35" t="s">
        <v>1256</v>
      </c>
      <c r="F333" s="35">
        <v>800.0</v>
      </c>
      <c r="G333" s="168" t="s">
        <v>1534</v>
      </c>
      <c r="H333" s="35" t="s">
        <v>1466</v>
      </c>
      <c r="I333" s="2"/>
      <c r="J333" s="2"/>
      <c r="K333" s="2"/>
      <c r="L333" s="2"/>
      <c r="M333" s="2"/>
      <c r="N333" s="2"/>
    </row>
    <row r="334">
      <c r="B334" s="1">
        <v>5.0</v>
      </c>
      <c r="C334" s="51">
        <v>46014.0</v>
      </c>
      <c r="D334" s="35" t="s">
        <v>36</v>
      </c>
      <c r="E334" s="171" t="s">
        <v>1253</v>
      </c>
      <c r="F334" s="35">
        <v>1200.0</v>
      </c>
      <c r="G334" s="166" t="s">
        <v>1346</v>
      </c>
      <c r="H334" s="35" t="s">
        <v>1466</v>
      </c>
      <c r="I334" s="35" t="s">
        <v>1637</v>
      </c>
      <c r="J334" s="2"/>
      <c r="K334" s="2"/>
      <c r="L334" s="2"/>
      <c r="M334" s="2"/>
      <c r="N334" s="2"/>
    </row>
    <row r="335">
      <c r="B335" s="1">
        <v>6.0</v>
      </c>
      <c r="C335" s="51">
        <v>46014.0</v>
      </c>
      <c r="D335" s="35" t="s">
        <v>1430</v>
      </c>
      <c r="E335" s="171" t="s">
        <v>1256</v>
      </c>
      <c r="F335" s="35">
        <v>799.0</v>
      </c>
      <c r="G335" s="166" t="s">
        <v>1346</v>
      </c>
      <c r="H335" s="35" t="s">
        <v>1466</v>
      </c>
      <c r="I335" s="2"/>
      <c r="J335" s="2"/>
      <c r="K335" s="2"/>
      <c r="L335" s="2"/>
      <c r="M335" s="2"/>
      <c r="N335" s="2"/>
    </row>
    <row r="336">
      <c r="B336" s="1">
        <v>7.0</v>
      </c>
      <c r="C336" s="51">
        <v>46014.0</v>
      </c>
      <c r="D336" s="35" t="s">
        <v>1437</v>
      </c>
      <c r="E336" s="171" t="s">
        <v>1256</v>
      </c>
      <c r="F336" s="35">
        <v>799.0</v>
      </c>
      <c r="G336" s="166" t="s">
        <v>1346</v>
      </c>
      <c r="H336" s="35" t="s">
        <v>1466</v>
      </c>
      <c r="I336" s="2"/>
      <c r="J336" s="2"/>
      <c r="K336" s="2"/>
      <c r="L336" s="2"/>
      <c r="M336" s="2"/>
      <c r="N336" s="2"/>
    </row>
    <row r="337">
      <c r="B337" s="1">
        <v>8.0</v>
      </c>
      <c r="C337" s="51">
        <v>46014.0</v>
      </c>
      <c r="D337" s="35" t="s">
        <v>1548</v>
      </c>
      <c r="E337" s="35" t="s">
        <v>1638</v>
      </c>
      <c r="F337" s="35">
        <v>900.0</v>
      </c>
      <c r="G337" s="166" t="s">
        <v>1346</v>
      </c>
      <c r="H337" s="35" t="s">
        <v>1466</v>
      </c>
      <c r="I337" s="2"/>
      <c r="J337" s="2"/>
      <c r="K337" s="2"/>
      <c r="L337" s="2"/>
      <c r="M337" s="2"/>
      <c r="N337" s="2"/>
    </row>
    <row r="338">
      <c r="B338" s="1">
        <v>9.0</v>
      </c>
      <c r="C338" s="51">
        <v>46014.0</v>
      </c>
      <c r="D338" s="35" t="s">
        <v>495</v>
      </c>
      <c r="E338" s="171" t="s">
        <v>1253</v>
      </c>
      <c r="F338" s="35">
        <v>1289.0</v>
      </c>
      <c r="G338" s="35" t="s">
        <v>1385</v>
      </c>
      <c r="H338" s="35" t="s">
        <v>1639</v>
      </c>
      <c r="I338" s="2"/>
      <c r="J338" s="2"/>
      <c r="K338" s="2"/>
      <c r="L338" s="2"/>
      <c r="M338" s="2"/>
      <c r="N338" s="2"/>
    </row>
    <row r="339">
      <c r="B339" s="1">
        <v>10.0</v>
      </c>
      <c r="C339" s="51">
        <v>46014.0</v>
      </c>
      <c r="D339" s="35" t="s">
        <v>1640</v>
      </c>
      <c r="E339" s="171" t="s">
        <v>1253</v>
      </c>
      <c r="F339" s="35">
        <v>1289.0</v>
      </c>
      <c r="G339" s="35" t="s">
        <v>1385</v>
      </c>
      <c r="H339" s="35" t="s">
        <v>1466</v>
      </c>
      <c r="I339" s="35" t="s">
        <v>1641</v>
      </c>
      <c r="J339" s="35">
        <v>2295.0</v>
      </c>
      <c r="K339" s="2"/>
      <c r="L339" s="2"/>
      <c r="M339" s="2"/>
      <c r="N339" s="2"/>
    </row>
    <row r="340">
      <c r="B340" s="47">
        <v>11.0</v>
      </c>
      <c r="C340" s="57">
        <v>46014.0</v>
      </c>
      <c r="D340" s="48" t="s">
        <v>640</v>
      </c>
      <c r="E340" s="48" t="s">
        <v>1256</v>
      </c>
      <c r="F340" s="48">
        <v>799.0</v>
      </c>
      <c r="G340" s="168" t="s">
        <v>1346</v>
      </c>
      <c r="H340" s="48" t="s">
        <v>1466</v>
      </c>
      <c r="I340" s="53"/>
      <c r="J340" s="53"/>
      <c r="K340" s="53"/>
      <c r="L340" s="142" t="s">
        <v>1642</v>
      </c>
      <c r="M340" s="48">
        <v>4200.0</v>
      </c>
      <c r="N340" s="54"/>
      <c r="O340" s="187" t="s">
        <v>1643</v>
      </c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</row>
    <row r="341">
      <c r="B341" s="1">
        <v>12.0</v>
      </c>
      <c r="C341" s="51">
        <v>46014.0</v>
      </c>
      <c r="D341" s="35" t="s">
        <v>661</v>
      </c>
      <c r="E341" s="35" t="s">
        <v>1400</v>
      </c>
      <c r="F341" s="35">
        <v>1150.0</v>
      </c>
      <c r="G341" s="166" t="s">
        <v>1346</v>
      </c>
      <c r="H341" s="35" t="s">
        <v>1466</v>
      </c>
      <c r="I341" s="2"/>
      <c r="J341" s="2"/>
      <c r="K341" s="2"/>
      <c r="L341" s="2"/>
      <c r="M341" s="2"/>
      <c r="N341" s="2"/>
    </row>
    <row r="342">
      <c r="B342" s="1">
        <v>13.0</v>
      </c>
      <c r="C342" s="51">
        <v>46014.0</v>
      </c>
      <c r="D342" s="35" t="s">
        <v>1644</v>
      </c>
      <c r="E342" s="35" t="s">
        <v>1256</v>
      </c>
      <c r="F342" s="35">
        <v>710.0</v>
      </c>
      <c r="G342" s="35" t="s">
        <v>1385</v>
      </c>
      <c r="H342" s="35" t="s">
        <v>1645</v>
      </c>
      <c r="I342" s="35" t="s">
        <v>1646</v>
      </c>
      <c r="J342" s="2"/>
      <c r="K342" s="2"/>
      <c r="L342" s="2"/>
      <c r="M342" s="2"/>
      <c r="N342" s="2"/>
    </row>
    <row r="343">
      <c r="B343" s="1">
        <v>14.0</v>
      </c>
      <c r="C343" s="51">
        <v>46017.0</v>
      </c>
      <c r="D343" s="35" t="s">
        <v>546</v>
      </c>
      <c r="E343" s="35" t="s">
        <v>1253</v>
      </c>
      <c r="F343" s="35">
        <v>1289.0</v>
      </c>
      <c r="G343" s="35" t="s">
        <v>1385</v>
      </c>
      <c r="H343" s="35" t="s">
        <v>1466</v>
      </c>
      <c r="I343" s="35"/>
      <c r="J343" s="2"/>
      <c r="K343" s="2"/>
      <c r="L343" s="2"/>
      <c r="M343" s="2"/>
      <c r="N343" s="2"/>
    </row>
    <row r="344">
      <c r="B344" s="1">
        <v>15.0</v>
      </c>
      <c r="C344" s="51">
        <v>46017.0</v>
      </c>
      <c r="D344" s="35" t="s">
        <v>654</v>
      </c>
      <c r="E344" s="79"/>
      <c r="F344" s="79"/>
      <c r="G344" s="79"/>
      <c r="H344" s="79"/>
      <c r="I344" s="36" t="s">
        <v>1647</v>
      </c>
      <c r="J344" s="36">
        <v>250.0</v>
      </c>
      <c r="K344" s="82" t="s">
        <v>1648</v>
      </c>
      <c r="L344" s="136" t="s">
        <v>1649</v>
      </c>
      <c r="M344" s="35">
        <v>5085.0</v>
      </c>
      <c r="N344" s="168" t="s">
        <v>1534</v>
      </c>
      <c r="O344" s="35" t="s">
        <v>1650</v>
      </c>
    </row>
    <row r="345">
      <c r="B345" s="1">
        <v>16.0</v>
      </c>
      <c r="C345" s="51">
        <v>46017.0</v>
      </c>
      <c r="D345" s="35" t="s">
        <v>1595</v>
      </c>
      <c r="E345" s="79"/>
      <c r="F345" s="79"/>
      <c r="G345" s="79"/>
      <c r="H345" s="79"/>
      <c r="I345" s="35" t="s">
        <v>1651</v>
      </c>
      <c r="J345" s="35">
        <v>382.0</v>
      </c>
      <c r="K345" s="35" t="s">
        <v>1385</v>
      </c>
      <c r="L345" s="35" t="s">
        <v>1561</v>
      </c>
      <c r="M345" s="35">
        <v>1500.0</v>
      </c>
      <c r="N345" s="2"/>
    </row>
    <row r="346">
      <c r="B346" s="38">
        <v>17.0</v>
      </c>
      <c r="C346" s="39">
        <v>46018.0</v>
      </c>
      <c r="D346" s="36" t="s">
        <v>384</v>
      </c>
      <c r="E346" s="36" t="s">
        <v>1652</v>
      </c>
      <c r="F346" s="36">
        <v>1573.0</v>
      </c>
      <c r="G346" s="166" t="s">
        <v>1346</v>
      </c>
      <c r="H346" s="35" t="s">
        <v>1466</v>
      </c>
      <c r="I346" s="35" t="s">
        <v>1646</v>
      </c>
      <c r="J346" s="36"/>
      <c r="K346" s="36"/>
      <c r="L346" s="36"/>
      <c r="M346" s="36"/>
      <c r="N346" s="3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</row>
    <row r="347">
      <c r="B347" s="38">
        <v>18.0</v>
      </c>
      <c r="C347" s="39">
        <v>46018.0</v>
      </c>
      <c r="D347" s="79"/>
      <c r="E347" s="79"/>
      <c r="F347" s="79"/>
      <c r="G347" s="79"/>
      <c r="H347" s="79"/>
      <c r="I347" s="36" t="s">
        <v>1653</v>
      </c>
      <c r="J347" s="36">
        <v>950.0</v>
      </c>
      <c r="K347" s="36" t="s">
        <v>1385</v>
      </c>
      <c r="L347" s="36"/>
      <c r="M347" s="36"/>
      <c r="N347" s="3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</row>
    <row r="348">
      <c r="B348" s="38">
        <v>19.0</v>
      </c>
      <c r="C348" s="39">
        <v>46018.0</v>
      </c>
      <c r="D348" s="36" t="s">
        <v>979</v>
      </c>
      <c r="E348" s="36" t="s">
        <v>1426</v>
      </c>
      <c r="F348" s="36">
        <v>699.0</v>
      </c>
      <c r="G348" s="166" t="s">
        <v>1346</v>
      </c>
      <c r="H348" s="35" t="s">
        <v>1466</v>
      </c>
      <c r="I348" s="36" t="s">
        <v>1654</v>
      </c>
      <c r="J348" s="36">
        <v>250.0</v>
      </c>
      <c r="K348" s="166" t="s">
        <v>1346</v>
      </c>
      <c r="L348" s="36"/>
      <c r="M348" s="36"/>
      <c r="N348" s="3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</row>
    <row r="349">
      <c r="B349" s="38">
        <v>20.0</v>
      </c>
      <c r="C349" s="39">
        <v>46018.0</v>
      </c>
      <c r="D349" s="36" t="s">
        <v>634</v>
      </c>
      <c r="E349" s="36" t="s">
        <v>1253</v>
      </c>
      <c r="F349" s="36">
        <v>1289.0</v>
      </c>
      <c r="G349" s="36" t="s">
        <v>1385</v>
      </c>
      <c r="H349" s="36" t="s">
        <v>1639</v>
      </c>
      <c r="I349" s="36"/>
      <c r="J349" s="36"/>
      <c r="K349" s="36"/>
      <c r="L349" s="36"/>
      <c r="M349" s="36"/>
      <c r="N349" s="3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</row>
    <row r="350">
      <c r="B350" s="38">
        <v>21.0</v>
      </c>
      <c r="C350" s="39">
        <v>46018.0</v>
      </c>
      <c r="D350" s="36" t="s">
        <v>271</v>
      </c>
      <c r="E350" s="36" t="s">
        <v>1256</v>
      </c>
      <c r="F350" s="36">
        <v>799.0</v>
      </c>
      <c r="G350" s="36" t="s">
        <v>1385</v>
      </c>
      <c r="H350" s="36" t="s">
        <v>1639</v>
      </c>
      <c r="I350" s="36"/>
      <c r="J350" s="36"/>
      <c r="K350" s="36"/>
      <c r="L350" s="36"/>
      <c r="M350" s="36"/>
      <c r="N350" s="3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</row>
    <row r="351">
      <c r="B351" s="38">
        <v>22.0</v>
      </c>
      <c r="C351" s="39">
        <v>46018.0</v>
      </c>
      <c r="D351" s="36" t="s">
        <v>621</v>
      </c>
      <c r="E351" s="36" t="s">
        <v>1655</v>
      </c>
      <c r="F351" s="36">
        <v>1490.0</v>
      </c>
      <c r="G351" s="166" t="s">
        <v>1346</v>
      </c>
      <c r="H351" s="35" t="s">
        <v>1466</v>
      </c>
      <c r="I351" s="36" t="s">
        <v>1656</v>
      </c>
      <c r="J351" s="36">
        <v>1770.0</v>
      </c>
      <c r="K351" s="36"/>
      <c r="L351" s="36"/>
      <c r="M351" s="36"/>
      <c r="N351" s="3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</row>
    <row r="352">
      <c r="B352" s="38">
        <v>23.0</v>
      </c>
      <c r="C352" s="39">
        <v>46018.0</v>
      </c>
      <c r="D352" s="36" t="s">
        <v>628</v>
      </c>
      <c r="E352" s="36" t="s">
        <v>1657</v>
      </c>
      <c r="F352" s="36">
        <v>1748.0</v>
      </c>
      <c r="G352" s="168" t="s">
        <v>1534</v>
      </c>
      <c r="H352" s="36" t="s">
        <v>1639</v>
      </c>
      <c r="I352" s="36"/>
      <c r="J352" s="36"/>
      <c r="K352" s="36"/>
      <c r="L352" s="36"/>
      <c r="M352" s="36"/>
      <c r="N352" s="3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</row>
    <row r="353">
      <c r="B353" s="38">
        <v>24.0</v>
      </c>
      <c r="C353" s="39">
        <v>46019.0</v>
      </c>
      <c r="D353" s="36" t="s">
        <v>1584</v>
      </c>
      <c r="E353" s="36" t="s">
        <v>1658</v>
      </c>
      <c r="F353" s="36">
        <v>950.0</v>
      </c>
      <c r="G353" s="168" t="s">
        <v>1534</v>
      </c>
      <c r="H353" s="36" t="s">
        <v>1645</v>
      </c>
      <c r="I353" s="36"/>
      <c r="J353" s="36"/>
      <c r="K353" s="36"/>
      <c r="L353" s="36"/>
      <c r="M353" s="36"/>
      <c r="N353" s="3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</row>
    <row r="354">
      <c r="B354" s="38">
        <v>25.0</v>
      </c>
      <c r="C354" s="39">
        <v>46019.0</v>
      </c>
      <c r="D354" s="36" t="s">
        <v>602</v>
      </c>
      <c r="E354" s="36" t="s">
        <v>1253</v>
      </c>
      <c r="F354" s="36">
        <v>1290.0</v>
      </c>
      <c r="G354" s="36" t="s">
        <v>1534</v>
      </c>
      <c r="H354" s="36" t="s">
        <v>1645</v>
      </c>
      <c r="I354" s="36"/>
      <c r="J354" s="36"/>
      <c r="K354" s="36"/>
      <c r="L354" s="36"/>
      <c r="M354" s="36"/>
      <c r="N354" s="3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</row>
    <row r="355">
      <c r="B355" s="38">
        <v>26.0</v>
      </c>
      <c r="C355" s="39">
        <v>46019.0</v>
      </c>
      <c r="D355" s="36" t="s">
        <v>1659</v>
      </c>
      <c r="E355" s="36" t="s">
        <v>1256</v>
      </c>
      <c r="F355" s="36">
        <v>799.0</v>
      </c>
      <c r="G355" s="36" t="s">
        <v>1534</v>
      </c>
      <c r="H355" s="36" t="s">
        <v>1645</v>
      </c>
      <c r="I355" s="36"/>
      <c r="J355" s="36"/>
      <c r="K355" s="36"/>
      <c r="L355" s="36"/>
      <c r="M355" s="36"/>
      <c r="N355" s="3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</row>
    <row r="356">
      <c r="A356" s="146"/>
      <c r="B356" s="38">
        <v>27.0</v>
      </c>
      <c r="C356" s="39">
        <v>46019.0</v>
      </c>
      <c r="D356" s="36" t="s">
        <v>458</v>
      </c>
      <c r="E356" s="36" t="s">
        <v>1256</v>
      </c>
      <c r="F356" s="36">
        <v>799.0</v>
      </c>
      <c r="G356" s="166" t="s">
        <v>1346</v>
      </c>
      <c r="H356" s="36" t="s">
        <v>1645</v>
      </c>
      <c r="I356" s="36"/>
      <c r="J356" s="36"/>
      <c r="K356" s="36"/>
      <c r="L356" s="36"/>
      <c r="M356" s="36"/>
      <c r="N356" s="3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</row>
    <row r="357">
      <c r="A357" s="146"/>
      <c r="B357" s="38"/>
      <c r="C357" s="39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</row>
    <row r="358">
      <c r="A358" s="146"/>
      <c r="B358" s="1"/>
      <c r="C358" s="2"/>
      <c r="D358" s="2"/>
      <c r="E358" s="13" t="s">
        <v>1632</v>
      </c>
      <c r="F358" s="147">
        <f>SUM(F330:F355)</f>
        <v>25476</v>
      </c>
      <c r="G358" s="2"/>
      <c r="H358" s="2"/>
      <c r="I358" s="13" t="s">
        <v>1632</v>
      </c>
      <c r="J358" s="147">
        <f>SUM(J330:J357)</f>
        <v>7112</v>
      </c>
      <c r="K358" s="2"/>
      <c r="L358" s="13" t="s">
        <v>1632</v>
      </c>
      <c r="M358" s="186">
        <f>SUM(M330:M345)</f>
        <v>13485</v>
      </c>
      <c r="N358" s="2"/>
      <c r="O358" s="13" t="s">
        <v>1632</v>
      </c>
      <c r="P358" s="186">
        <f>SUM(P330:P345)</f>
        <v>270</v>
      </c>
    </row>
    <row r="359">
      <c r="A359" s="146"/>
      <c r="B359" s="5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A360" s="90" t="s">
        <v>1509</v>
      </c>
      <c r="B360" s="91" t="s">
        <v>1233</v>
      </c>
      <c r="C360" s="92" t="s">
        <v>1321</v>
      </c>
      <c r="D360" s="92" t="s">
        <v>2</v>
      </c>
      <c r="E360" s="92" t="s">
        <v>1322</v>
      </c>
      <c r="F360" s="92" t="s">
        <v>1323</v>
      </c>
      <c r="G360" s="92" t="s">
        <v>1324</v>
      </c>
      <c r="H360" s="93" t="s">
        <v>1325</v>
      </c>
      <c r="I360" s="93" t="s">
        <v>1326</v>
      </c>
      <c r="J360" s="61" t="s">
        <v>1414</v>
      </c>
      <c r="K360" s="61" t="s">
        <v>1474</v>
      </c>
      <c r="L360" s="61" t="s">
        <v>1475</v>
      </c>
      <c r="M360" s="149" t="s">
        <v>1414</v>
      </c>
      <c r="N360" s="61" t="s">
        <v>1474</v>
      </c>
      <c r="O360" s="93" t="s">
        <v>1326</v>
      </c>
      <c r="P360" s="61" t="s">
        <v>1414</v>
      </c>
      <c r="Q360" s="61" t="s">
        <v>1474</v>
      </c>
    </row>
    <row r="361">
      <c r="B361" s="1">
        <v>1.0</v>
      </c>
      <c r="C361" s="158">
        <v>46020.0</v>
      </c>
      <c r="D361" s="35" t="s">
        <v>585</v>
      </c>
      <c r="E361" s="35" t="s">
        <v>1652</v>
      </c>
      <c r="F361" s="35">
        <v>1749.0</v>
      </c>
      <c r="G361" s="36" t="s">
        <v>1534</v>
      </c>
      <c r="H361" s="35" t="s">
        <v>1639</v>
      </c>
      <c r="I361" s="142" t="s">
        <v>1660</v>
      </c>
      <c r="J361" s="2"/>
      <c r="K361" s="2"/>
      <c r="L361" s="2"/>
      <c r="M361" s="2"/>
      <c r="N361" s="2"/>
    </row>
    <row r="362" ht="22.5" customHeight="1">
      <c r="B362" s="1">
        <v>2.0</v>
      </c>
      <c r="C362" s="51">
        <v>46020.0</v>
      </c>
      <c r="D362" s="35" t="s">
        <v>587</v>
      </c>
      <c r="E362" s="35" t="s">
        <v>1652</v>
      </c>
      <c r="F362" s="35">
        <v>1749.0</v>
      </c>
      <c r="G362" s="36" t="s">
        <v>1534</v>
      </c>
      <c r="H362" s="35" t="s">
        <v>1639</v>
      </c>
      <c r="J362" s="2"/>
      <c r="K362" s="2"/>
      <c r="L362" s="2"/>
      <c r="M362" s="2"/>
      <c r="N362" s="2"/>
    </row>
    <row r="363">
      <c r="B363" s="1">
        <v>3.0</v>
      </c>
      <c r="C363" s="51">
        <v>46020.0</v>
      </c>
      <c r="D363" s="35" t="s">
        <v>1661</v>
      </c>
      <c r="E363" s="35" t="s">
        <v>1662</v>
      </c>
      <c r="F363" s="35">
        <v>1898.0</v>
      </c>
      <c r="G363" s="35" t="s">
        <v>1385</v>
      </c>
      <c r="H363" s="35" t="s">
        <v>1639</v>
      </c>
      <c r="I363" s="2"/>
      <c r="J363" s="2"/>
      <c r="K363" s="2"/>
      <c r="L363" s="2"/>
      <c r="M363" s="2"/>
      <c r="N363" s="2"/>
    </row>
    <row r="364">
      <c r="B364" s="1">
        <v>4.0</v>
      </c>
      <c r="C364" s="51">
        <v>46020.0</v>
      </c>
      <c r="D364" s="35" t="s">
        <v>595</v>
      </c>
      <c r="E364" s="35" t="s">
        <v>1652</v>
      </c>
      <c r="F364" s="35">
        <v>1748.0</v>
      </c>
      <c r="G364" s="35" t="s">
        <v>1385</v>
      </c>
      <c r="H364" s="35" t="s">
        <v>1639</v>
      </c>
      <c r="I364" s="2"/>
      <c r="J364" s="2"/>
      <c r="K364" s="2"/>
      <c r="L364" s="2"/>
      <c r="M364" s="2"/>
      <c r="N364" s="2"/>
    </row>
    <row r="365">
      <c r="B365" s="1">
        <v>5.0</v>
      </c>
      <c r="C365" s="51">
        <v>46020.0</v>
      </c>
      <c r="D365" s="35" t="s">
        <v>577</v>
      </c>
      <c r="E365" s="35" t="s">
        <v>1663</v>
      </c>
      <c r="F365" s="35">
        <v>1350.0</v>
      </c>
      <c r="G365" s="35" t="s">
        <v>1534</v>
      </c>
      <c r="H365" s="35" t="s">
        <v>1639</v>
      </c>
      <c r="I365" s="2"/>
      <c r="J365" s="2"/>
      <c r="K365" s="2"/>
      <c r="L365" s="2"/>
      <c r="M365" s="2"/>
      <c r="N365" s="2"/>
    </row>
    <row r="366">
      <c r="B366" s="1">
        <v>6.0</v>
      </c>
      <c r="C366" s="51">
        <v>46021.0</v>
      </c>
      <c r="D366" s="35" t="s">
        <v>1520</v>
      </c>
      <c r="E366" s="35" t="s">
        <v>1298</v>
      </c>
      <c r="F366" s="35">
        <v>799.0</v>
      </c>
      <c r="G366" s="48" t="s">
        <v>1385</v>
      </c>
      <c r="H366" s="48" t="s">
        <v>1466</v>
      </c>
      <c r="I366" s="2"/>
      <c r="J366" s="2"/>
      <c r="K366" s="2"/>
      <c r="L366" s="2"/>
      <c r="M366" s="2"/>
      <c r="N366" s="2"/>
    </row>
    <row r="367">
      <c r="B367" s="1">
        <v>7.0</v>
      </c>
      <c r="C367" s="51">
        <v>46021.0</v>
      </c>
      <c r="D367" s="35" t="s">
        <v>1522</v>
      </c>
      <c r="E367" s="35" t="s">
        <v>1256</v>
      </c>
      <c r="F367" s="35">
        <v>799.0</v>
      </c>
      <c r="I367" s="2"/>
      <c r="J367" s="2"/>
      <c r="K367" s="2"/>
      <c r="L367" s="2"/>
      <c r="M367" s="2"/>
      <c r="N367" s="2"/>
    </row>
    <row r="368">
      <c r="B368" s="1">
        <v>8.0</v>
      </c>
      <c r="C368" s="51">
        <v>46021.0</v>
      </c>
      <c r="D368" s="35" t="s">
        <v>1664</v>
      </c>
      <c r="E368" s="35" t="s">
        <v>1256</v>
      </c>
      <c r="F368" s="17"/>
      <c r="G368" s="2"/>
      <c r="H368" s="2"/>
      <c r="I368" s="2"/>
      <c r="J368" s="2"/>
      <c r="K368" s="2"/>
      <c r="L368" s="2"/>
      <c r="M368" s="2"/>
      <c r="N368" s="2"/>
    </row>
    <row r="369">
      <c r="B369" s="1">
        <v>9.0</v>
      </c>
      <c r="C369" s="51">
        <v>46021.0</v>
      </c>
      <c r="D369" s="35" t="s">
        <v>1665</v>
      </c>
      <c r="E369" s="35" t="s">
        <v>1243</v>
      </c>
      <c r="F369" s="36">
        <v>1598.0</v>
      </c>
      <c r="G369" s="2"/>
      <c r="H369" s="2"/>
      <c r="I369" s="2"/>
      <c r="J369" s="2"/>
      <c r="K369" s="2"/>
      <c r="L369" s="2"/>
      <c r="M369" s="2"/>
      <c r="N369" s="2"/>
    </row>
    <row r="370">
      <c r="B370" s="1">
        <v>10.0</v>
      </c>
      <c r="C370" s="51">
        <v>46021.0</v>
      </c>
      <c r="D370" s="35" t="s">
        <v>1399</v>
      </c>
      <c r="E370" s="35" t="s">
        <v>1666</v>
      </c>
      <c r="F370" s="35">
        <v>1149.0</v>
      </c>
      <c r="G370" s="166" t="s">
        <v>1346</v>
      </c>
      <c r="H370" s="35" t="s">
        <v>1466</v>
      </c>
      <c r="I370" s="2"/>
      <c r="J370" s="2"/>
      <c r="K370" s="2"/>
      <c r="L370" s="2"/>
      <c r="M370" s="2"/>
      <c r="N370" s="2"/>
    </row>
    <row r="371">
      <c r="B371" s="1">
        <v>11.0</v>
      </c>
      <c r="C371" s="51">
        <v>46021.0</v>
      </c>
      <c r="D371" s="35" t="s">
        <v>471</v>
      </c>
      <c r="E371" s="35" t="s">
        <v>1454</v>
      </c>
      <c r="F371" s="35">
        <v>1448.0</v>
      </c>
      <c r="G371" s="35" t="s">
        <v>1385</v>
      </c>
      <c r="H371" s="35" t="s">
        <v>1466</v>
      </c>
      <c r="I371" s="35" t="s">
        <v>1667</v>
      </c>
      <c r="J371" s="35">
        <v>830.0</v>
      </c>
      <c r="K371" s="2"/>
      <c r="L371" s="136" t="s">
        <v>1668</v>
      </c>
      <c r="M371" s="35">
        <v>3000.0</v>
      </c>
      <c r="N371" s="2"/>
      <c r="O371" s="35" t="s">
        <v>1669</v>
      </c>
      <c r="P371" s="35">
        <v>300.0</v>
      </c>
    </row>
    <row r="372">
      <c r="B372" s="1">
        <v>12.0</v>
      </c>
      <c r="C372" s="51">
        <v>46021.0</v>
      </c>
      <c r="D372" s="36" t="s">
        <v>1670</v>
      </c>
      <c r="E372" s="4"/>
      <c r="F372" s="4"/>
      <c r="G372" s="4"/>
      <c r="H372" s="4"/>
      <c r="I372" s="4"/>
      <c r="J372" s="4"/>
      <c r="K372" s="4"/>
      <c r="L372" s="136" t="s">
        <v>1671</v>
      </c>
      <c r="M372" s="35">
        <v>4300.0</v>
      </c>
      <c r="N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B373" s="58"/>
      <c r="C373" s="2"/>
      <c r="D373" s="2"/>
      <c r="E373" s="13" t="s">
        <v>1632</v>
      </c>
      <c r="F373" s="147">
        <f>SUM(F361:F371)</f>
        <v>14287</v>
      </c>
      <c r="G373" s="2"/>
      <c r="H373" s="2"/>
      <c r="I373" s="13" t="s">
        <v>1337</v>
      </c>
      <c r="J373" s="186">
        <f>SUM(J361:J371)</f>
        <v>830</v>
      </c>
      <c r="K373" s="2"/>
      <c r="L373" s="13" t="s">
        <v>1632</v>
      </c>
      <c r="M373" s="186">
        <f>SUM(M371:M372)</f>
        <v>7300</v>
      </c>
      <c r="N373" s="2"/>
      <c r="O373" s="13" t="s">
        <v>1632</v>
      </c>
      <c r="P373" s="13">
        <v>300.0</v>
      </c>
    </row>
    <row r="374">
      <c r="B374" s="5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B375" s="5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A376" s="2"/>
      <c r="B376" s="58"/>
      <c r="C376" s="2"/>
      <c r="D376" s="2"/>
      <c r="E376" s="188" t="s">
        <v>1672</v>
      </c>
      <c r="F376" s="188">
        <f>SUM(F266,F292,F327,F358,F373)</f>
        <v>114242</v>
      </c>
      <c r="G376" s="2"/>
      <c r="H376" s="2"/>
      <c r="I376" s="189" t="s">
        <v>1672</v>
      </c>
      <c r="J376" s="189"/>
      <c r="K376" s="2"/>
      <c r="L376" s="190" t="s">
        <v>1672</v>
      </c>
      <c r="M376" s="190"/>
      <c r="N376" s="2"/>
      <c r="O376" s="191" t="s">
        <v>1672</v>
      </c>
      <c r="P376" s="191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B377" s="5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B378" s="5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B379" s="5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B380" s="5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B381" s="5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B382" s="5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B383" s="5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B384" s="5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B385" s="5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B386" s="5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B387" s="5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B388" s="5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B389" s="5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B390" s="5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B391" s="5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B392" s="5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B393" s="5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B394" s="5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B395" s="5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B396" s="5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B397" s="5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B398" s="5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B399" s="5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B400" s="5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B401" s="5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B402" s="5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B403" s="5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B404" s="5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B405" s="5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B406" s="5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B407" s="5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B408" s="5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B409" s="5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B410" s="5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B411" s="5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B412" s="5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B413" s="5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B414" s="5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B415" s="5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B416" s="5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B417" s="5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B418" s="5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B419" s="5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B420" s="5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B421" s="5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B422" s="5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B423" s="5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B424" s="5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B425" s="5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B426" s="5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B427" s="5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B428" s="5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B429" s="5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B430" s="5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B431" s="5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B432" s="5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B433" s="5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B434" s="5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B435" s="5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B436" s="5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B437" s="5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B438" s="5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B439" s="5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B440" s="5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B441" s="5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B442" s="5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B443" s="5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B444" s="5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B445" s="5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B446" s="5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B447" s="5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B448" s="5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B449" s="5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B450" s="5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B451" s="5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B452" s="5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B453" s="5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B454" s="5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B455" s="5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B456" s="5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B457" s="5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B458" s="5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B459" s="5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B460" s="5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B461" s="5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B462" s="5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B463" s="5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B464" s="5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B465" s="5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B466" s="5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B467" s="5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B468" s="5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B469" s="5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B470" s="5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B471" s="5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B472" s="5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B473" s="5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B474" s="5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B475" s="5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B476" s="5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B477" s="5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B478" s="5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B479" s="5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B480" s="5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B481" s="5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B482" s="5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B483" s="5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B484" s="5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B485" s="5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B486" s="5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B487" s="5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B488" s="5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B489" s="5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B490" s="5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B491" s="5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B492" s="5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B493" s="5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B494" s="5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B495" s="5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B496" s="5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B497" s="5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B498" s="5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B499" s="5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B500" s="5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B501" s="5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B502" s="5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B503" s="5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B504" s="5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B505" s="5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B506" s="5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B507" s="5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B508" s="5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B509" s="5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B510" s="5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B511" s="5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B512" s="5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B513" s="5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B514" s="5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B515" s="5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B516" s="5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B517" s="5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B518" s="5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B519" s="5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B520" s="5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B521" s="5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B522" s="5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B523" s="5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B524" s="5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B525" s="5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B526" s="5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B527" s="5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B528" s="5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B529" s="5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B530" s="5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B531" s="5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B532" s="5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B533" s="5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B534" s="5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B535" s="5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B536" s="5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B537" s="5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B538" s="5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B539" s="5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B540" s="5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B541" s="5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B542" s="5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B543" s="5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B544" s="5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B545" s="5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B546" s="5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B547" s="5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B548" s="5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B549" s="5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B550" s="5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B551" s="5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B552" s="5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B553" s="5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B554" s="5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B555" s="5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B556" s="5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B557" s="5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B558" s="5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B559" s="5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B560" s="5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B561" s="5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B562" s="5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B563" s="5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B564" s="5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B565" s="5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B566" s="5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B567" s="5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B568" s="5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B569" s="5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B570" s="5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B571" s="5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B572" s="5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B573" s="5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B574" s="5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B575" s="5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B576" s="5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B577" s="5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B578" s="5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B579" s="5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B580" s="5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B581" s="5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B582" s="5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B583" s="5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B584" s="5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B585" s="5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B586" s="5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B587" s="5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B588" s="5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B589" s="5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B590" s="5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B591" s="5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B592" s="5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B593" s="5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B594" s="5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B595" s="5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B596" s="5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B597" s="5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B598" s="5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B599" s="5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B600" s="5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B601" s="5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B602" s="5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B603" s="5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B604" s="5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B605" s="5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B606" s="5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B607" s="5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B608" s="5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B609" s="5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B610" s="5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B611" s="5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B612" s="5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B613" s="5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B614" s="5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B615" s="5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B616" s="5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B617" s="5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B618" s="5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B619" s="5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B620" s="5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B621" s="5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B622" s="5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B623" s="5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B624" s="5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B625" s="5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B626" s="5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B627" s="5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B628" s="5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B629" s="5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B630" s="5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B631" s="5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B632" s="5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B633" s="5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B634" s="5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B635" s="5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B636" s="5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B637" s="5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B638" s="5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B639" s="5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B640" s="5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B641" s="5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B642" s="5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B643" s="5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B644" s="5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B645" s="5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B646" s="5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B647" s="5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B648" s="5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B649" s="5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B650" s="5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B651" s="5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B652" s="5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B653" s="5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B654" s="5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B655" s="5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B656" s="5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B657" s="5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B658" s="5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B659" s="5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B660" s="5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B661" s="5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B662" s="5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B663" s="5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B664" s="5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B665" s="5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B666" s="5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B667" s="5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B668" s="5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B669" s="5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B670" s="5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B671" s="5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B672" s="5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B673" s="5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B674" s="5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B675" s="5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B676" s="5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B677" s="5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B678" s="5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B679" s="5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B680" s="5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B681" s="5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B682" s="5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B683" s="5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B684" s="5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B685" s="5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B686" s="5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B687" s="5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B688" s="5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B689" s="5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B690" s="5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B691" s="5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B692" s="5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B693" s="5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B694" s="5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B695" s="5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B696" s="5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B697" s="5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B698" s="5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B699" s="5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B700" s="5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B701" s="5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B702" s="5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B703" s="5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B704" s="5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B705" s="5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B706" s="5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B707" s="5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B708" s="5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B709" s="5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B710" s="5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B711" s="5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B712" s="5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B713" s="5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B714" s="5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B715" s="5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B716" s="5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B717" s="5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B718" s="5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B719" s="5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B720" s="5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B721" s="5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B722" s="5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B723" s="5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B724" s="5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B725" s="5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B726" s="5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B727" s="5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B728" s="5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B729" s="5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B730" s="5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B731" s="5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B732" s="5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B733" s="5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B734" s="5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B735" s="5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B736" s="5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B737" s="5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B738" s="5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B739" s="5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B740" s="5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B741" s="5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B742" s="5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B743" s="5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B744" s="5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B745" s="5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B746" s="5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B747" s="5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B748" s="5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B749" s="5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B750" s="5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B751" s="5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B752" s="5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B753" s="5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B754" s="5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B755" s="5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B756" s="5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B757" s="5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B758" s="5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B759" s="5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B760" s="5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B761" s="5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B762" s="5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B763" s="5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B764" s="5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B765" s="5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B766" s="5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B767" s="5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B768" s="5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B769" s="5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B770" s="5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B771" s="5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B772" s="5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B773" s="5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B774" s="5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B775" s="5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B776" s="5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B777" s="5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B778" s="5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B779" s="5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B780" s="5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B781" s="5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B782" s="5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B783" s="5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B784" s="5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B785" s="5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B786" s="5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B787" s="5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B788" s="5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B789" s="5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B790" s="5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B791" s="5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B792" s="5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B793" s="5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B794" s="5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B795" s="5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B796" s="5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B797" s="5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B798" s="5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B799" s="5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B800" s="5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B801" s="5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B802" s="5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B803" s="5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B804" s="5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B805" s="5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B806" s="5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B807" s="5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B808" s="5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B809" s="5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B810" s="5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B811" s="5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B812" s="5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B813" s="5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B814" s="5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B815" s="5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B816" s="5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B817" s="5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B818" s="5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B819" s="5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B820" s="5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B821" s="5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B822" s="5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B823" s="5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B824" s="5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B825" s="5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B826" s="5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B827" s="5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B828" s="5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B829" s="5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B830" s="5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B831" s="5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B832" s="5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B833" s="5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B834" s="5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B835" s="5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B836" s="5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B837" s="5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B838" s="5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B839" s="5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B840" s="5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B841" s="5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B842" s="5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B843" s="5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B844" s="5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B845" s="5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B846" s="5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B847" s="5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B848" s="5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B849" s="5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B850" s="5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B851" s="5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B852" s="5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B853" s="5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B854" s="5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B855" s="5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B856" s="5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B857" s="5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B858" s="5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B859" s="5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B860" s="5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B861" s="5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B862" s="5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B863" s="5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B864" s="5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B865" s="5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B866" s="5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B867" s="5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B868" s="5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B869" s="5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B870" s="5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B871" s="5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B872" s="5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B873" s="5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B874" s="5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B875" s="5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B876" s="5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B877" s="5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B878" s="5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B879" s="5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B880" s="5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B881" s="5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B882" s="5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B883" s="5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B884" s="5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B885" s="5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B886" s="5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B887" s="5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B888" s="5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B889" s="5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B890" s="5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B891" s="5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B892" s="5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B893" s="5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B894" s="5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B895" s="5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B896" s="5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B897" s="5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B898" s="5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B899" s="5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B900" s="5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B901" s="5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B902" s="5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B903" s="5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B904" s="5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B905" s="5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B906" s="5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B907" s="5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B908" s="5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B909" s="5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B910" s="5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B911" s="5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B912" s="5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B913" s="5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B914" s="5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B915" s="5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B916" s="5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B917" s="5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B918" s="5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B919" s="5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B920" s="5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>
      <c r="B921" s="5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>
      <c r="B922" s="5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>
      <c r="B923" s="5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>
      <c r="B924" s="5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>
      <c r="B925" s="5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>
      <c r="B926" s="5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>
      <c r="B927" s="5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>
      <c r="B928" s="5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>
      <c r="B929" s="5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>
      <c r="B930" s="5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>
      <c r="B931" s="5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>
      <c r="B932" s="5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>
      <c r="B933" s="5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>
      <c r="B934" s="5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>
      <c r="B935" s="5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>
      <c r="B936" s="5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>
      <c r="B937" s="5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>
      <c r="B938" s="5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>
      <c r="B939" s="5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>
      <c r="B940" s="5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>
      <c r="B941" s="5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>
      <c r="B942" s="5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>
      <c r="B943" s="5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>
      <c r="B944" s="5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>
      <c r="B945" s="5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>
      <c r="B946" s="5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>
      <c r="B947" s="5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>
      <c r="B948" s="5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>
      <c r="B949" s="5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>
      <c r="B950" s="5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>
      <c r="B951" s="5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>
      <c r="B952" s="5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>
      <c r="B953" s="5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>
      <c r="B954" s="5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>
      <c r="B955" s="5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>
      <c r="B956" s="5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>
      <c r="B957" s="5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>
      <c r="B958" s="5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>
      <c r="B959" s="5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>
      <c r="B960" s="5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>
      <c r="B961" s="5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>
      <c r="B962" s="5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>
      <c r="B963" s="5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>
      <c r="B964" s="5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>
      <c r="B965" s="5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>
      <c r="B966" s="5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>
      <c r="B967" s="5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>
      <c r="B968" s="5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>
      <c r="B969" s="5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>
      <c r="B970" s="5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>
      <c r="B971" s="5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>
      <c r="B972" s="5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>
      <c r="B973" s="5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>
      <c r="B974" s="5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>
      <c r="B975" s="5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>
      <c r="B976" s="5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>
      <c r="B977" s="5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>
      <c r="B978" s="5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>
      <c r="B979" s="5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>
      <c r="B980" s="5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>
      <c r="B981" s="5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>
      <c r="B982" s="5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>
      <c r="B983" s="5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>
      <c r="B984" s="5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>
      <c r="B985" s="5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>
      <c r="B986" s="5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>
      <c r="B987" s="5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>
      <c r="B988" s="5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>
      <c r="B989" s="5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>
      <c r="B990" s="5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>
      <c r="B991" s="5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>
      <c r="B992" s="5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>
      <c r="B993" s="5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>
      <c r="B994" s="5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>
      <c r="B995" s="5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>
      <c r="B996" s="5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>
      <c r="B997" s="5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>
      <c r="B998" s="5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>
      <c r="B999" s="5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>
      <c r="B1000" s="5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>
      <c r="B1001" s="58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>
      <c r="B1002" s="58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>
      <c r="B1003" s="58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>
      <c r="B1004" s="58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>
      <c r="B1005" s="58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>
      <c r="B1006" s="58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>
      <c r="B1007" s="58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>
      <c r="B1008" s="58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>
      <c r="B1009" s="58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</row>
    <row r="1010">
      <c r="B1010" s="58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>
      <c r="B1011" s="58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>
      <c r="B1012" s="58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</row>
    <row r="1013">
      <c r="B1013" s="58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</row>
    <row r="1014">
      <c r="B1014" s="58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>
      <c r="B1015" s="58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</row>
    <row r="1016">
      <c r="B1016" s="58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</row>
    <row r="1017">
      <c r="B1017" s="58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>
      <c r="B1018" s="58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>
      <c r="B1019" s="58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</row>
    <row r="1020">
      <c r="B1020" s="58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>
      <c r="B1021" s="58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</row>
    <row r="1022">
      <c r="B1022" s="58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>
      <c r="B1023" s="58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</row>
    <row r="1024">
      <c r="B1024" s="58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>
      <c r="B1025" s="58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>
      <c r="B1026" s="58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>
      <c r="B1027" s="58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>
      <c r="B1028" s="58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>
      <c r="B1029" s="58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>
      <c r="B1030" s="58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>
      <c r="B1031" s="58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</row>
    <row r="1032">
      <c r="B1032" s="58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>
      <c r="B1033" s="58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</row>
    <row r="1034">
      <c r="B1034" s="58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>
      <c r="B1035" s="58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</row>
    <row r="1036">
      <c r="B1036" s="58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</row>
    <row r="1037">
      <c r="B1037" s="58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</row>
    <row r="1038">
      <c r="B1038" s="58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</row>
    <row r="1039">
      <c r="B1039" s="58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</row>
    <row r="1040">
      <c r="B1040" s="58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</row>
    <row r="1041">
      <c r="B1041" s="58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>
      <c r="B1042" s="58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>
      <c r="B1043" s="58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>
      <c r="B1044" s="58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</row>
    <row r="1045">
      <c r="B1045" s="58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</row>
    <row r="1046">
      <c r="B1046" s="58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>
      <c r="B1047" s="58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</row>
    <row r="1048">
      <c r="B1048" s="58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</row>
    <row r="1049">
      <c r="B1049" s="58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</row>
    <row r="1050">
      <c r="B1050" s="58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</row>
    <row r="1051">
      <c r="B1051" s="58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</row>
    <row r="1052">
      <c r="B1052" s="58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</row>
    <row r="1053">
      <c r="B1053" s="58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</row>
    <row r="1054">
      <c r="B1054" s="58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</row>
    <row r="1055">
      <c r="B1055" s="58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</row>
    <row r="1056">
      <c r="B1056" s="58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</row>
    <row r="1057">
      <c r="B1057" s="58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</row>
    <row r="1058">
      <c r="B1058" s="58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</row>
    <row r="1059">
      <c r="B1059" s="58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</row>
    <row r="1060">
      <c r="B1060" s="58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</row>
    <row r="1061">
      <c r="B1061" s="58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</row>
    <row r="1062">
      <c r="B1062" s="58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</row>
    <row r="1063">
      <c r="B1063" s="58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</row>
    <row r="1064">
      <c r="B1064" s="58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</row>
    <row r="1065">
      <c r="B1065" s="58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</row>
  </sheetData>
  <mergeCells count="53">
    <mergeCell ref="A329:A355"/>
    <mergeCell ref="A360:A373"/>
    <mergeCell ref="A113:A130"/>
    <mergeCell ref="A132:A137"/>
    <mergeCell ref="A139:A145"/>
    <mergeCell ref="A151:A163"/>
    <mergeCell ref="A166:A174"/>
    <mergeCell ref="A177:A193"/>
    <mergeCell ref="A197:A215"/>
    <mergeCell ref="A1:I2"/>
    <mergeCell ref="J2:N3"/>
    <mergeCell ref="A4:A11"/>
    <mergeCell ref="J4:N4"/>
    <mergeCell ref="A13:A28"/>
    <mergeCell ref="J17:N18"/>
    <mergeCell ref="J29:N30"/>
    <mergeCell ref="A31:A35"/>
    <mergeCell ref="A39:I40"/>
    <mergeCell ref="J39:R40"/>
    <mergeCell ref="A41:A52"/>
    <mergeCell ref="B45:B47"/>
    <mergeCell ref="C45:C47"/>
    <mergeCell ref="G45:G47"/>
    <mergeCell ref="A54:A62"/>
    <mergeCell ref="A65:A71"/>
    <mergeCell ref="A74:A80"/>
    <mergeCell ref="A82:A85"/>
    <mergeCell ref="A89:I90"/>
    <mergeCell ref="J89:R90"/>
    <mergeCell ref="S89:AA90"/>
    <mergeCell ref="F128:F129"/>
    <mergeCell ref="G128:G129"/>
    <mergeCell ref="A149:O150"/>
    <mergeCell ref="A91:A102"/>
    <mergeCell ref="A105:A110"/>
    <mergeCell ref="G114:G115"/>
    <mergeCell ref="F124:F125"/>
    <mergeCell ref="H124:H125"/>
    <mergeCell ref="I124:I125"/>
    <mergeCell ref="H128:H129"/>
    <mergeCell ref="G199:G200"/>
    <mergeCell ref="G208:G209"/>
    <mergeCell ref="G223:G224"/>
    <mergeCell ref="A241:Q242"/>
    <mergeCell ref="G366:G367"/>
    <mergeCell ref="H366:H367"/>
    <mergeCell ref="A218:A237"/>
    <mergeCell ref="A243:A265"/>
    <mergeCell ref="A268:A291"/>
    <mergeCell ref="A294:A327"/>
    <mergeCell ref="G309:G311"/>
    <mergeCell ref="I309:I311"/>
    <mergeCell ref="I361:I3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1.0"/>
    <col customWidth="1" min="3" max="3" width="15.5"/>
    <col customWidth="1" min="4" max="4" width="16.5"/>
    <col customWidth="1" min="5" max="5" width="17.63"/>
    <col customWidth="1" min="6" max="6" width="27.38"/>
    <col customWidth="1" min="7" max="7" width="25.0"/>
    <col customWidth="1" min="8" max="8" width="38.75"/>
    <col customWidth="1" min="9" max="9" width="11.5"/>
    <col customWidth="1" min="11" max="11" width="14.38"/>
  </cols>
  <sheetData>
    <row r="1">
      <c r="A1" s="2"/>
      <c r="B1" s="2"/>
      <c r="C1" s="2"/>
      <c r="D1" s="2"/>
      <c r="E1" s="35"/>
      <c r="F1" s="35"/>
      <c r="G1" s="35" t="s">
        <v>1673</v>
      </c>
      <c r="H1" s="35"/>
      <c r="I1" s="2"/>
      <c r="J1" s="2"/>
      <c r="K1" s="2"/>
      <c r="L1" s="2"/>
    </row>
    <row r="2">
      <c r="A2" s="2"/>
      <c r="B2" s="2"/>
      <c r="C2" s="2"/>
      <c r="D2" s="2"/>
      <c r="E2" s="35"/>
      <c r="F2" s="35"/>
      <c r="G2" s="35"/>
      <c r="H2" s="35"/>
      <c r="I2" s="2"/>
      <c r="J2" s="2"/>
      <c r="K2" s="2"/>
      <c r="L2" s="2"/>
    </row>
    <row r="3">
      <c r="A3" s="2"/>
      <c r="B3" s="2"/>
      <c r="C3" s="2"/>
      <c r="D3" s="2"/>
      <c r="E3" s="35"/>
      <c r="F3" s="35"/>
      <c r="G3" s="35"/>
      <c r="H3" s="35"/>
      <c r="I3" s="2"/>
      <c r="J3" s="2"/>
      <c r="K3" s="2"/>
      <c r="L3" s="2"/>
    </row>
    <row r="4" ht="30.0" customHeight="1">
      <c r="A4" s="192" t="s">
        <v>1674</v>
      </c>
      <c r="B4" s="193" t="s">
        <v>1675</v>
      </c>
      <c r="C4" s="192" t="s">
        <v>1676</v>
      </c>
      <c r="D4" s="192" t="s">
        <v>1677</v>
      </c>
      <c r="E4" s="192" t="s">
        <v>1678</v>
      </c>
      <c r="F4" s="192" t="s">
        <v>1679</v>
      </c>
      <c r="G4" s="192" t="s">
        <v>1673</v>
      </c>
      <c r="H4" s="192" t="s">
        <v>1680</v>
      </c>
      <c r="I4" s="192" t="s">
        <v>1681</v>
      </c>
      <c r="J4" s="192" t="s">
        <v>1682</v>
      </c>
      <c r="K4" s="193" t="s">
        <v>1683</v>
      </c>
      <c r="L4" s="194" t="s">
        <v>1684</v>
      </c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</row>
    <row r="5">
      <c r="A5" s="196" t="s">
        <v>1685</v>
      </c>
      <c r="B5" s="99">
        <v>1.0</v>
      </c>
      <c r="C5" s="99" t="s">
        <v>1686</v>
      </c>
      <c r="D5" s="99" t="s">
        <v>1687</v>
      </c>
      <c r="E5" s="197" t="s">
        <v>25</v>
      </c>
      <c r="F5" s="99" t="s">
        <v>1688</v>
      </c>
      <c r="G5" s="99" t="s">
        <v>1689</v>
      </c>
      <c r="H5" s="100"/>
      <c r="I5" s="99">
        <v>1210.0</v>
      </c>
      <c r="J5" s="99">
        <v>1512.0</v>
      </c>
      <c r="K5" s="99">
        <v>302.5</v>
      </c>
      <c r="L5" s="100"/>
    </row>
    <row r="6">
      <c r="B6" s="198">
        <v>4.0</v>
      </c>
      <c r="C6" s="198" t="s">
        <v>1686</v>
      </c>
      <c r="D6" s="198" t="s">
        <v>1687</v>
      </c>
      <c r="E6" s="197" t="s">
        <v>25</v>
      </c>
      <c r="F6" s="198" t="s">
        <v>1690</v>
      </c>
      <c r="G6" s="199" t="s">
        <v>1691</v>
      </c>
      <c r="H6" s="199" t="s">
        <v>1692</v>
      </c>
      <c r="I6" s="198">
        <v>1.728</v>
      </c>
      <c r="J6" s="198">
        <v>2160.0</v>
      </c>
      <c r="K6" s="198">
        <v>367.25</v>
      </c>
      <c r="L6" s="200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</row>
    <row r="7">
      <c r="B7" s="198">
        <v>2.0</v>
      </c>
      <c r="C7" s="198" t="s">
        <v>1686</v>
      </c>
      <c r="D7" s="198" t="s">
        <v>1687</v>
      </c>
      <c r="E7" s="197" t="s">
        <v>25</v>
      </c>
      <c r="F7" s="198" t="s">
        <v>1693</v>
      </c>
      <c r="G7" s="199" t="s">
        <v>1694</v>
      </c>
      <c r="H7" s="199" t="s">
        <v>1695</v>
      </c>
      <c r="I7" s="198">
        <v>1469.0</v>
      </c>
      <c r="J7" s="198" t="s">
        <v>1696</v>
      </c>
      <c r="K7" s="198" t="s">
        <v>1697</v>
      </c>
      <c r="L7" s="200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</row>
    <row r="8" ht="18.0" customHeight="1">
      <c r="B8" s="99">
        <v>2.0</v>
      </c>
      <c r="C8" s="198" t="s">
        <v>1686</v>
      </c>
      <c r="D8" s="198" t="s">
        <v>1687</v>
      </c>
      <c r="E8" s="197" t="s">
        <v>25</v>
      </c>
      <c r="F8" s="99" t="s">
        <v>1688</v>
      </c>
      <c r="G8" s="99" t="s">
        <v>1698</v>
      </c>
      <c r="H8" s="201" t="s">
        <v>1699</v>
      </c>
      <c r="I8" s="99">
        <v>1723.0</v>
      </c>
      <c r="J8" s="99" t="s">
        <v>1700</v>
      </c>
      <c r="K8" s="99" t="s">
        <v>1701</v>
      </c>
      <c r="L8" s="100"/>
    </row>
    <row r="9" ht="36.0" customHeight="1">
      <c r="B9" s="198">
        <v>1.0</v>
      </c>
      <c r="C9" s="198" t="s">
        <v>1686</v>
      </c>
      <c r="D9" s="198" t="s">
        <v>1702</v>
      </c>
      <c r="E9" s="197" t="s">
        <v>25</v>
      </c>
      <c r="F9" s="200"/>
      <c r="G9" s="198" t="s">
        <v>1703</v>
      </c>
      <c r="H9" s="202" t="s">
        <v>1704</v>
      </c>
      <c r="I9" s="198">
        <v>1883.0</v>
      </c>
      <c r="J9" s="198" t="s">
        <v>1705</v>
      </c>
      <c r="K9" s="198" t="s">
        <v>1706</v>
      </c>
      <c r="L9" s="200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</row>
    <row r="10">
      <c r="B10" s="99">
        <v>2.0</v>
      </c>
      <c r="C10" s="198" t="s">
        <v>1686</v>
      </c>
      <c r="D10" s="198" t="s">
        <v>1702</v>
      </c>
      <c r="E10" s="197" t="s">
        <v>25</v>
      </c>
      <c r="F10" s="99" t="s">
        <v>1707</v>
      </c>
      <c r="G10" s="99" t="s">
        <v>1708</v>
      </c>
      <c r="H10" s="99" t="s">
        <v>1709</v>
      </c>
      <c r="I10" s="99">
        <v>2045.0</v>
      </c>
      <c r="J10" s="99" t="s">
        <v>1710</v>
      </c>
      <c r="K10" s="99">
        <v>511.25</v>
      </c>
      <c r="L10" s="10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B11" s="99">
        <v>4.0</v>
      </c>
      <c r="C11" s="198" t="s">
        <v>1686</v>
      </c>
      <c r="D11" s="99" t="s">
        <v>1711</v>
      </c>
      <c r="E11" s="203" t="s">
        <v>1712</v>
      </c>
      <c r="F11" s="99" t="s">
        <v>1713</v>
      </c>
      <c r="G11" s="99" t="s">
        <v>1714</v>
      </c>
      <c r="H11" s="99" t="s">
        <v>1715</v>
      </c>
      <c r="I11" s="99" t="s">
        <v>1716</v>
      </c>
      <c r="J11" s="99">
        <v>300.0</v>
      </c>
      <c r="K11" s="99" t="s">
        <v>1717</v>
      </c>
      <c r="L11" s="100"/>
    </row>
    <row r="12">
      <c r="B12" s="99">
        <v>4.0</v>
      </c>
      <c r="C12" s="99" t="s">
        <v>1686</v>
      </c>
      <c r="D12" s="99" t="s">
        <v>1711</v>
      </c>
      <c r="E12" s="203" t="s">
        <v>1712</v>
      </c>
      <c r="F12" s="99" t="s">
        <v>141</v>
      </c>
      <c r="G12" s="99" t="s">
        <v>1718</v>
      </c>
      <c r="H12" s="99" t="s">
        <v>1719</v>
      </c>
      <c r="I12" s="99" t="s">
        <v>1720</v>
      </c>
      <c r="J12" s="99" t="s">
        <v>1721</v>
      </c>
      <c r="K12" s="99" t="s">
        <v>1722</v>
      </c>
      <c r="L12" s="100"/>
    </row>
    <row r="13">
      <c r="B13" s="99">
        <v>3.0</v>
      </c>
      <c r="C13" s="99" t="s">
        <v>1686</v>
      </c>
      <c r="D13" s="99" t="s">
        <v>1711</v>
      </c>
      <c r="E13" s="203" t="s">
        <v>1712</v>
      </c>
      <c r="F13" s="99" t="s">
        <v>1723</v>
      </c>
      <c r="G13" s="99" t="s">
        <v>1724</v>
      </c>
      <c r="H13" s="99" t="s">
        <v>1715</v>
      </c>
      <c r="I13" s="99" t="s">
        <v>1725</v>
      </c>
      <c r="J13" s="99">
        <v>259.0</v>
      </c>
      <c r="K13" s="99" t="s">
        <v>1726</v>
      </c>
      <c r="L13" s="100"/>
    </row>
    <row r="14">
      <c r="B14" s="99">
        <v>23.0</v>
      </c>
      <c r="C14" s="99" t="s">
        <v>1727</v>
      </c>
      <c r="D14" s="99" t="s">
        <v>1711</v>
      </c>
      <c r="E14" s="203" t="s">
        <v>1712</v>
      </c>
      <c r="F14" s="100"/>
      <c r="G14" s="99" t="s">
        <v>1728</v>
      </c>
      <c r="H14" s="99" t="s">
        <v>1729</v>
      </c>
      <c r="I14" s="99">
        <v>1242.0</v>
      </c>
      <c r="J14" s="99" t="s">
        <v>1730</v>
      </c>
      <c r="K14" s="99" t="s">
        <v>1731</v>
      </c>
      <c r="L14" s="99" t="s">
        <v>1732</v>
      </c>
    </row>
    <row r="15">
      <c r="B15" s="99">
        <v>22.0</v>
      </c>
      <c r="C15" s="99" t="s">
        <v>1727</v>
      </c>
      <c r="D15" s="99" t="s">
        <v>1711</v>
      </c>
      <c r="E15" s="203" t="s">
        <v>1712</v>
      </c>
      <c r="F15" s="100"/>
      <c r="G15" s="99" t="s">
        <v>1733</v>
      </c>
      <c r="H15" s="99" t="s">
        <v>1719</v>
      </c>
      <c r="I15" s="99" t="s">
        <v>1734</v>
      </c>
      <c r="J15" s="99" t="s">
        <v>1735</v>
      </c>
      <c r="K15" s="99" t="s">
        <v>1736</v>
      </c>
      <c r="L15" s="99">
        <v>79.0</v>
      </c>
    </row>
    <row r="16">
      <c r="B16" s="99">
        <v>2.0</v>
      </c>
      <c r="C16" s="99" t="s">
        <v>1686</v>
      </c>
      <c r="D16" s="99" t="s">
        <v>1737</v>
      </c>
      <c r="E16" s="197" t="s">
        <v>25</v>
      </c>
      <c r="F16" s="99" t="s">
        <v>1738</v>
      </c>
      <c r="G16" s="99" t="s">
        <v>1739</v>
      </c>
      <c r="H16" s="99" t="s">
        <v>1715</v>
      </c>
      <c r="I16" s="99" t="s">
        <v>1740</v>
      </c>
      <c r="J16" s="99">
        <v>633.33</v>
      </c>
      <c r="K16" s="99" t="s">
        <v>1741</v>
      </c>
      <c r="L16" s="100"/>
    </row>
    <row r="17">
      <c r="B17" s="99">
        <v>4.0</v>
      </c>
      <c r="C17" s="99" t="s">
        <v>1686</v>
      </c>
      <c r="D17" s="99" t="s">
        <v>1742</v>
      </c>
      <c r="E17" s="197" t="s">
        <v>25</v>
      </c>
      <c r="F17" s="99" t="s">
        <v>1743</v>
      </c>
      <c r="G17" s="99" t="s">
        <v>1744</v>
      </c>
      <c r="H17" s="100"/>
      <c r="I17" s="99">
        <v>372.88</v>
      </c>
      <c r="J17" s="99" t="s">
        <v>1745</v>
      </c>
      <c r="K17" s="99" t="s">
        <v>1746</v>
      </c>
      <c r="L17" s="100"/>
    </row>
    <row r="18">
      <c r="B18" s="99">
        <v>2.0</v>
      </c>
      <c r="C18" s="99" t="s">
        <v>1686</v>
      </c>
      <c r="D18" s="99" t="s">
        <v>1742</v>
      </c>
      <c r="E18" s="197" t="s">
        <v>25</v>
      </c>
      <c r="F18" s="99" t="s">
        <v>1738</v>
      </c>
      <c r="G18" s="99" t="s">
        <v>1744</v>
      </c>
      <c r="H18" s="99" t="s">
        <v>1747</v>
      </c>
      <c r="I18" s="99">
        <v>440.0</v>
      </c>
      <c r="J18" s="99">
        <v>550.0</v>
      </c>
      <c r="K18" s="99">
        <v>110.0</v>
      </c>
      <c r="L18" s="100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26.25" customHeight="1">
      <c r="A20" s="204"/>
      <c r="B20" s="205" t="s">
        <v>1748</v>
      </c>
      <c r="C20" s="205" t="s">
        <v>1749</v>
      </c>
      <c r="D20" s="205" t="s">
        <v>1750</v>
      </c>
      <c r="E20" s="205" t="s">
        <v>1751</v>
      </c>
      <c r="F20" s="205" t="s">
        <v>1752</v>
      </c>
      <c r="G20" s="205" t="s">
        <v>1753</v>
      </c>
      <c r="H20" s="206"/>
      <c r="I20" s="206"/>
      <c r="J20" s="206"/>
      <c r="K20" s="206"/>
      <c r="L20" s="206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</row>
    <row r="21">
      <c r="A21" s="196" t="s">
        <v>1685</v>
      </c>
      <c r="B21" s="208" t="s">
        <v>1369</v>
      </c>
      <c r="C21" s="209">
        <v>1.0</v>
      </c>
      <c r="D21" s="209">
        <v>1375.0</v>
      </c>
      <c r="E21" s="209">
        <v>0.15</v>
      </c>
      <c r="F21" s="209">
        <f t="shared" ref="F21:F82" si="1">D21*E21</f>
        <v>206.25</v>
      </c>
      <c r="G21" s="210">
        <f t="shared" ref="G21:G82" si="2">D21+F21</f>
        <v>1581.25</v>
      </c>
      <c r="H21" s="35" t="s">
        <v>1754</v>
      </c>
      <c r="I21" s="2"/>
      <c r="J21" s="2"/>
      <c r="K21" s="2"/>
      <c r="L21" s="2"/>
    </row>
    <row r="22">
      <c r="B22" s="208" t="s">
        <v>1755</v>
      </c>
      <c r="C22" s="209">
        <v>1.0</v>
      </c>
      <c r="D22" s="209">
        <v>1495.0</v>
      </c>
      <c r="E22" s="209">
        <v>0.15</v>
      </c>
      <c r="F22" s="209">
        <f t="shared" si="1"/>
        <v>224.25</v>
      </c>
      <c r="G22" s="210">
        <f t="shared" si="2"/>
        <v>1719.25</v>
      </c>
      <c r="H22" s="2"/>
      <c r="I22" s="2"/>
      <c r="J22" s="2"/>
      <c r="K22" s="2"/>
      <c r="L22" s="2"/>
    </row>
    <row r="23">
      <c r="B23" s="208" t="s">
        <v>1756</v>
      </c>
      <c r="C23" s="209">
        <v>1.0</v>
      </c>
      <c r="D23" s="209">
        <v>956.0</v>
      </c>
      <c r="E23" s="209">
        <v>0.15</v>
      </c>
      <c r="F23" s="209">
        <f t="shared" si="1"/>
        <v>143.4</v>
      </c>
      <c r="G23" s="210">
        <f t="shared" si="2"/>
        <v>1099.4</v>
      </c>
      <c r="H23" s="2"/>
      <c r="I23" s="2"/>
      <c r="J23" s="2"/>
      <c r="K23" s="2"/>
      <c r="L23" s="2"/>
    </row>
    <row r="24">
      <c r="B24" s="208" t="s">
        <v>1757</v>
      </c>
      <c r="C24" s="209">
        <v>1.0</v>
      </c>
      <c r="D24" s="209">
        <v>925.0</v>
      </c>
      <c r="E24" s="209">
        <v>0.25</v>
      </c>
      <c r="F24" s="209">
        <f t="shared" si="1"/>
        <v>231.25</v>
      </c>
      <c r="G24" s="210">
        <f t="shared" si="2"/>
        <v>1156.25</v>
      </c>
      <c r="H24" s="2"/>
      <c r="I24" s="2"/>
      <c r="J24" s="2"/>
      <c r="K24" s="2"/>
      <c r="L24" s="2"/>
    </row>
    <row r="25">
      <c r="B25" s="208" t="s">
        <v>1758</v>
      </c>
      <c r="C25" s="209">
        <v>1.0</v>
      </c>
      <c r="D25" s="209">
        <v>845.0</v>
      </c>
      <c r="E25" s="209">
        <v>0.25</v>
      </c>
      <c r="F25" s="209">
        <f t="shared" si="1"/>
        <v>211.25</v>
      </c>
      <c r="G25" s="210">
        <f t="shared" si="2"/>
        <v>1056.25</v>
      </c>
      <c r="H25" s="2"/>
      <c r="I25" s="2"/>
      <c r="J25" s="2"/>
      <c r="K25" s="2"/>
      <c r="L25" s="2"/>
    </row>
    <row r="26">
      <c r="B26" s="208" t="s">
        <v>1759</v>
      </c>
      <c r="C26" s="209">
        <v>1.0</v>
      </c>
      <c r="D26" s="209">
        <v>2095.0</v>
      </c>
      <c r="E26" s="209">
        <v>0.15</v>
      </c>
      <c r="F26" s="209">
        <f t="shared" si="1"/>
        <v>314.25</v>
      </c>
      <c r="G26" s="210">
        <f t="shared" si="2"/>
        <v>2409.25</v>
      </c>
      <c r="H26" s="2"/>
      <c r="I26" s="2"/>
      <c r="J26" s="2"/>
      <c r="K26" s="2"/>
      <c r="L26" s="2"/>
    </row>
    <row r="27">
      <c r="B27" s="208" t="s">
        <v>1760</v>
      </c>
      <c r="C27" s="209">
        <v>1.0</v>
      </c>
      <c r="D27" s="209">
        <v>2495.0</v>
      </c>
      <c r="E27" s="209">
        <v>0.25</v>
      </c>
      <c r="F27" s="209">
        <f t="shared" si="1"/>
        <v>623.75</v>
      </c>
      <c r="G27" s="210">
        <f t="shared" si="2"/>
        <v>3118.75</v>
      </c>
      <c r="H27" s="2"/>
      <c r="I27" s="2"/>
      <c r="J27" s="2"/>
      <c r="K27" s="2"/>
      <c r="L27" s="2"/>
    </row>
    <row r="28">
      <c r="B28" s="208" t="s">
        <v>1761</v>
      </c>
      <c r="C28" s="209">
        <v>1.0</v>
      </c>
      <c r="D28" s="209">
        <v>2195.0</v>
      </c>
      <c r="E28" s="209">
        <v>0.25</v>
      </c>
      <c r="F28" s="209">
        <f t="shared" si="1"/>
        <v>548.75</v>
      </c>
      <c r="G28" s="210">
        <f t="shared" si="2"/>
        <v>2743.75</v>
      </c>
      <c r="H28" s="2"/>
      <c r="I28" s="2"/>
      <c r="J28" s="2"/>
      <c r="K28" s="2"/>
      <c r="L28" s="2"/>
    </row>
    <row r="29">
      <c r="B29" s="208" t="s">
        <v>1762</v>
      </c>
      <c r="C29" s="209">
        <v>1.0</v>
      </c>
      <c r="D29" s="209">
        <v>2295.0</v>
      </c>
      <c r="E29" s="209">
        <v>0.25</v>
      </c>
      <c r="F29" s="209">
        <f t="shared" si="1"/>
        <v>573.75</v>
      </c>
      <c r="G29" s="210">
        <f t="shared" si="2"/>
        <v>2868.75</v>
      </c>
      <c r="H29" s="2"/>
      <c r="I29" s="2"/>
      <c r="J29" s="2"/>
      <c r="K29" s="2"/>
      <c r="L29" s="2"/>
    </row>
    <row r="30">
      <c r="B30" s="208" t="s">
        <v>1763</v>
      </c>
      <c r="C30" s="209">
        <v>1.0</v>
      </c>
      <c r="D30" s="211" t="s">
        <v>1764</v>
      </c>
      <c r="E30" s="209">
        <v>0.25</v>
      </c>
      <c r="F30" s="209" t="str">
        <f t="shared" si="1"/>
        <v>#VALUE!</v>
      </c>
      <c r="G30" s="210" t="str">
        <f t="shared" si="2"/>
        <v>#VALUE!</v>
      </c>
      <c r="H30" s="2"/>
      <c r="I30" s="2"/>
      <c r="J30" s="2"/>
      <c r="K30" s="2"/>
      <c r="L30" s="2"/>
    </row>
    <row r="31">
      <c r="B31" s="208" t="s">
        <v>1765</v>
      </c>
      <c r="C31" s="209">
        <v>1.0</v>
      </c>
      <c r="D31" s="211" t="s">
        <v>0</v>
      </c>
      <c r="E31" s="209">
        <v>0.25</v>
      </c>
      <c r="F31" s="209" t="str">
        <f t="shared" si="1"/>
        <v>#VALUE!</v>
      </c>
      <c r="G31" s="210" t="str">
        <f t="shared" si="2"/>
        <v>#VALUE!</v>
      </c>
      <c r="H31" s="2"/>
      <c r="I31" s="2"/>
      <c r="J31" s="2"/>
      <c r="K31" s="2"/>
      <c r="L31" s="2"/>
    </row>
    <row r="32">
      <c r="B32" s="208" t="s">
        <v>1766</v>
      </c>
      <c r="C32" s="209">
        <v>1.0</v>
      </c>
      <c r="D32" s="209">
        <v>165.0</v>
      </c>
      <c r="E32" s="209">
        <v>0.25</v>
      </c>
      <c r="F32" s="209">
        <f t="shared" si="1"/>
        <v>41.25</v>
      </c>
      <c r="G32" s="210">
        <f t="shared" si="2"/>
        <v>206.25</v>
      </c>
      <c r="H32" s="2"/>
      <c r="I32" s="2"/>
      <c r="J32" s="2"/>
      <c r="K32" s="2"/>
      <c r="L32" s="2"/>
    </row>
    <row r="33">
      <c r="B33" s="208" t="s">
        <v>1767</v>
      </c>
      <c r="C33" s="209">
        <v>1.0</v>
      </c>
      <c r="D33" s="209">
        <v>161.0</v>
      </c>
      <c r="E33" s="209">
        <v>0.25</v>
      </c>
      <c r="F33" s="209">
        <f t="shared" si="1"/>
        <v>40.25</v>
      </c>
      <c r="G33" s="210">
        <f t="shared" si="2"/>
        <v>201.25</v>
      </c>
      <c r="H33" s="2"/>
      <c r="I33" s="2"/>
      <c r="J33" s="2"/>
      <c r="K33" s="2"/>
      <c r="L33" s="2"/>
    </row>
    <row r="34">
      <c r="B34" s="208" t="s">
        <v>1768</v>
      </c>
      <c r="C34" s="209">
        <v>1.0</v>
      </c>
      <c r="D34" s="209">
        <v>161.0</v>
      </c>
      <c r="E34" s="209">
        <v>0.25</v>
      </c>
      <c r="F34" s="209">
        <f t="shared" si="1"/>
        <v>40.25</v>
      </c>
      <c r="G34" s="210">
        <f t="shared" si="2"/>
        <v>201.25</v>
      </c>
      <c r="H34" s="2"/>
      <c r="I34" s="2"/>
      <c r="J34" s="2"/>
      <c r="K34" s="2"/>
      <c r="L34" s="2"/>
    </row>
    <row r="35">
      <c r="B35" s="208" t="s">
        <v>1769</v>
      </c>
      <c r="C35" s="209">
        <v>1.0</v>
      </c>
      <c r="D35" s="209">
        <v>131.0</v>
      </c>
      <c r="E35" s="209">
        <v>0.25</v>
      </c>
      <c r="F35" s="209">
        <f t="shared" si="1"/>
        <v>32.75</v>
      </c>
      <c r="G35" s="210">
        <f t="shared" si="2"/>
        <v>163.75</v>
      </c>
      <c r="H35" s="2"/>
      <c r="I35" s="2"/>
      <c r="J35" s="2"/>
      <c r="K35" s="2"/>
      <c r="L35" s="2"/>
    </row>
    <row r="36">
      <c r="B36" s="208" t="s">
        <v>1770</v>
      </c>
      <c r="C36" s="209">
        <v>1.0</v>
      </c>
      <c r="D36" s="209">
        <v>296.0</v>
      </c>
      <c r="E36" s="209">
        <v>0.25</v>
      </c>
      <c r="F36" s="209">
        <f t="shared" si="1"/>
        <v>74</v>
      </c>
      <c r="G36" s="210">
        <f t="shared" si="2"/>
        <v>370</v>
      </c>
      <c r="H36" s="2"/>
      <c r="I36" s="2"/>
      <c r="J36" s="2"/>
      <c r="K36" s="2"/>
      <c r="L36" s="2"/>
    </row>
    <row r="37">
      <c r="B37" s="208" t="s">
        <v>1771</v>
      </c>
      <c r="C37" s="209">
        <v>1.0</v>
      </c>
      <c r="D37" s="209">
        <v>655.0</v>
      </c>
      <c r="E37" s="209">
        <v>0.25</v>
      </c>
      <c r="F37" s="209">
        <f t="shared" si="1"/>
        <v>163.75</v>
      </c>
      <c r="G37" s="210">
        <f t="shared" si="2"/>
        <v>818.75</v>
      </c>
      <c r="H37" s="2"/>
      <c r="I37" s="2"/>
      <c r="J37" s="2"/>
      <c r="K37" s="2"/>
      <c r="L37" s="2"/>
    </row>
    <row r="38">
      <c r="B38" s="208" t="s">
        <v>1772</v>
      </c>
      <c r="C38" s="209">
        <v>1.0</v>
      </c>
      <c r="D38" s="209">
        <v>762.0</v>
      </c>
      <c r="E38" s="209">
        <v>0.25</v>
      </c>
      <c r="F38" s="209">
        <f t="shared" si="1"/>
        <v>190.5</v>
      </c>
      <c r="G38" s="210">
        <f t="shared" si="2"/>
        <v>952.5</v>
      </c>
      <c r="H38" s="2"/>
      <c r="I38" s="2"/>
      <c r="J38" s="2"/>
      <c r="K38" s="2"/>
      <c r="L38" s="2"/>
    </row>
    <row r="39">
      <c r="B39" s="208" t="s">
        <v>1773</v>
      </c>
      <c r="C39" s="209">
        <v>1.0</v>
      </c>
      <c r="D39" s="209">
        <v>139.0</v>
      </c>
      <c r="E39" s="209">
        <v>1.0</v>
      </c>
      <c r="F39" s="209">
        <f t="shared" si="1"/>
        <v>139</v>
      </c>
      <c r="G39" s="210">
        <f t="shared" si="2"/>
        <v>278</v>
      </c>
      <c r="H39" s="2"/>
      <c r="I39" s="2"/>
      <c r="J39" s="2"/>
      <c r="K39" s="2"/>
      <c r="L39" s="2"/>
    </row>
    <row r="40">
      <c r="B40" s="208" t="s">
        <v>1774</v>
      </c>
      <c r="C40" s="209">
        <v>1.0</v>
      </c>
      <c r="D40" s="209">
        <v>245.0</v>
      </c>
      <c r="E40" s="209">
        <v>0.25</v>
      </c>
      <c r="F40" s="209">
        <f t="shared" si="1"/>
        <v>61.25</v>
      </c>
      <c r="G40" s="210">
        <f t="shared" si="2"/>
        <v>306.25</v>
      </c>
      <c r="H40" s="2"/>
      <c r="I40" s="2"/>
      <c r="J40" s="2"/>
      <c r="K40" s="2"/>
      <c r="L40" s="2"/>
    </row>
    <row r="41">
      <c r="B41" s="208" t="s">
        <v>1775</v>
      </c>
      <c r="C41" s="209">
        <v>1.0</v>
      </c>
      <c r="D41" s="209">
        <v>545.0</v>
      </c>
      <c r="E41" s="209">
        <v>0.25</v>
      </c>
      <c r="F41" s="209">
        <f t="shared" si="1"/>
        <v>136.25</v>
      </c>
      <c r="G41" s="210">
        <f t="shared" si="2"/>
        <v>681.25</v>
      </c>
      <c r="H41" s="2"/>
      <c r="I41" s="2"/>
      <c r="J41" s="2"/>
      <c r="K41" s="2"/>
      <c r="L41" s="2"/>
    </row>
    <row r="42">
      <c r="B42" s="208" t="s">
        <v>1776</v>
      </c>
      <c r="C42" s="209">
        <v>1.0</v>
      </c>
      <c r="D42" s="209">
        <v>525.0</v>
      </c>
      <c r="E42" s="209">
        <v>0.25</v>
      </c>
      <c r="F42" s="209">
        <f t="shared" si="1"/>
        <v>131.25</v>
      </c>
      <c r="G42" s="210">
        <f t="shared" si="2"/>
        <v>656.25</v>
      </c>
      <c r="H42" s="2"/>
      <c r="I42" s="2"/>
      <c r="J42" s="2"/>
      <c r="K42" s="2"/>
      <c r="L42" s="2"/>
    </row>
    <row r="43">
      <c r="B43" s="208" t="s">
        <v>1777</v>
      </c>
      <c r="C43" s="209">
        <v>1.0</v>
      </c>
      <c r="D43" s="209">
        <v>324.0</v>
      </c>
      <c r="E43" s="209">
        <v>0.25</v>
      </c>
      <c r="F43" s="209">
        <f t="shared" si="1"/>
        <v>81</v>
      </c>
      <c r="G43" s="210">
        <f t="shared" si="2"/>
        <v>405</v>
      </c>
      <c r="H43" s="2"/>
      <c r="I43" s="2"/>
      <c r="J43" s="2"/>
      <c r="K43" s="2"/>
      <c r="L43" s="2"/>
    </row>
    <row r="44">
      <c r="B44" s="208" t="s">
        <v>1778</v>
      </c>
      <c r="C44" s="209">
        <v>1.0</v>
      </c>
      <c r="D44" s="209">
        <v>415.0</v>
      </c>
      <c r="E44" s="209">
        <v>0.25</v>
      </c>
      <c r="F44" s="209">
        <f t="shared" si="1"/>
        <v>103.75</v>
      </c>
      <c r="G44" s="210">
        <f t="shared" si="2"/>
        <v>518.75</v>
      </c>
      <c r="H44" s="2"/>
      <c r="I44" s="2"/>
      <c r="J44" s="2"/>
      <c r="K44" s="2"/>
      <c r="L44" s="2"/>
    </row>
    <row r="45">
      <c r="B45" s="208" t="s">
        <v>1779</v>
      </c>
      <c r="C45" s="209">
        <v>1.0</v>
      </c>
      <c r="D45" s="209">
        <v>380.0</v>
      </c>
      <c r="E45" s="209">
        <v>0.25</v>
      </c>
      <c r="F45" s="209">
        <f t="shared" si="1"/>
        <v>95</v>
      </c>
      <c r="G45" s="210">
        <f t="shared" si="2"/>
        <v>475</v>
      </c>
      <c r="H45" s="2"/>
      <c r="I45" s="2"/>
      <c r="J45" s="2"/>
      <c r="K45" s="2"/>
      <c r="L45" s="2"/>
    </row>
    <row r="46">
      <c r="B46" s="208" t="s">
        <v>1780</v>
      </c>
      <c r="C46" s="209">
        <v>1.0</v>
      </c>
      <c r="D46" s="209">
        <v>295.0</v>
      </c>
      <c r="E46" s="209">
        <v>0.25</v>
      </c>
      <c r="F46" s="209">
        <f t="shared" si="1"/>
        <v>73.75</v>
      </c>
      <c r="G46" s="210">
        <f t="shared" si="2"/>
        <v>368.75</v>
      </c>
      <c r="H46" s="2"/>
      <c r="I46" s="2"/>
      <c r="J46" s="2"/>
      <c r="K46" s="2"/>
      <c r="L46" s="2"/>
    </row>
    <row r="47">
      <c r="B47" s="208" t="s">
        <v>1781</v>
      </c>
      <c r="C47" s="209">
        <v>1.0</v>
      </c>
      <c r="D47" s="209">
        <v>175.0</v>
      </c>
      <c r="E47" s="209">
        <v>1.0</v>
      </c>
      <c r="F47" s="209">
        <f t="shared" si="1"/>
        <v>175</v>
      </c>
      <c r="G47" s="210">
        <f t="shared" si="2"/>
        <v>350</v>
      </c>
      <c r="H47" s="2"/>
      <c r="I47" s="2"/>
      <c r="J47" s="2"/>
      <c r="K47" s="2"/>
      <c r="L47" s="2"/>
    </row>
    <row r="48">
      <c r="B48" s="208" t="s">
        <v>1782</v>
      </c>
      <c r="C48" s="209">
        <v>1.0</v>
      </c>
      <c r="D48" s="209">
        <v>461.0</v>
      </c>
      <c r="E48" s="209">
        <v>0.25</v>
      </c>
      <c r="F48" s="209">
        <f t="shared" si="1"/>
        <v>115.25</v>
      </c>
      <c r="G48" s="210">
        <f t="shared" si="2"/>
        <v>576.25</v>
      </c>
      <c r="H48" s="2"/>
      <c r="I48" s="2"/>
      <c r="J48" s="2"/>
      <c r="K48" s="2"/>
      <c r="L48" s="2"/>
    </row>
    <row r="49">
      <c r="B49" s="208" t="s">
        <v>1783</v>
      </c>
      <c r="C49" s="209">
        <v>1.0</v>
      </c>
      <c r="D49" s="209">
        <v>504.0</v>
      </c>
      <c r="E49" s="209">
        <v>0.25</v>
      </c>
      <c r="F49" s="209">
        <f t="shared" si="1"/>
        <v>126</v>
      </c>
      <c r="G49" s="210">
        <f t="shared" si="2"/>
        <v>630</v>
      </c>
      <c r="H49" s="2"/>
      <c r="I49" s="2"/>
      <c r="J49" s="2"/>
      <c r="K49" s="2"/>
      <c r="L49" s="2"/>
    </row>
    <row r="50">
      <c r="B50" s="208" t="s">
        <v>1784</v>
      </c>
      <c r="C50" s="209">
        <v>1.0</v>
      </c>
      <c r="D50" s="209">
        <v>508.0</v>
      </c>
      <c r="E50" s="209">
        <v>0.25</v>
      </c>
      <c r="F50" s="209">
        <f t="shared" si="1"/>
        <v>127</v>
      </c>
      <c r="G50" s="210">
        <f t="shared" si="2"/>
        <v>635</v>
      </c>
      <c r="H50" s="2"/>
      <c r="I50" s="2"/>
      <c r="J50" s="2"/>
      <c r="K50" s="2"/>
      <c r="L50" s="2"/>
    </row>
    <row r="51">
      <c r="B51" s="208" t="s">
        <v>1785</v>
      </c>
      <c r="C51" s="209">
        <v>1.0</v>
      </c>
      <c r="D51" s="209">
        <v>1050.0</v>
      </c>
      <c r="E51" s="209">
        <v>0.25</v>
      </c>
      <c r="F51" s="209">
        <f t="shared" si="1"/>
        <v>262.5</v>
      </c>
      <c r="G51" s="210">
        <f t="shared" si="2"/>
        <v>1312.5</v>
      </c>
      <c r="H51" s="2"/>
      <c r="I51" s="2"/>
      <c r="J51" s="2"/>
      <c r="K51" s="2"/>
      <c r="L51" s="2"/>
    </row>
    <row r="52">
      <c r="B52" s="208" t="s">
        <v>1786</v>
      </c>
      <c r="C52" s="209">
        <v>1.0</v>
      </c>
      <c r="D52" s="209">
        <v>1500.0</v>
      </c>
      <c r="E52" s="209">
        <v>0.25</v>
      </c>
      <c r="F52" s="209">
        <f t="shared" si="1"/>
        <v>375</v>
      </c>
      <c r="G52" s="210">
        <f t="shared" si="2"/>
        <v>1875</v>
      </c>
      <c r="H52" s="2"/>
      <c r="I52" s="2"/>
      <c r="J52" s="2"/>
      <c r="K52" s="2"/>
      <c r="L52" s="2"/>
    </row>
    <row r="53">
      <c r="B53" s="208" t="s">
        <v>1787</v>
      </c>
      <c r="C53" s="209">
        <v>1.0</v>
      </c>
      <c r="D53" s="209">
        <v>1275.0</v>
      </c>
      <c r="E53" s="209">
        <v>0.25</v>
      </c>
      <c r="F53" s="209">
        <f t="shared" si="1"/>
        <v>318.75</v>
      </c>
      <c r="G53" s="210">
        <f t="shared" si="2"/>
        <v>1593.75</v>
      </c>
      <c r="H53" s="2"/>
      <c r="I53" s="2"/>
      <c r="J53" s="2"/>
      <c r="K53" s="2"/>
      <c r="L53" s="2"/>
    </row>
    <row r="54">
      <c r="B54" s="208" t="s">
        <v>1788</v>
      </c>
      <c r="C54" s="209">
        <v>1.0</v>
      </c>
      <c r="D54" s="209">
        <v>1495.0</v>
      </c>
      <c r="E54" s="209">
        <v>0.25</v>
      </c>
      <c r="F54" s="209">
        <f t="shared" si="1"/>
        <v>373.75</v>
      </c>
      <c r="G54" s="210">
        <f t="shared" si="2"/>
        <v>1868.75</v>
      </c>
      <c r="H54" s="2"/>
      <c r="I54" s="2"/>
      <c r="J54" s="2"/>
      <c r="K54" s="2"/>
      <c r="L54" s="2"/>
    </row>
    <row r="55">
      <c r="B55" s="208" t="s">
        <v>1789</v>
      </c>
      <c r="C55" s="209">
        <v>1.0</v>
      </c>
      <c r="D55" s="209">
        <v>1750.0</v>
      </c>
      <c r="E55" s="209">
        <v>0.25</v>
      </c>
      <c r="F55" s="209">
        <f t="shared" si="1"/>
        <v>437.5</v>
      </c>
      <c r="G55" s="210">
        <f t="shared" si="2"/>
        <v>2187.5</v>
      </c>
      <c r="H55" s="2"/>
      <c r="I55" s="2"/>
      <c r="J55" s="2"/>
      <c r="K55" s="2"/>
      <c r="L55" s="2"/>
    </row>
    <row r="56">
      <c r="B56" s="208" t="s">
        <v>1790</v>
      </c>
      <c r="C56" s="209">
        <v>1.0</v>
      </c>
      <c r="D56" s="209">
        <v>1775.0</v>
      </c>
      <c r="E56" s="209">
        <v>0.25</v>
      </c>
      <c r="F56" s="209">
        <f t="shared" si="1"/>
        <v>443.75</v>
      </c>
      <c r="G56" s="210">
        <f t="shared" si="2"/>
        <v>2218.75</v>
      </c>
      <c r="H56" s="2"/>
      <c r="I56" s="2"/>
      <c r="J56" s="2"/>
      <c r="K56" s="2"/>
      <c r="L56" s="2"/>
    </row>
    <row r="57">
      <c r="B57" s="208" t="s">
        <v>1791</v>
      </c>
      <c r="C57" s="209">
        <v>1.0</v>
      </c>
      <c r="D57" s="209">
        <v>175.0</v>
      </c>
      <c r="E57" s="209">
        <v>0.25</v>
      </c>
      <c r="F57" s="209">
        <f t="shared" si="1"/>
        <v>43.75</v>
      </c>
      <c r="G57" s="210">
        <f t="shared" si="2"/>
        <v>218.75</v>
      </c>
      <c r="H57" s="2"/>
      <c r="I57" s="2"/>
      <c r="J57" s="2"/>
      <c r="K57" s="2"/>
      <c r="L57" s="2"/>
    </row>
    <row r="58">
      <c r="B58" s="208" t="s">
        <v>1792</v>
      </c>
      <c r="C58" s="209">
        <v>1.0</v>
      </c>
      <c r="D58" s="209">
        <v>375.0</v>
      </c>
      <c r="E58" s="209">
        <v>0.25</v>
      </c>
      <c r="F58" s="209">
        <f t="shared" si="1"/>
        <v>93.75</v>
      </c>
      <c r="G58" s="210">
        <f t="shared" si="2"/>
        <v>468.75</v>
      </c>
      <c r="H58" s="2"/>
      <c r="I58" s="2"/>
      <c r="J58" s="2"/>
      <c r="K58" s="2"/>
      <c r="L58" s="2"/>
    </row>
    <row r="59">
      <c r="B59" s="208" t="s">
        <v>1793</v>
      </c>
      <c r="C59" s="209">
        <v>1.0</v>
      </c>
      <c r="D59" s="209">
        <v>180.0</v>
      </c>
      <c r="E59" s="209">
        <v>0.25</v>
      </c>
      <c r="F59" s="209">
        <f t="shared" si="1"/>
        <v>45</v>
      </c>
      <c r="G59" s="210">
        <f t="shared" si="2"/>
        <v>225</v>
      </c>
      <c r="H59" s="2"/>
      <c r="I59" s="2"/>
      <c r="J59" s="2"/>
      <c r="K59" s="2"/>
      <c r="L59" s="2"/>
    </row>
    <row r="60">
      <c r="B60" s="208" t="s">
        <v>1794</v>
      </c>
      <c r="C60" s="209">
        <v>1.0</v>
      </c>
      <c r="D60" s="209">
        <v>440.0</v>
      </c>
      <c r="E60" s="209">
        <v>0.25</v>
      </c>
      <c r="F60" s="209">
        <f t="shared" si="1"/>
        <v>110</v>
      </c>
      <c r="G60" s="210">
        <f t="shared" si="2"/>
        <v>550</v>
      </c>
      <c r="H60" s="2"/>
      <c r="I60" s="2"/>
      <c r="J60" s="2"/>
      <c r="K60" s="2"/>
      <c r="L60" s="2"/>
    </row>
    <row r="61">
      <c r="B61" s="208" t="s">
        <v>1795</v>
      </c>
      <c r="C61" s="209">
        <v>1.0</v>
      </c>
      <c r="D61" s="209">
        <v>1580.0</v>
      </c>
      <c r="E61" s="209">
        <v>0.25</v>
      </c>
      <c r="F61" s="209">
        <f t="shared" si="1"/>
        <v>395</v>
      </c>
      <c r="G61" s="210">
        <f t="shared" si="2"/>
        <v>1975</v>
      </c>
      <c r="H61" s="2"/>
      <c r="I61" s="2"/>
      <c r="J61" s="2"/>
      <c r="K61" s="2"/>
      <c r="L61" s="2"/>
    </row>
    <row r="62">
      <c r="B62" s="208" t="s">
        <v>1796</v>
      </c>
      <c r="C62" s="209">
        <v>1.0</v>
      </c>
      <c r="D62" s="209">
        <v>150.0</v>
      </c>
      <c r="E62" s="209">
        <v>1.0</v>
      </c>
      <c r="F62" s="209">
        <f t="shared" si="1"/>
        <v>150</v>
      </c>
      <c r="G62" s="210">
        <f t="shared" si="2"/>
        <v>300</v>
      </c>
      <c r="H62" s="2"/>
      <c r="I62" s="2"/>
      <c r="J62" s="2"/>
      <c r="K62" s="2"/>
      <c r="L62" s="2"/>
    </row>
    <row r="63">
      <c r="A63" s="212" t="s">
        <v>1797</v>
      </c>
      <c r="B63" s="208" t="s">
        <v>1798</v>
      </c>
      <c r="C63" s="209">
        <v>1.0</v>
      </c>
      <c r="D63" s="209">
        <v>56.0</v>
      </c>
      <c r="E63" s="209">
        <v>1.0</v>
      </c>
      <c r="F63" s="209">
        <f t="shared" si="1"/>
        <v>56</v>
      </c>
      <c r="G63" s="210">
        <f t="shared" si="2"/>
        <v>112</v>
      </c>
      <c r="H63" s="2"/>
      <c r="I63" s="2"/>
      <c r="J63" s="2"/>
      <c r="K63" s="2"/>
      <c r="L63" s="2"/>
    </row>
    <row r="64">
      <c r="B64" s="208" t="s">
        <v>1799</v>
      </c>
      <c r="C64" s="209">
        <v>1.0</v>
      </c>
      <c r="D64" s="209">
        <v>56.0</v>
      </c>
      <c r="E64" s="209">
        <v>1.0</v>
      </c>
      <c r="F64" s="209">
        <f t="shared" si="1"/>
        <v>56</v>
      </c>
      <c r="G64" s="210">
        <f t="shared" si="2"/>
        <v>112</v>
      </c>
      <c r="H64" s="2"/>
      <c r="I64" s="2"/>
      <c r="J64" s="2"/>
      <c r="K64" s="2"/>
      <c r="L64" s="2"/>
    </row>
    <row r="65">
      <c r="B65" s="208" t="s">
        <v>1372</v>
      </c>
      <c r="C65" s="209">
        <v>1.0</v>
      </c>
      <c r="D65" s="209">
        <v>56.0</v>
      </c>
      <c r="E65" s="209">
        <v>1.0</v>
      </c>
      <c r="F65" s="209">
        <f t="shared" si="1"/>
        <v>56</v>
      </c>
      <c r="G65" s="210">
        <f t="shared" si="2"/>
        <v>112</v>
      </c>
      <c r="H65" s="2"/>
      <c r="I65" s="2"/>
      <c r="J65" s="2"/>
      <c r="K65" s="2"/>
      <c r="L65" s="2"/>
    </row>
    <row r="66">
      <c r="B66" s="208" t="s">
        <v>1800</v>
      </c>
      <c r="C66" s="209">
        <v>1.0</v>
      </c>
      <c r="D66" s="209">
        <v>70.0</v>
      </c>
      <c r="E66" s="209">
        <v>1.0</v>
      </c>
      <c r="F66" s="209">
        <f t="shared" si="1"/>
        <v>70</v>
      </c>
      <c r="G66" s="210">
        <f t="shared" si="2"/>
        <v>140</v>
      </c>
      <c r="H66" s="2"/>
      <c r="I66" s="2"/>
      <c r="J66" s="2"/>
      <c r="K66" s="2"/>
      <c r="L66" s="2"/>
    </row>
    <row r="67">
      <c r="B67" s="208" t="s">
        <v>1801</v>
      </c>
      <c r="C67" s="209">
        <v>1.0</v>
      </c>
      <c r="D67" s="209">
        <v>56.0</v>
      </c>
      <c r="E67" s="209">
        <v>1.0</v>
      </c>
      <c r="F67" s="209">
        <f t="shared" si="1"/>
        <v>56</v>
      </c>
      <c r="G67" s="210">
        <f t="shared" si="2"/>
        <v>112</v>
      </c>
      <c r="H67" s="2"/>
      <c r="I67" s="2"/>
      <c r="J67" s="2"/>
      <c r="K67" s="2"/>
      <c r="L67" s="2"/>
    </row>
    <row r="68">
      <c r="B68" s="208" t="s">
        <v>1802</v>
      </c>
      <c r="C68" s="209">
        <v>1.0</v>
      </c>
      <c r="D68" s="209">
        <v>53.0</v>
      </c>
      <c r="E68" s="209">
        <v>1.0</v>
      </c>
      <c r="F68" s="209">
        <f t="shared" si="1"/>
        <v>53</v>
      </c>
      <c r="G68" s="210">
        <f t="shared" si="2"/>
        <v>106</v>
      </c>
      <c r="H68" s="2"/>
      <c r="I68" s="2"/>
      <c r="J68" s="2"/>
      <c r="K68" s="2"/>
      <c r="L68" s="2"/>
    </row>
    <row r="69">
      <c r="B69" s="208" t="s">
        <v>1803</v>
      </c>
      <c r="C69" s="209">
        <v>1.0</v>
      </c>
      <c r="D69" s="209">
        <v>131.0</v>
      </c>
      <c r="E69" s="209">
        <v>1.0</v>
      </c>
      <c r="F69" s="209">
        <f t="shared" si="1"/>
        <v>131</v>
      </c>
      <c r="G69" s="210">
        <f t="shared" si="2"/>
        <v>262</v>
      </c>
      <c r="H69" s="2"/>
      <c r="I69" s="2"/>
      <c r="J69" s="2"/>
      <c r="K69" s="2"/>
      <c r="L69" s="2"/>
    </row>
    <row r="70">
      <c r="B70" s="208" t="s">
        <v>1804</v>
      </c>
      <c r="C70" s="209">
        <v>1.0</v>
      </c>
      <c r="D70" s="209">
        <v>131.0</v>
      </c>
      <c r="E70" s="209">
        <v>1.0</v>
      </c>
      <c r="F70" s="209">
        <f t="shared" si="1"/>
        <v>131</v>
      </c>
      <c r="G70" s="210">
        <f t="shared" si="2"/>
        <v>262</v>
      </c>
      <c r="H70" s="2"/>
      <c r="I70" s="2"/>
      <c r="J70" s="2"/>
      <c r="K70" s="2"/>
      <c r="L70" s="2"/>
    </row>
    <row r="71">
      <c r="B71" s="208" t="s">
        <v>1805</v>
      </c>
      <c r="C71" s="209">
        <v>1.0</v>
      </c>
      <c r="D71" s="209">
        <v>156.0</v>
      </c>
      <c r="E71" s="209">
        <v>1.0</v>
      </c>
      <c r="F71" s="209">
        <f t="shared" si="1"/>
        <v>156</v>
      </c>
      <c r="G71" s="210">
        <f t="shared" si="2"/>
        <v>312</v>
      </c>
      <c r="H71" s="2"/>
      <c r="I71" s="2"/>
      <c r="J71" s="2"/>
      <c r="K71" s="2"/>
      <c r="L71" s="2"/>
    </row>
    <row r="72">
      <c r="B72" s="208" t="s">
        <v>1806</v>
      </c>
      <c r="C72" s="209">
        <v>1.0</v>
      </c>
      <c r="D72" s="209">
        <v>88.0</v>
      </c>
      <c r="E72" s="209">
        <v>1.0</v>
      </c>
      <c r="F72" s="209">
        <f t="shared" si="1"/>
        <v>88</v>
      </c>
      <c r="G72" s="210">
        <f t="shared" si="2"/>
        <v>176</v>
      </c>
      <c r="H72" s="2"/>
      <c r="I72" s="2"/>
      <c r="J72" s="2"/>
      <c r="K72" s="2"/>
      <c r="L72" s="2"/>
    </row>
    <row r="73">
      <c r="B73" s="208" t="s">
        <v>1807</v>
      </c>
      <c r="C73" s="209">
        <v>1.0</v>
      </c>
      <c r="D73" s="209">
        <v>103.0</v>
      </c>
      <c r="E73" s="209">
        <v>1.0</v>
      </c>
      <c r="F73" s="209">
        <f t="shared" si="1"/>
        <v>103</v>
      </c>
      <c r="G73" s="210">
        <f t="shared" si="2"/>
        <v>206</v>
      </c>
      <c r="H73" s="2"/>
      <c r="I73" s="2"/>
      <c r="J73" s="2"/>
      <c r="K73" s="2"/>
      <c r="L73" s="2"/>
    </row>
    <row r="74">
      <c r="B74" s="208" t="s">
        <v>1808</v>
      </c>
      <c r="C74" s="209">
        <v>1.0</v>
      </c>
      <c r="D74" s="209">
        <v>150.0</v>
      </c>
      <c r="E74" s="209">
        <v>1.0</v>
      </c>
      <c r="F74" s="209">
        <f t="shared" si="1"/>
        <v>150</v>
      </c>
      <c r="G74" s="210">
        <f t="shared" si="2"/>
        <v>300</v>
      </c>
      <c r="H74" s="2"/>
      <c r="I74" s="2"/>
      <c r="J74" s="2"/>
      <c r="K74" s="2"/>
      <c r="L74" s="2"/>
    </row>
    <row r="75">
      <c r="B75" s="208" t="s">
        <v>1809</v>
      </c>
      <c r="C75" s="209">
        <v>1.0</v>
      </c>
      <c r="D75" s="209">
        <v>40.0</v>
      </c>
      <c r="E75" s="209">
        <v>1.5</v>
      </c>
      <c r="F75" s="209">
        <f t="shared" si="1"/>
        <v>60</v>
      </c>
      <c r="G75" s="210">
        <f t="shared" si="2"/>
        <v>100</v>
      </c>
      <c r="H75" s="2"/>
      <c r="I75" s="2"/>
      <c r="J75" s="2"/>
      <c r="K75" s="2"/>
      <c r="L75" s="2"/>
    </row>
    <row r="76">
      <c r="B76" s="208" t="s">
        <v>1810</v>
      </c>
      <c r="C76" s="209">
        <v>1.0</v>
      </c>
      <c r="D76" s="209">
        <v>5484.0</v>
      </c>
      <c r="E76" s="209">
        <v>0.25</v>
      </c>
      <c r="F76" s="209">
        <f t="shared" si="1"/>
        <v>1371</v>
      </c>
      <c r="G76" s="210">
        <f t="shared" si="2"/>
        <v>6855</v>
      </c>
      <c r="H76" s="2"/>
      <c r="I76" s="2"/>
      <c r="J76" s="2"/>
      <c r="K76" s="2"/>
      <c r="L76" s="2"/>
    </row>
    <row r="77">
      <c r="B77" s="208" t="s">
        <v>1811</v>
      </c>
      <c r="C77" s="209">
        <v>1.0</v>
      </c>
      <c r="D77" s="209">
        <v>8100.0</v>
      </c>
      <c r="E77" s="209">
        <v>0.2</v>
      </c>
      <c r="F77" s="209">
        <f t="shared" si="1"/>
        <v>1620</v>
      </c>
      <c r="G77" s="210">
        <f t="shared" si="2"/>
        <v>9720</v>
      </c>
      <c r="H77" s="2"/>
      <c r="I77" s="2"/>
      <c r="J77" s="2"/>
      <c r="K77" s="2"/>
      <c r="L77" s="2"/>
    </row>
    <row r="78">
      <c r="B78" s="208" t="s">
        <v>1812</v>
      </c>
      <c r="C78" s="209">
        <v>1.0</v>
      </c>
      <c r="D78" s="209">
        <v>221.0</v>
      </c>
      <c r="E78" s="209">
        <v>1.0</v>
      </c>
      <c r="F78" s="209">
        <f t="shared" si="1"/>
        <v>221</v>
      </c>
      <c r="G78" s="210">
        <f t="shared" si="2"/>
        <v>442</v>
      </c>
      <c r="H78" s="2"/>
      <c r="I78" s="2"/>
      <c r="J78" s="2"/>
      <c r="K78" s="2"/>
      <c r="L78" s="2"/>
    </row>
    <row r="79">
      <c r="B79" s="208" t="s">
        <v>1813</v>
      </c>
      <c r="C79" s="209">
        <v>1.0</v>
      </c>
      <c r="D79" s="209">
        <v>175.0</v>
      </c>
      <c r="E79" s="209">
        <v>1.0</v>
      </c>
      <c r="F79" s="209">
        <f t="shared" si="1"/>
        <v>175</v>
      </c>
      <c r="G79" s="210">
        <f t="shared" si="2"/>
        <v>350</v>
      </c>
      <c r="H79" s="2"/>
      <c r="I79" s="2"/>
      <c r="J79" s="2"/>
      <c r="K79" s="2"/>
      <c r="L79" s="2"/>
    </row>
    <row r="80">
      <c r="B80" s="208" t="s">
        <v>1814</v>
      </c>
      <c r="C80" s="209">
        <v>1.0</v>
      </c>
      <c r="D80" s="209">
        <v>120.0</v>
      </c>
      <c r="E80" s="209">
        <v>1.0</v>
      </c>
      <c r="F80" s="209">
        <f t="shared" si="1"/>
        <v>120</v>
      </c>
      <c r="G80" s="210">
        <f t="shared" si="2"/>
        <v>240</v>
      </c>
      <c r="H80" s="2"/>
      <c r="I80" s="2"/>
      <c r="J80" s="2"/>
      <c r="K80" s="2"/>
      <c r="L80" s="2"/>
    </row>
    <row r="81">
      <c r="B81" s="208" t="s">
        <v>1815</v>
      </c>
      <c r="C81" s="209">
        <v>1.0</v>
      </c>
      <c r="D81" s="209">
        <v>115.0</v>
      </c>
      <c r="E81" s="209">
        <v>1.0</v>
      </c>
      <c r="F81" s="209">
        <f t="shared" si="1"/>
        <v>115</v>
      </c>
      <c r="G81" s="210">
        <f t="shared" si="2"/>
        <v>230</v>
      </c>
      <c r="H81" s="2"/>
      <c r="I81" s="2"/>
      <c r="J81" s="2"/>
      <c r="K81" s="2"/>
      <c r="L81" s="2"/>
    </row>
    <row r="82">
      <c r="B82" s="208" t="s">
        <v>1816</v>
      </c>
      <c r="C82" s="209">
        <v>1.0</v>
      </c>
      <c r="D82" s="209">
        <v>100.0</v>
      </c>
      <c r="E82" s="209">
        <v>1.0</v>
      </c>
      <c r="F82" s="209">
        <f t="shared" si="1"/>
        <v>100</v>
      </c>
      <c r="G82" s="210">
        <f t="shared" si="2"/>
        <v>200</v>
      </c>
      <c r="H82" s="2"/>
      <c r="I82" s="2"/>
      <c r="J82" s="2"/>
      <c r="K82" s="2"/>
      <c r="L82" s="2"/>
    </row>
    <row r="83">
      <c r="A83" s="213" t="s">
        <v>1817</v>
      </c>
      <c r="B83" s="214" t="s">
        <v>1818</v>
      </c>
      <c r="C83" s="215">
        <v>1.0</v>
      </c>
      <c r="D83" s="216"/>
      <c r="E83" s="216"/>
      <c r="F83" s="216"/>
      <c r="G83" s="217">
        <v>3000.0</v>
      </c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</row>
    <row r="84">
      <c r="A84" s="35" t="s">
        <v>1819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</sheetData>
  <mergeCells count="3">
    <mergeCell ref="A5:A18"/>
    <mergeCell ref="A21:A62"/>
    <mergeCell ref="A63:A82"/>
  </mergeCells>
  <printOptions gridLines="1" horizontalCentered="1"/>
  <pageMargins bottom="0.75" footer="0.0" header="0.0" left="0.7" right="0.7" top="0.75"/>
  <pageSetup fitToHeight="0" orientation="landscape" pageOrder="overThenDown" paperHeight="8.5in" paperWidth="11i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1.13"/>
  </cols>
  <sheetData>
    <row r="2">
      <c r="A2" s="35"/>
      <c r="B2" s="1" t="s">
        <v>1820</v>
      </c>
    </row>
    <row r="4">
      <c r="A4" s="42"/>
      <c r="B4" s="42" t="s">
        <v>1821</v>
      </c>
    </row>
    <row r="5">
      <c r="B5" s="42" t="s">
        <v>1822</v>
      </c>
    </row>
    <row r="6">
      <c r="B6" s="42" t="s">
        <v>1823</v>
      </c>
    </row>
    <row r="7">
      <c r="B7" s="42" t="s">
        <v>1824</v>
      </c>
    </row>
    <row r="8">
      <c r="B8" s="42" t="s">
        <v>1825</v>
      </c>
    </row>
    <row r="9">
      <c r="B9" s="42" t="s">
        <v>1826</v>
      </c>
    </row>
    <row r="10">
      <c r="B10" s="42" t="s">
        <v>1827</v>
      </c>
    </row>
    <row r="11">
      <c r="B11" s="42" t="s">
        <v>1828</v>
      </c>
    </row>
    <row r="12">
      <c r="B12" s="42" t="s">
        <v>1829</v>
      </c>
    </row>
    <row r="13">
      <c r="B13" s="42" t="s">
        <v>1830</v>
      </c>
    </row>
    <row r="14">
      <c r="B14" s="42" t="s">
        <v>1831</v>
      </c>
    </row>
    <row r="15">
      <c r="B15" s="42" t="s">
        <v>1832</v>
      </c>
    </row>
    <row r="16">
      <c r="B16" s="42" t="s">
        <v>1833</v>
      </c>
    </row>
    <row r="17">
      <c r="B17" s="42" t="s">
        <v>1834</v>
      </c>
    </row>
    <row r="18">
      <c r="B18" s="42" t="s">
        <v>1835</v>
      </c>
    </row>
    <row r="19">
      <c r="B19" s="42" t="s">
        <v>1836</v>
      </c>
    </row>
    <row r="20">
      <c r="B20" s="42" t="s">
        <v>1837</v>
      </c>
    </row>
    <row r="21">
      <c r="B21" s="42" t="s">
        <v>1838</v>
      </c>
    </row>
    <row r="22">
      <c r="B22" s="42" t="s">
        <v>1839</v>
      </c>
    </row>
    <row r="23">
      <c r="B23" s="42" t="s">
        <v>1840</v>
      </c>
    </row>
    <row r="24">
      <c r="B24" s="42" t="s">
        <v>1841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25"/>
    <col customWidth="1" min="5" max="5" width="18.88"/>
    <col customWidth="1" min="7" max="7" width="15.38"/>
    <col customWidth="1" min="8" max="8" width="16.63"/>
    <col customWidth="1" min="16" max="16" width="18.13"/>
    <col customWidth="1" min="20" max="20" width="14.25"/>
    <col customWidth="1" min="23" max="23" width="14.63"/>
  </cols>
  <sheetData>
    <row r="1">
      <c r="A1" s="42" t="s">
        <v>946</v>
      </c>
    </row>
    <row r="2">
      <c r="A2" s="219" t="s">
        <v>1842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O2" s="220" t="s">
        <v>1843</v>
      </c>
      <c r="P2" s="6"/>
      <c r="Q2" s="7"/>
      <c r="S2" s="221" t="s">
        <v>1844</v>
      </c>
    </row>
    <row r="3"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O3" s="152"/>
      <c r="P3" s="152"/>
      <c r="Q3" s="152"/>
      <c r="S3" s="222" t="s">
        <v>1845</v>
      </c>
      <c r="V3" s="13" t="s">
        <v>1846</v>
      </c>
    </row>
    <row r="4">
      <c r="A4" s="223" t="s">
        <v>2</v>
      </c>
      <c r="B4" s="224" t="s">
        <v>1321</v>
      </c>
      <c r="C4" s="224" t="s">
        <v>1847</v>
      </c>
      <c r="D4" s="224" t="s">
        <v>1848</v>
      </c>
      <c r="E4" s="225" t="s">
        <v>1849</v>
      </c>
      <c r="F4" s="224" t="s">
        <v>1850</v>
      </c>
      <c r="G4" s="224" t="s">
        <v>1851</v>
      </c>
      <c r="H4" s="224" t="s">
        <v>1852</v>
      </c>
      <c r="I4" s="224" t="s">
        <v>1853</v>
      </c>
      <c r="J4" s="224" t="s">
        <v>1854</v>
      </c>
      <c r="K4" s="224" t="s">
        <v>1855</v>
      </c>
      <c r="L4" s="224" t="s">
        <v>1856</v>
      </c>
      <c r="M4" s="224" t="s">
        <v>1857</v>
      </c>
      <c r="N4" s="226"/>
      <c r="O4" s="224" t="s">
        <v>1321</v>
      </c>
      <c r="P4" s="225" t="s">
        <v>1858</v>
      </c>
      <c r="Q4" s="224" t="s">
        <v>1856</v>
      </c>
      <c r="R4" s="226"/>
      <c r="S4" s="224" t="s">
        <v>1321</v>
      </c>
      <c r="T4" s="225" t="s">
        <v>1858</v>
      </c>
      <c r="U4" s="224" t="s">
        <v>1856</v>
      </c>
      <c r="V4" s="224" t="s">
        <v>1321</v>
      </c>
      <c r="W4" s="225" t="s">
        <v>1858</v>
      </c>
      <c r="X4" s="224" t="s">
        <v>1856</v>
      </c>
      <c r="Y4" s="226"/>
      <c r="Z4" s="226"/>
      <c r="AA4" s="226"/>
    </row>
    <row r="5">
      <c r="A5" s="227" t="s">
        <v>1859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O5" s="152"/>
      <c r="P5" s="152"/>
      <c r="Q5" s="152"/>
      <c r="S5" s="152"/>
      <c r="T5" s="152"/>
      <c r="U5" s="152"/>
      <c r="V5" s="152"/>
      <c r="W5" s="152"/>
    </row>
    <row r="6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O6" s="152"/>
      <c r="P6" s="152"/>
      <c r="Q6" s="152"/>
      <c r="S6" s="152"/>
      <c r="T6" s="152"/>
      <c r="U6" s="152"/>
      <c r="V6" s="152"/>
      <c r="W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O7" s="152"/>
      <c r="P7" s="152"/>
      <c r="Q7" s="152"/>
      <c r="S7" s="152"/>
      <c r="T7" s="152"/>
      <c r="U7" s="152"/>
      <c r="V7" s="152"/>
      <c r="W7" s="152"/>
    </row>
    <row r="8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O8" s="152"/>
      <c r="P8" s="152"/>
      <c r="Q8" s="152"/>
      <c r="S8" s="152"/>
      <c r="T8" s="152"/>
      <c r="U8" s="152"/>
      <c r="V8" s="152"/>
      <c r="W8" s="152"/>
    </row>
    <row r="9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O9" s="152"/>
      <c r="P9" s="152"/>
      <c r="Q9" s="152"/>
      <c r="S9" s="152"/>
      <c r="T9" s="152"/>
      <c r="U9" s="152"/>
      <c r="V9" s="152"/>
      <c r="W9" s="152"/>
    </row>
    <row r="10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O10" s="152"/>
      <c r="P10" s="152"/>
      <c r="Q10" s="152"/>
      <c r="S10" s="152"/>
      <c r="T10" s="152"/>
      <c r="U10" s="152"/>
      <c r="V10" s="152"/>
      <c r="W10" s="152"/>
    </row>
    <row r="11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O11" s="152"/>
      <c r="P11" s="152"/>
      <c r="Q11" s="152"/>
      <c r="S11" s="152"/>
      <c r="T11" s="152"/>
      <c r="U11" s="152"/>
      <c r="V11" s="152"/>
      <c r="W11" s="152"/>
    </row>
    <row r="12">
      <c r="A12" s="152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O12" s="152"/>
      <c r="P12" s="152"/>
      <c r="Q12" s="152"/>
      <c r="S12" s="152"/>
      <c r="T12" s="152"/>
      <c r="U12" s="152"/>
      <c r="V12" s="152"/>
      <c r="W12" s="152"/>
    </row>
    <row r="13">
      <c r="A13" s="15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O13" s="152"/>
      <c r="P13" s="152"/>
      <c r="Q13" s="152"/>
      <c r="S13" s="152"/>
      <c r="T13" s="152"/>
      <c r="U13" s="152"/>
      <c r="V13" s="152"/>
      <c r="W13" s="152"/>
    </row>
    <row r="14">
      <c r="A14" s="152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O14" s="152"/>
      <c r="P14" s="152"/>
      <c r="Q14" s="152"/>
      <c r="S14" s="152"/>
      <c r="T14" s="152"/>
      <c r="U14" s="152"/>
      <c r="V14" s="152"/>
      <c r="W14" s="152"/>
    </row>
    <row r="15">
      <c r="A15" s="152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O15" s="152"/>
      <c r="P15" s="152"/>
      <c r="Q15" s="152"/>
      <c r="S15" s="152"/>
      <c r="T15" s="152"/>
      <c r="U15" s="152"/>
      <c r="V15" s="152"/>
      <c r="W15" s="152"/>
    </row>
    <row r="16">
      <c r="A16" s="152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O16" s="152"/>
      <c r="P16" s="152"/>
      <c r="Q16" s="152"/>
      <c r="S16" s="152"/>
      <c r="T16" s="152"/>
      <c r="U16" s="152"/>
      <c r="V16" s="152"/>
      <c r="W16" s="152"/>
    </row>
    <row r="17">
      <c r="A17" s="152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O17" s="152"/>
      <c r="P17" s="152"/>
      <c r="Q17" s="152"/>
      <c r="S17" s="152"/>
      <c r="T17" s="152"/>
      <c r="U17" s="152"/>
      <c r="V17" s="152"/>
      <c r="W17" s="152"/>
    </row>
    <row r="18">
      <c r="A18" s="152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O18" s="152"/>
      <c r="P18" s="152"/>
      <c r="Q18" s="152"/>
      <c r="S18" s="152"/>
      <c r="T18" s="152"/>
      <c r="U18" s="152"/>
      <c r="V18" s="152"/>
      <c r="W18" s="152"/>
    </row>
    <row r="19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O19" s="152"/>
      <c r="P19" s="152"/>
      <c r="Q19" s="152"/>
      <c r="S19" s="152"/>
      <c r="T19" s="152"/>
      <c r="U19" s="152"/>
      <c r="V19" s="152"/>
      <c r="W19" s="152"/>
    </row>
    <row r="20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O20" s="152"/>
      <c r="P20" s="152"/>
      <c r="Q20" s="152"/>
      <c r="S20" s="152"/>
      <c r="T20" s="152"/>
      <c r="U20" s="152"/>
      <c r="V20" s="152"/>
      <c r="W20" s="152"/>
    </row>
    <row r="21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O21" s="152"/>
      <c r="P21" s="152"/>
      <c r="Q21" s="152"/>
      <c r="S21" s="152"/>
      <c r="T21" s="152"/>
      <c r="U21" s="152"/>
      <c r="V21" s="152"/>
      <c r="W21" s="152"/>
    </row>
    <row r="22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O22" s="152"/>
      <c r="P22" s="152"/>
      <c r="Q22" s="152"/>
      <c r="S22" s="152"/>
      <c r="T22" s="152"/>
      <c r="U22" s="152"/>
      <c r="V22" s="152"/>
      <c r="W22" s="152"/>
    </row>
    <row r="23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O23" s="152"/>
      <c r="P23" s="152"/>
      <c r="Q23" s="152"/>
      <c r="S23" s="152"/>
      <c r="T23" s="152"/>
      <c r="U23" s="152"/>
      <c r="V23" s="152"/>
      <c r="W23" s="152"/>
    </row>
    <row r="24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O24" s="152"/>
      <c r="P24" s="152"/>
      <c r="Q24" s="152"/>
      <c r="S24" s="152"/>
      <c r="T24" s="152"/>
      <c r="U24" s="152"/>
      <c r="V24" s="152"/>
      <c r="W24" s="152"/>
    </row>
    <row r="25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O25" s="152"/>
      <c r="P25" s="152"/>
      <c r="Q25" s="152"/>
      <c r="S25" s="152"/>
      <c r="T25" s="152"/>
      <c r="U25" s="152"/>
      <c r="V25" s="152"/>
      <c r="W25" s="152"/>
    </row>
    <row r="26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O26" s="152"/>
      <c r="P26" s="152"/>
      <c r="Q26" s="152"/>
      <c r="S26" s="152"/>
      <c r="T26" s="152"/>
      <c r="U26" s="152"/>
      <c r="V26" s="152"/>
      <c r="W26" s="152"/>
    </row>
    <row r="27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O27" s="152"/>
      <c r="P27" s="152"/>
      <c r="Q27" s="152"/>
      <c r="S27" s="152"/>
      <c r="T27" s="152"/>
      <c r="U27" s="152"/>
      <c r="V27" s="152"/>
      <c r="W27" s="152"/>
    </row>
    <row r="28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O28" s="152"/>
      <c r="P28" s="152"/>
      <c r="Q28" s="152"/>
      <c r="S28" s="152"/>
      <c r="T28" s="152"/>
      <c r="U28" s="152"/>
      <c r="V28" s="152"/>
      <c r="W28" s="152"/>
    </row>
    <row r="29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O29" s="152"/>
      <c r="P29" s="152"/>
      <c r="Q29" s="152"/>
      <c r="S29" s="152"/>
      <c r="T29" s="152"/>
      <c r="U29" s="152"/>
      <c r="V29" s="152"/>
      <c r="W29" s="152"/>
    </row>
    <row r="30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O30" s="152"/>
      <c r="P30" s="152"/>
      <c r="Q30" s="152"/>
      <c r="S30" s="152"/>
      <c r="T30" s="152"/>
      <c r="U30" s="152"/>
      <c r="V30" s="152"/>
      <c r="W30" s="152"/>
    </row>
    <row r="3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O31" s="152"/>
      <c r="P31" s="152"/>
      <c r="Q31" s="152"/>
      <c r="S31" s="152"/>
      <c r="T31" s="152"/>
      <c r="U31" s="152"/>
      <c r="V31" s="152"/>
      <c r="W31" s="152"/>
    </row>
    <row r="32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O32" s="152"/>
      <c r="P32" s="152"/>
      <c r="Q32" s="152"/>
      <c r="S32" s="152"/>
      <c r="T32" s="152"/>
      <c r="U32" s="152"/>
      <c r="V32" s="152"/>
      <c r="W32" s="152"/>
    </row>
    <row r="33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O33" s="152"/>
      <c r="P33" s="152"/>
      <c r="Q33" s="152"/>
      <c r="S33" s="152"/>
      <c r="T33" s="152"/>
      <c r="U33" s="152"/>
      <c r="V33" s="152"/>
      <c r="W33" s="152"/>
    </row>
    <row r="34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O34" s="152"/>
      <c r="P34" s="152"/>
      <c r="Q34" s="152"/>
      <c r="S34" s="152"/>
      <c r="T34" s="152"/>
      <c r="U34" s="152"/>
      <c r="V34" s="152"/>
      <c r="W34" s="152"/>
    </row>
    <row r="3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O35" s="152"/>
      <c r="P35" s="152"/>
      <c r="Q35" s="152"/>
      <c r="S35" s="152"/>
      <c r="T35" s="152"/>
      <c r="U35" s="152"/>
      <c r="V35" s="152"/>
      <c r="W35" s="152"/>
    </row>
    <row r="36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O36" s="152"/>
      <c r="P36" s="152"/>
      <c r="Q36" s="152"/>
      <c r="S36" s="152"/>
      <c r="T36" s="152"/>
      <c r="U36" s="152"/>
      <c r="V36" s="152"/>
      <c r="W36" s="152"/>
    </row>
    <row r="37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O37" s="152"/>
      <c r="P37" s="152"/>
      <c r="Q37" s="152"/>
      <c r="S37" s="152"/>
      <c r="T37" s="152"/>
      <c r="U37" s="152"/>
      <c r="V37" s="152"/>
      <c r="W37" s="152"/>
    </row>
    <row r="38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O38" s="152"/>
      <c r="P38" s="152"/>
      <c r="Q38" s="152"/>
      <c r="S38" s="152"/>
      <c r="T38" s="152"/>
      <c r="U38" s="152"/>
      <c r="V38" s="152"/>
      <c r="W38" s="152"/>
    </row>
    <row r="39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O39" s="152"/>
      <c r="P39" s="152"/>
      <c r="Q39" s="152"/>
      <c r="S39" s="152"/>
      <c r="T39" s="152"/>
      <c r="U39" s="152"/>
      <c r="V39" s="152"/>
      <c r="W39" s="152"/>
    </row>
    <row r="40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O40" s="152"/>
      <c r="P40" s="152"/>
      <c r="Q40" s="152"/>
      <c r="S40" s="152"/>
      <c r="T40" s="152"/>
      <c r="U40" s="152"/>
      <c r="V40" s="152"/>
      <c r="W40" s="152"/>
    </row>
    <row r="4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O41" s="152"/>
      <c r="P41" s="152"/>
      <c r="Q41" s="152"/>
      <c r="S41" s="152"/>
      <c r="T41" s="152"/>
      <c r="U41" s="152"/>
      <c r="V41" s="152"/>
      <c r="W41" s="152"/>
    </row>
    <row r="42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O42" s="152"/>
      <c r="P42" s="152"/>
      <c r="Q42" s="152"/>
      <c r="S42" s="152"/>
      <c r="T42" s="152"/>
      <c r="U42" s="152"/>
      <c r="V42" s="152"/>
      <c r="W42" s="152"/>
    </row>
    <row r="43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O43" s="152"/>
      <c r="P43" s="152"/>
      <c r="Q43" s="152"/>
      <c r="S43" s="152"/>
      <c r="T43" s="152"/>
      <c r="U43" s="152"/>
      <c r="V43" s="152"/>
      <c r="W43" s="152"/>
    </row>
    <row r="44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O44" s="152"/>
      <c r="P44" s="152"/>
      <c r="Q44" s="152"/>
      <c r="S44" s="152"/>
      <c r="T44" s="152"/>
      <c r="U44" s="152"/>
      <c r="V44" s="152"/>
      <c r="W44" s="152"/>
    </row>
    <row r="4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O45" s="152"/>
      <c r="P45" s="152"/>
      <c r="Q45" s="152"/>
      <c r="S45" s="152"/>
      <c r="T45" s="152"/>
      <c r="U45" s="152"/>
      <c r="V45" s="152"/>
      <c r="W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O46" s="152"/>
      <c r="P46" s="152"/>
      <c r="Q46" s="152"/>
      <c r="S46" s="152"/>
      <c r="T46" s="152"/>
      <c r="U46" s="152"/>
      <c r="V46" s="152"/>
      <c r="W46" s="152"/>
    </row>
    <row r="47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O47" s="152"/>
      <c r="P47" s="152"/>
      <c r="Q47" s="152"/>
      <c r="S47" s="152"/>
      <c r="T47" s="152"/>
      <c r="U47" s="152"/>
      <c r="V47" s="152"/>
      <c r="W47" s="152"/>
    </row>
  </sheetData>
  <mergeCells count="5">
    <mergeCell ref="A2:M2"/>
    <mergeCell ref="O2:Q2"/>
    <mergeCell ref="S2:X2"/>
    <mergeCell ref="S3:U3"/>
    <mergeCell ref="V3:X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8.63"/>
  </cols>
  <sheetData>
    <row r="3">
      <c r="A3" s="228" t="s">
        <v>1860</v>
      </c>
      <c r="B3" s="229" t="s">
        <v>1861</v>
      </c>
    </row>
    <row r="4">
      <c r="A4" s="228" t="s">
        <v>1862</v>
      </c>
      <c r="B4" s="229" t="s">
        <v>1863</v>
      </c>
    </row>
    <row r="5">
      <c r="A5" s="228" t="s">
        <v>1864</v>
      </c>
      <c r="B5" s="229" t="s">
        <v>1865</v>
      </c>
    </row>
    <row r="6">
      <c r="A6" s="228" t="s">
        <v>15</v>
      </c>
      <c r="B6" s="230">
        <v>35705.0</v>
      </c>
    </row>
    <row r="7">
      <c r="A7" s="228" t="s">
        <v>1866</v>
      </c>
      <c r="B7" s="229" t="s">
        <v>1867</v>
      </c>
    </row>
    <row r="8">
      <c r="A8" s="228" t="s">
        <v>1868</v>
      </c>
      <c r="B8" s="42" t="s">
        <v>1869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3.5"/>
    <col customWidth="1" min="3" max="3" width="18.0"/>
    <col customWidth="1" min="4" max="4" width="21.38"/>
    <col customWidth="1" min="5" max="5" width="18.0"/>
    <col customWidth="1" min="6" max="6" width="13.63"/>
    <col customWidth="1" min="8" max="8" width="15.88"/>
  </cols>
  <sheetData>
    <row r="1">
      <c r="H1" s="2"/>
    </row>
    <row r="2" ht="24.75" customHeight="1">
      <c r="C2" s="231" t="s">
        <v>1870</v>
      </c>
    </row>
    <row r="3">
      <c r="C3" s="232" t="s">
        <v>1871</v>
      </c>
    </row>
    <row r="4">
      <c r="C4" s="232" t="s">
        <v>1872</v>
      </c>
    </row>
    <row r="5">
      <c r="H5" s="2"/>
    </row>
    <row r="6">
      <c r="H6" s="2"/>
    </row>
    <row r="7">
      <c r="A7" s="233"/>
      <c r="B7" s="233" t="s">
        <v>1873</v>
      </c>
      <c r="C7" s="234" t="s">
        <v>1874</v>
      </c>
      <c r="D7" s="235" t="s">
        <v>1875</v>
      </c>
      <c r="E7" s="234" t="s">
        <v>1876</v>
      </c>
      <c r="F7" s="77"/>
      <c r="G7" s="2"/>
      <c r="H7" s="2"/>
    </row>
    <row r="8" ht="21.75" customHeight="1">
      <c r="A8" s="235"/>
      <c r="B8" s="235" t="s">
        <v>1877</v>
      </c>
      <c r="C8" s="236" t="s">
        <v>1878</v>
      </c>
      <c r="D8" s="235" t="s">
        <v>1879</v>
      </c>
      <c r="E8" s="237">
        <v>45883.0</v>
      </c>
      <c r="F8" s="235" t="s">
        <v>1880</v>
      </c>
      <c r="G8" s="237">
        <v>45899.0</v>
      </c>
      <c r="H8" s="2"/>
    </row>
    <row r="9">
      <c r="A9" s="77"/>
      <c r="B9" s="235" t="s">
        <v>1881</v>
      </c>
      <c r="C9" s="234" t="s">
        <v>1882</v>
      </c>
      <c r="F9" s="77"/>
      <c r="G9" s="2"/>
      <c r="H9" s="2"/>
    </row>
    <row r="10">
      <c r="H10" s="2"/>
    </row>
    <row r="11" ht="30.75" customHeight="1">
      <c r="A11" s="238" t="s">
        <v>1233</v>
      </c>
      <c r="B11" s="238" t="s">
        <v>1234</v>
      </c>
      <c r="C11" s="239" t="s">
        <v>1883</v>
      </c>
      <c r="D11" s="7"/>
      <c r="E11" s="239" t="s">
        <v>1884</v>
      </c>
      <c r="F11" s="6"/>
      <c r="G11" s="7"/>
      <c r="H11" s="238" t="s">
        <v>1885</v>
      </c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>
      <c r="A12" s="240">
        <v>1.0</v>
      </c>
      <c r="B12" s="241">
        <v>45883.0</v>
      </c>
      <c r="C12" s="242" t="s">
        <v>1242</v>
      </c>
      <c r="D12" s="7"/>
      <c r="E12" s="242" t="s">
        <v>1243</v>
      </c>
      <c r="F12" s="6"/>
      <c r="G12" s="7"/>
      <c r="H12" s="100"/>
    </row>
    <row r="13">
      <c r="A13" s="240">
        <v>2.0</v>
      </c>
      <c r="B13" s="241">
        <v>45884.0</v>
      </c>
      <c r="C13" s="242" t="s">
        <v>36</v>
      </c>
      <c r="D13" s="7"/>
      <c r="E13" s="242" t="s">
        <v>1253</v>
      </c>
      <c r="F13" s="6"/>
      <c r="G13" s="7"/>
      <c r="H13" s="100"/>
    </row>
    <row r="14">
      <c r="A14" s="240">
        <v>3.0</v>
      </c>
      <c r="B14" s="241">
        <v>45884.0</v>
      </c>
      <c r="C14" s="242" t="s">
        <v>1252</v>
      </c>
      <c r="D14" s="7"/>
      <c r="E14" s="242" t="s">
        <v>1253</v>
      </c>
      <c r="F14" s="6"/>
      <c r="G14" s="7"/>
      <c r="H14" s="100"/>
    </row>
    <row r="15">
      <c r="A15" s="240">
        <v>4.0</v>
      </c>
      <c r="B15" s="241">
        <v>45884.0</v>
      </c>
      <c r="C15" s="242" t="s">
        <v>1255</v>
      </c>
      <c r="D15" s="7"/>
      <c r="E15" s="242" t="s">
        <v>1243</v>
      </c>
      <c r="F15" s="6"/>
      <c r="G15" s="7"/>
      <c r="H15" s="100"/>
    </row>
    <row r="16">
      <c r="A16" s="243">
        <v>6.0</v>
      </c>
      <c r="B16" s="244">
        <v>45887.0</v>
      </c>
      <c r="C16" s="245" t="s">
        <v>1259</v>
      </c>
      <c r="D16" s="7"/>
      <c r="E16" s="245" t="s">
        <v>1260</v>
      </c>
      <c r="F16" s="6"/>
      <c r="G16" s="7"/>
      <c r="H16" s="100"/>
    </row>
    <row r="17">
      <c r="A17" s="243">
        <v>8.0</v>
      </c>
      <c r="B17" s="244">
        <v>45890.0</v>
      </c>
      <c r="C17" s="245" t="s">
        <v>69</v>
      </c>
      <c r="D17" s="7"/>
      <c r="E17" s="242" t="s">
        <v>1253</v>
      </c>
      <c r="F17" s="6"/>
      <c r="G17" s="7"/>
      <c r="H17" s="100"/>
    </row>
    <row r="18">
      <c r="A18" s="243">
        <v>9.0</v>
      </c>
      <c r="B18" s="244">
        <v>45890.0</v>
      </c>
      <c r="C18" s="245" t="s">
        <v>79</v>
      </c>
      <c r="D18" s="7"/>
      <c r="E18" s="245" t="s">
        <v>1349</v>
      </c>
      <c r="F18" s="6"/>
      <c r="G18" s="7"/>
      <c r="H18" s="100"/>
    </row>
    <row r="19">
      <c r="A19" s="243">
        <v>10.0</v>
      </c>
      <c r="B19" s="244">
        <v>45891.0</v>
      </c>
      <c r="C19" s="245" t="s">
        <v>88</v>
      </c>
      <c r="D19" s="7"/>
      <c r="E19" s="245" t="s">
        <v>1340</v>
      </c>
      <c r="F19" s="6"/>
      <c r="G19" s="7"/>
      <c r="H19" s="99">
        <v>100.0</v>
      </c>
    </row>
    <row r="20">
      <c r="A20" s="243">
        <v>11.0</v>
      </c>
      <c r="B20" s="244">
        <v>45892.0</v>
      </c>
      <c r="C20" s="245" t="s">
        <v>1489</v>
      </c>
      <c r="D20" s="7"/>
      <c r="E20" s="245" t="s">
        <v>1256</v>
      </c>
      <c r="F20" s="6"/>
      <c r="G20" s="7"/>
      <c r="H20" s="100"/>
    </row>
    <row r="21">
      <c r="A21" s="243">
        <v>12.0</v>
      </c>
      <c r="B21" s="244">
        <v>45892.0</v>
      </c>
      <c r="C21" s="245" t="s">
        <v>1488</v>
      </c>
      <c r="D21" s="7"/>
      <c r="E21" s="245" t="s">
        <v>1256</v>
      </c>
      <c r="F21" s="6"/>
      <c r="G21" s="7"/>
      <c r="H21" s="100"/>
    </row>
    <row r="22">
      <c r="A22" s="243">
        <v>13.0</v>
      </c>
      <c r="B22" s="244">
        <v>45892.0</v>
      </c>
      <c r="C22" s="245" t="s">
        <v>106</v>
      </c>
      <c r="D22" s="7"/>
      <c r="E22" s="245" t="s">
        <v>1357</v>
      </c>
      <c r="F22" s="6"/>
      <c r="G22" s="7"/>
      <c r="H22" s="100"/>
    </row>
    <row r="23">
      <c r="A23" s="243">
        <v>14.0</v>
      </c>
      <c r="B23" s="244">
        <v>45892.0</v>
      </c>
      <c r="C23" s="245" t="s">
        <v>1271</v>
      </c>
      <c r="D23" s="7"/>
      <c r="E23" s="245" t="s">
        <v>1340</v>
      </c>
      <c r="F23" s="6"/>
      <c r="G23" s="7"/>
      <c r="H23" s="100"/>
    </row>
    <row r="24">
      <c r="A24" s="243">
        <v>15.0</v>
      </c>
      <c r="B24" s="244">
        <v>45892.0</v>
      </c>
      <c r="C24" s="245" t="s">
        <v>125</v>
      </c>
      <c r="D24" s="7"/>
      <c r="E24" s="245" t="s">
        <v>1256</v>
      </c>
      <c r="F24" s="6"/>
      <c r="G24" s="7"/>
      <c r="H24" s="100"/>
    </row>
    <row r="25">
      <c r="A25" s="243">
        <v>16.0</v>
      </c>
      <c r="B25" s="244">
        <v>45892.0</v>
      </c>
      <c r="C25" s="245" t="s">
        <v>1358</v>
      </c>
      <c r="D25" s="7"/>
      <c r="E25" s="245" t="s">
        <v>1279</v>
      </c>
      <c r="F25" s="6"/>
      <c r="G25" s="7"/>
      <c r="H25" s="100"/>
    </row>
    <row r="26">
      <c r="A26" s="243">
        <v>17.0</v>
      </c>
      <c r="B26" s="244">
        <v>45893.0</v>
      </c>
      <c r="C26" s="245" t="s">
        <v>143</v>
      </c>
      <c r="D26" s="7"/>
      <c r="E26" s="245" t="s">
        <v>1359</v>
      </c>
      <c r="F26" s="6"/>
      <c r="G26" s="7"/>
      <c r="H26" s="99">
        <v>150.0</v>
      </c>
    </row>
    <row r="27">
      <c r="A27" s="243">
        <v>18.0</v>
      </c>
      <c r="B27" s="244">
        <v>45893.0</v>
      </c>
      <c r="C27" s="245" t="s">
        <v>151</v>
      </c>
      <c r="D27" s="7"/>
      <c r="E27" s="242" t="s">
        <v>1253</v>
      </c>
      <c r="F27" s="6"/>
      <c r="G27" s="7"/>
      <c r="H27" s="100"/>
    </row>
    <row r="28">
      <c r="A28" s="243">
        <v>19.0</v>
      </c>
      <c r="B28" s="244">
        <v>45803.0</v>
      </c>
      <c r="C28" s="245" t="s">
        <v>170</v>
      </c>
      <c r="D28" s="7"/>
      <c r="E28" s="245" t="s">
        <v>1285</v>
      </c>
      <c r="F28" s="6"/>
      <c r="G28" s="7"/>
      <c r="H28" s="100"/>
    </row>
    <row r="29">
      <c r="A29" s="243">
        <v>20.0</v>
      </c>
      <c r="B29" s="244">
        <v>45803.0</v>
      </c>
      <c r="C29" s="245" t="s">
        <v>329</v>
      </c>
      <c r="D29" s="7"/>
      <c r="E29" s="245" t="s">
        <v>1370</v>
      </c>
      <c r="F29" s="6"/>
      <c r="G29" s="7"/>
      <c r="H29" s="100"/>
    </row>
    <row r="30">
      <c r="A30" s="243">
        <v>21.0</v>
      </c>
      <c r="B30" s="244">
        <v>45805.0</v>
      </c>
      <c r="C30" s="245" t="s">
        <v>1288</v>
      </c>
      <c r="D30" s="7"/>
      <c r="E30" s="245" t="s">
        <v>1275</v>
      </c>
      <c r="F30" s="6"/>
      <c r="G30" s="7"/>
      <c r="H30" s="100"/>
    </row>
    <row r="31">
      <c r="A31" s="243">
        <v>22.0</v>
      </c>
      <c r="B31" s="244">
        <v>45898.0</v>
      </c>
      <c r="C31" s="245" t="s">
        <v>184</v>
      </c>
      <c r="D31" s="7"/>
      <c r="E31" s="246" t="s">
        <v>1256</v>
      </c>
      <c r="F31" s="6"/>
      <c r="G31" s="7"/>
      <c r="H31" s="100"/>
    </row>
    <row r="32">
      <c r="H32" s="2"/>
    </row>
    <row r="33">
      <c r="H33" s="2"/>
    </row>
    <row r="34">
      <c r="B34" s="247"/>
      <c r="C34" s="6"/>
      <c r="D34" s="7"/>
      <c r="E34" s="248" t="s">
        <v>1886</v>
      </c>
      <c r="H34" s="2"/>
    </row>
    <row r="35">
      <c r="B35" s="249" t="s">
        <v>1887</v>
      </c>
      <c r="C35" s="7"/>
      <c r="D35" s="243">
        <v>14.0</v>
      </c>
      <c r="E35" s="99">
        <v>1400.0</v>
      </c>
      <c r="H35" s="2"/>
    </row>
    <row r="36">
      <c r="B36" s="249" t="s">
        <v>1888</v>
      </c>
      <c r="C36" s="7"/>
      <c r="D36" s="240">
        <v>2.0</v>
      </c>
      <c r="E36" s="99">
        <v>240.0</v>
      </c>
      <c r="H36" s="2"/>
    </row>
    <row r="37">
      <c r="B37" s="249" t="s">
        <v>1889</v>
      </c>
      <c r="C37" s="7"/>
      <c r="D37" s="240">
        <v>0.0</v>
      </c>
      <c r="E37" s="99">
        <v>0.0</v>
      </c>
      <c r="H37" s="2"/>
    </row>
    <row r="38">
      <c r="B38" s="249" t="s">
        <v>1890</v>
      </c>
      <c r="C38" s="7"/>
      <c r="D38" s="243">
        <v>6.0</v>
      </c>
      <c r="E38" s="99">
        <v>1020.0</v>
      </c>
      <c r="H38" s="2"/>
    </row>
    <row r="39">
      <c r="B39" s="249" t="s">
        <v>1891</v>
      </c>
      <c r="C39" s="7"/>
      <c r="D39" s="243">
        <v>9.0</v>
      </c>
      <c r="E39" s="99">
        <v>900.0</v>
      </c>
      <c r="H39" s="2"/>
    </row>
    <row r="40">
      <c r="B40" s="249" t="s">
        <v>1892</v>
      </c>
      <c r="C40" s="7"/>
      <c r="D40" s="243">
        <v>3.0</v>
      </c>
      <c r="E40" s="99">
        <v>300.0</v>
      </c>
      <c r="H40" s="2"/>
    </row>
    <row r="41">
      <c r="B41" s="249" t="s">
        <v>1893</v>
      </c>
      <c r="C41" s="7"/>
      <c r="D41" s="243">
        <v>1.0</v>
      </c>
      <c r="E41" s="99">
        <v>200.0</v>
      </c>
      <c r="H41" s="2"/>
    </row>
    <row r="42">
      <c r="H42" s="2"/>
    </row>
    <row r="43">
      <c r="B43" s="250" t="s">
        <v>1894</v>
      </c>
      <c r="C43" s="251">
        <f>SUM(E35:E41)</f>
        <v>4060</v>
      </c>
      <c r="H43" s="2"/>
    </row>
    <row r="44">
      <c r="B44" s="250" t="s">
        <v>1895</v>
      </c>
      <c r="C44" s="251">
        <f>SUM(H12:H31)</f>
        <v>250</v>
      </c>
      <c r="D44" s="42" t="s">
        <v>0</v>
      </c>
      <c r="H44" s="2"/>
    </row>
    <row r="45">
      <c r="B45" s="250" t="s">
        <v>1896</v>
      </c>
      <c r="C45" s="110">
        <v>7500.0</v>
      </c>
      <c r="D45" s="228" t="s">
        <v>1897</v>
      </c>
      <c r="H45" s="2"/>
    </row>
    <row r="46">
      <c r="B46" s="250" t="s">
        <v>1898</v>
      </c>
      <c r="C46" s="252">
        <f>SUM(C43:C45)</f>
        <v>11810</v>
      </c>
      <c r="H46" s="2"/>
    </row>
    <row r="47">
      <c r="H47" s="2"/>
    </row>
    <row r="48">
      <c r="H48" s="2"/>
    </row>
    <row r="49">
      <c r="H49" s="2"/>
    </row>
    <row r="50">
      <c r="H50" s="2"/>
    </row>
    <row r="51">
      <c r="H51" s="2"/>
    </row>
    <row r="52">
      <c r="H52" s="2"/>
    </row>
    <row r="53">
      <c r="H53" s="2"/>
    </row>
    <row r="54">
      <c r="H54" s="2"/>
    </row>
    <row r="55">
      <c r="H55" s="2"/>
    </row>
    <row r="56">
      <c r="H56" s="2"/>
    </row>
    <row r="57">
      <c r="H57" s="2"/>
    </row>
    <row r="58">
      <c r="H58" s="2"/>
    </row>
    <row r="59">
      <c r="H59" s="2"/>
    </row>
    <row r="60">
      <c r="H60" s="2"/>
    </row>
    <row r="61">
      <c r="H61" s="2"/>
    </row>
    <row r="62">
      <c r="H62" s="2"/>
    </row>
    <row r="63">
      <c r="H63" s="2"/>
    </row>
    <row r="64">
      <c r="H64" s="2"/>
    </row>
    <row r="65">
      <c r="H65" s="2"/>
    </row>
    <row r="66">
      <c r="H66" s="2"/>
    </row>
    <row r="67">
      <c r="H67" s="2"/>
    </row>
    <row r="68">
      <c r="H68" s="2"/>
    </row>
    <row r="69">
      <c r="H69" s="2"/>
    </row>
    <row r="70">
      <c r="H70" s="2"/>
    </row>
    <row r="71">
      <c r="H71" s="2"/>
    </row>
    <row r="72">
      <c r="H72" s="2"/>
    </row>
    <row r="73">
      <c r="H73" s="2"/>
    </row>
    <row r="74">
      <c r="H74" s="2"/>
    </row>
    <row r="75">
      <c r="H75" s="2"/>
    </row>
    <row r="76">
      <c r="H76" s="2"/>
    </row>
    <row r="77">
      <c r="H77" s="2"/>
    </row>
    <row r="78">
      <c r="H78" s="2"/>
    </row>
    <row r="79">
      <c r="H79" s="2"/>
    </row>
    <row r="80">
      <c r="H80" s="2"/>
    </row>
    <row r="81">
      <c r="H81" s="2"/>
    </row>
    <row r="82">
      <c r="H82" s="2"/>
    </row>
    <row r="83">
      <c r="H83" s="2"/>
    </row>
    <row r="84">
      <c r="H84" s="2"/>
    </row>
    <row r="85">
      <c r="H85" s="2"/>
    </row>
    <row r="86">
      <c r="H86" s="2"/>
    </row>
    <row r="87">
      <c r="H87" s="2"/>
    </row>
    <row r="88">
      <c r="H88" s="2"/>
    </row>
    <row r="89">
      <c r="H89" s="2"/>
    </row>
    <row r="90">
      <c r="H90" s="2"/>
    </row>
    <row r="91">
      <c r="H91" s="2"/>
    </row>
    <row r="92">
      <c r="H92" s="2"/>
    </row>
    <row r="93">
      <c r="H93" s="2"/>
    </row>
    <row r="94">
      <c r="H94" s="2"/>
    </row>
    <row r="95">
      <c r="H95" s="2"/>
    </row>
    <row r="96">
      <c r="H96" s="2"/>
    </row>
    <row r="97">
      <c r="H97" s="2"/>
    </row>
    <row r="98">
      <c r="H98" s="2"/>
    </row>
    <row r="99">
      <c r="H99" s="2"/>
    </row>
    <row r="100">
      <c r="H100" s="2"/>
    </row>
    <row r="101">
      <c r="H101" s="2"/>
    </row>
    <row r="102">
      <c r="H102" s="2"/>
    </row>
    <row r="103">
      <c r="H103" s="2"/>
    </row>
    <row r="104">
      <c r="H104" s="2"/>
    </row>
    <row r="105">
      <c r="H105" s="2"/>
    </row>
    <row r="106">
      <c r="H106" s="2"/>
    </row>
    <row r="107">
      <c r="H107" s="2"/>
    </row>
    <row r="108">
      <c r="H108" s="2"/>
    </row>
    <row r="109">
      <c r="H109" s="2"/>
    </row>
    <row r="110">
      <c r="H110" s="2"/>
    </row>
    <row r="111">
      <c r="H111" s="2"/>
    </row>
    <row r="112">
      <c r="H112" s="2"/>
    </row>
    <row r="113">
      <c r="H113" s="2"/>
    </row>
    <row r="114">
      <c r="H114" s="2"/>
    </row>
    <row r="115">
      <c r="H115" s="2"/>
    </row>
    <row r="116">
      <c r="H116" s="2"/>
    </row>
    <row r="117">
      <c r="H117" s="2"/>
    </row>
    <row r="118">
      <c r="H118" s="2"/>
    </row>
    <row r="119">
      <c r="H119" s="2"/>
    </row>
    <row r="120">
      <c r="H120" s="2"/>
    </row>
    <row r="121">
      <c r="H121" s="2"/>
    </row>
    <row r="122">
      <c r="H122" s="2"/>
    </row>
    <row r="123">
      <c r="H123" s="2"/>
    </row>
    <row r="124">
      <c r="H124" s="2"/>
    </row>
    <row r="125">
      <c r="H125" s="2"/>
    </row>
    <row r="126">
      <c r="H126" s="2"/>
    </row>
    <row r="127">
      <c r="H127" s="2"/>
    </row>
    <row r="128">
      <c r="H128" s="2"/>
    </row>
    <row r="129">
      <c r="H129" s="2"/>
    </row>
    <row r="130">
      <c r="H130" s="2"/>
    </row>
    <row r="131">
      <c r="H131" s="2"/>
    </row>
    <row r="132">
      <c r="H132" s="2"/>
    </row>
    <row r="133">
      <c r="H133" s="2"/>
    </row>
    <row r="134">
      <c r="H134" s="2"/>
    </row>
    <row r="135">
      <c r="H135" s="2"/>
    </row>
    <row r="136">
      <c r="H136" s="2"/>
    </row>
    <row r="137">
      <c r="H137" s="2"/>
    </row>
    <row r="138">
      <c r="H138" s="2"/>
    </row>
    <row r="139">
      <c r="H139" s="2"/>
    </row>
    <row r="140">
      <c r="H140" s="2"/>
    </row>
    <row r="141">
      <c r="H141" s="2"/>
    </row>
    <row r="142">
      <c r="H142" s="2"/>
    </row>
    <row r="143">
      <c r="H143" s="2"/>
    </row>
    <row r="144">
      <c r="H144" s="2"/>
    </row>
    <row r="145">
      <c r="H145" s="2"/>
    </row>
    <row r="146">
      <c r="H146" s="2"/>
    </row>
    <row r="147">
      <c r="H147" s="2"/>
    </row>
    <row r="148">
      <c r="H148" s="2"/>
    </row>
    <row r="149">
      <c r="H149" s="2"/>
    </row>
    <row r="150">
      <c r="H150" s="2"/>
    </row>
    <row r="151">
      <c r="H151" s="2"/>
    </row>
    <row r="152">
      <c r="H152" s="2"/>
    </row>
    <row r="153">
      <c r="H153" s="2"/>
    </row>
    <row r="154">
      <c r="H154" s="2"/>
    </row>
    <row r="155">
      <c r="H155" s="2"/>
    </row>
    <row r="156">
      <c r="H156" s="2"/>
    </row>
    <row r="157">
      <c r="H157" s="2"/>
    </row>
    <row r="158">
      <c r="H158" s="2"/>
    </row>
    <row r="159">
      <c r="H159" s="2"/>
    </row>
    <row r="160">
      <c r="H160" s="2"/>
    </row>
    <row r="161">
      <c r="H161" s="2"/>
    </row>
    <row r="162">
      <c r="H162" s="2"/>
    </row>
    <row r="163">
      <c r="H163" s="2"/>
    </row>
    <row r="164">
      <c r="H164" s="2"/>
    </row>
    <row r="165">
      <c r="H165" s="2"/>
    </row>
    <row r="166">
      <c r="H166" s="2"/>
    </row>
    <row r="167">
      <c r="H167" s="2"/>
    </row>
    <row r="168">
      <c r="H168" s="2"/>
    </row>
    <row r="169">
      <c r="H169" s="2"/>
    </row>
    <row r="170">
      <c r="H170" s="2"/>
    </row>
    <row r="171">
      <c r="H171" s="2"/>
    </row>
    <row r="172">
      <c r="H172" s="2"/>
    </row>
    <row r="173">
      <c r="H173" s="2"/>
    </row>
    <row r="174">
      <c r="H174" s="2"/>
    </row>
    <row r="175">
      <c r="H175" s="2"/>
    </row>
    <row r="176">
      <c r="H176" s="2"/>
    </row>
    <row r="177">
      <c r="H177" s="2"/>
    </row>
    <row r="178">
      <c r="H178" s="2"/>
    </row>
    <row r="179">
      <c r="H179" s="2"/>
    </row>
    <row r="180">
      <c r="H180" s="2"/>
    </row>
    <row r="181">
      <c r="H181" s="2"/>
    </row>
    <row r="182">
      <c r="H182" s="2"/>
    </row>
    <row r="183">
      <c r="H183" s="2"/>
    </row>
    <row r="184">
      <c r="H184" s="2"/>
    </row>
    <row r="185">
      <c r="H185" s="2"/>
    </row>
    <row r="186">
      <c r="H186" s="2"/>
    </row>
    <row r="187">
      <c r="H187" s="2"/>
    </row>
    <row r="188">
      <c r="H188" s="2"/>
    </row>
    <row r="189">
      <c r="H189" s="2"/>
    </row>
    <row r="190">
      <c r="H190" s="2"/>
    </row>
    <row r="191">
      <c r="H191" s="2"/>
    </row>
    <row r="192">
      <c r="H192" s="2"/>
    </row>
    <row r="193">
      <c r="H193" s="2"/>
    </row>
    <row r="194">
      <c r="H194" s="2"/>
    </row>
    <row r="195">
      <c r="H195" s="2"/>
    </row>
    <row r="196">
      <c r="H196" s="2"/>
    </row>
    <row r="197">
      <c r="H197" s="2"/>
    </row>
    <row r="198">
      <c r="H198" s="2"/>
    </row>
    <row r="199">
      <c r="H199" s="2"/>
    </row>
    <row r="200">
      <c r="H200" s="2"/>
    </row>
    <row r="201">
      <c r="H201" s="2"/>
    </row>
    <row r="202">
      <c r="H202" s="2"/>
    </row>
    <row r="203">
      <c r="H203" s="2"/>
    </row>
    <row r="204">
      <c r="H204" s="2"/>
    </row>
    <row r="205">
      <c r="H205" s="2"/>
    </row>
    <row r="206">
      <c r="H206" s="2"/>
    </row>
    <row r="207">
      <c r="H207" s="2"/>
    </row>
    <row r="208">
      <c r="H208" s="2"/>
    </row>
    <row r="209">
      <c r="H209" s="2"/>
    </row>
    <row r="210">
      <c r="H210" s="2"/>
    </row>
    <row r="211">
      <c r="H211" s="2"/>
    </row>
    <row r="212">
      <c r="H212" s="2"/>
    </row>
    <row r="213">
      <c r="H213" s="2"/>
    </row>
    <row r="214">
      <c r="H214" s="2"/>
    </row>
    <row r="215">
      <c r="H215" s="2"/>
    </row>
    <row r="216">
      <c r="H216" s="2"/>
    </row>
    <row r="217">
      <c r="H217" s="2"/>
    </row>
    <row r="218">
      <c r="H218" s="2"/>
    </row>
    <row r="219">
      <c r="H219" s="2"/>
    </row>
    <row r="220">
      <c r="H220" s="2"/>
    </row>
    <row r="221">
      <c r="H221" s="2"/>
    </row>
    <row r="222">
      <c r="H222" s="2"/>
    </row>
    <row r="223">
      <c r="H223" s="2"/>
    </row>
    <row r="224">
      <c r="H224" s="2"/>
    </row>
    <row r="225">
      <c r="H225" s="2"/>
    </row>
    <row r="226">
      <c r="H226" s="2"/>
    </row>
    <row r="227">
      <c r="H227" s="2"/>
    </row>
    <row r="228">
      <c r="H228" s="2"/>
    </row>
    <row r="229">
      <c r="H229" s="2"/>
    </row>
    <row r="230">
      <c r="H230" s="2"/>
    </row>
    <row r="231">
      <c r="H231" s="2"/>
    </row>
    <row r="232">
      <c r="H232" s="2"/>
    </row>
    <row r="233">
      <c r="H233" s="2"/>
    </row>
    <row r="234">
      <c r="H234" s="2"/>
    </row>
    <row r="235">
      <c r="H235" s="2"/>
    </row>
    <row r="236">
      <c r="H236" s="2"/>
    </row>
    <row r="237">
      <c r="H237" s="2"/>
    </row>
    <row r="238">
      <c r="H238" s="2"/>
    </row>
    <row r="239">
      <c r="H239" s="2"/>
    </row>
    <row r="240">
      <c r="H240" s="2"/>
    </row>
    <row r="241">
      <c r="H241" s="2"/>
    </row>
    <row r="242">
      <c r="H242" s="2"/>
    </row>
    <row r="243">
      <c r="H243" s="2"/>
    </row>
    <row r="244">
      <c r="H244" s="2"/>
    </row>
    <row r="245">
      <c r="H245" s="2"/>
    </row>
    <row r="246">
      <c r="H246" s="2"/>
    </row>
    <row r="247">
      <c r="H247" s="2"/>
    </row>
    <row r="248">
      <c r="H248" s="2"/>
    </row>
    <row r="249">
      <c r="H249" s="2"/>
    </row>
    <row r="250">
      <c r="H250" s="2"/>
    </row>
    <row r="251">
      <c r="H251" s="2"/>
    </row>
    <row r="252">
      <c r="H252" s="2"/>
    </row>
    <row r="253">
      <c r="H253" s="2"/>
    </row>
    <row r="254">
      <c r="H254" s="2"/>
    </row>
    <row r="255">
      <c r="H255" s="2"/>
    </row>
    <row r="256">
      <c r="H256" s="2"/>
    </row>
    <row r="257">
      <c r="H257" s="2"/>
    </row>
    <row r="258">
      <c r="H258" s="2"/>
    </row>
    <row r="259">
      <c r="H259" s="2"/>
    </row>
    <row r="260">
      <c r="H260" s="2"/>
    </row>
    <row r="261">
      <c r="H261" s="2"/>
    </row>
    <row r="262">
      <c r="H262" s="2"/>
    </row>
    <row r="263">
      <c r="H263" s="2"/>
    </row>
    <row r="264">
      <c r="H264" s="2"/>
    </row>
    <row r="265">
      <c r="H265" s="2"/>
    </row>
    <row r="266">
      <c r="H266" s="2"/>
    </row>
    <row r="267">
      <c r="H267" s="2"/>
    </row>
    <row r="268">
      <c r="H268" s="2"/>
    </row>
    <row r="269">
      <c r="H269" s="2"/>
    </row>
    <row r="270">
      <c r="H270" s="2"/>
    </row>
    <row r="271">
      <c r="H271" s="2"/>
    </row>
    <row r="272">
      <c r="H272" s="2"/>
    </row>
    <row r="273">
      <c r="H273" s="2"/>
    </row>
    <row r="274">
      <c r="H274" s="2"/>
    </row>
    <row r="275">
      <c r="H275" s="2"/>
    </row>
    <row r="276">
      <c r="H276" s="2"/>
    </row>
    <row r="277">
      <c r="H277" s="2"/>
    </row>
    <row r="278">
      <c r="H278" s="2"/>
    </row>
    <row r="279">
      <c r="H279" s="2"/>
    </row>
    <row r="280">
      <c r="H280" s="2"/>
    </row>
    <row r="281">
      <c r="H281" s="2"/>
    </row>
    <row r="282">
      <c r="H282" s="2"/>
    </row>
    <row r="283">
      <c r="H283" s="2"/>
    </row>
    <row r="284">
      <c r="H284" s="2"/>
    </row>
    <row r="285">
      <c r="H285" s="2"/>
    </row>
    <row r="286">
      <c r="H286" s="2"/>
    </row>
    <row r="287">
      <c r="H287" s="2"/>
    </row>
    <row r="288">
      <c r="H288" s="2"/>
    </row>
    <row r="289">
      <c r="H289" s="2"/>
    </row>
    <row r="290">
      <c r="H290" s="2"/>
    </row>
    <row r="291">
      <c r="H291" s="2"/>
    </row>
    <row r="292">
      <c r="H292" s="2"/>
    </row>
    <row r="293">
      <c r="H293" s="2"/>
    </row>
    <row r="294">
      <c r="H294" s="2"/>
    </row>
    <row r="295">
      <c r="H295" s="2"/>
    </row>
    <row r="296">
      <c r="H296" s="2"/>
    </row>
    <row r="297">
      <c r="H297" s="2"/>
    </row>
    <row r="298">
      <c r="H298" s="2"/>
    </row>
    <row r="299">
      <c r="H299" s="2"/>
    </row>
    <row r="300">
      <c r="H300" s="2"/>
    </row>
    <row r="301">
      <c r="H301" s="2"/>
    </row>
    <row r="302">
      <c r="H302" s="2"/>
    </row>
    <row r="303">
      <c r="H303" s="2"/>
    </row>
    <row r="304">
      <c r="H304" s="2"/>
    </row>
    <row r="305">
      <c r="H305" s="2"/>
    </row>
    <row r="306">
      <c r="H306" s="2"/>
    </row>
    <row r="307">
      <c r="H307" s="2"/>
    </row>
    <row r="308">
      <c r="H308" s="2"/>
    </row>
    <row r="309">
      <c r="H309" s="2"/>
    </row>
    <row r="310">
      <c r="H310" s="2"/>
    </row>
    <row r="311">
      <c r="H311" s="2"/>
    </row>
    <row r="312">
      <c r="H312" s="2"/>
    </row>
    <row r="313">
      <c r="H313" s="2"/>
    </row>
    <row r="314">
      <c r="H314" s="2"/>
    </row>
    <row r="315">
      <c r="H315" s="2"/>
    </row>
    <row r="316">
      <c r="H316" s="2"/>
    </row>
    <row r="317">
      <c r="H317" s="2"/>
    </row>
    <row r="318">
      <c r="H318" s="2"/>
    </row>
    <row r="319">
      <c r="H319" s="2"/>
    </row>
    <row r="320">
      <c r="H320" s="2"/>
    </row>
    <row r="321">
      <c r="H321" s="2"/>
    </row>
    <row r="322">
      <c r="H322" s="2"/>
    </row>
    <row r="323">
      <c r="H323" s="2"/>
    </row>
    <row r="324">
      <c r="H324" s="2"/>
    </row>
    <row r="325">
      <c r="H325" s="2"/>
    </row>
    <row r="326">
      <c r="H326" s="2"/>
    </row>
    <row r="327">
      <c r="H327" s="2"/>
    </row>
    <row r="328">
      <c r="H328" s="2"/>
    </row>
    <row r="329">
      <c r="H329" s="2"/>
    </row>
    <row r="330">
      <c r="H330" s="2"/>
    </row>
    <row r="331">
      <c r="H331" s="2"/>
    </row>
    <row r="332">
      <c r="H332" s="2"/>
    </row>
    <row r="333">
      <c r="H333" s="2"/>
    </row>
    <row r="334">
      <c r="H334" s="2"/>
    </row>
    <row r="335">
      <c r="H335" s="2"/>
    </row>
    <row r="336">
      <c r="H336" s="2"/>
    </row>
    <row r="337">
      <c r="H337" s="2"/>
    </row>
    <row r="338">
      <c r="H338" s="2"/>
    </row>
    <row r="339">
      <c r="H339" s="2"/>
    </row>
    <row r="340">
      <c r="H340" s="2"/>
    </row>
    <row r="341">
      <c r="H341" s="2"/>
    </row>
    <row r="342">
      <c r="H342" s="2"/>
    </row>
    <row r="343">
      <c r="H343" s="2"/>
    </row>
    <row r="344">
      <c r="H344" s="2"/>
    </row>
    <row r="345">
      <c r="H345" s="2"/>
    </row>
    <row r="346">
      <c r="H346" s="2"/>
    </row>
    <row r="347">
      <c r="H347" s="2"/>
    </row>
    <row r="348">
      <c r="H348" s="2"/>
    </row>
    <row r="349">
      <c r="H349" s="2"/>
    </row>
    <row r="350">
      <c r="H350" s="2"/>
    </row>
    <row r="351">
      <c r="H351" s="2"/>
    </row>
    <row r="352">
      <c r="H352" s="2"/>
    </row>
    <row r="353">
      <c r="H353" s="2"/>
    </row>
    <row r="354">
      <c r="H354" s="2"/>
    </row>
    <row r="355">
      <c r="H355" s="2"/>
    </row>
    <row r="356">
      <c r="H356" s="2"/>
    </row>
    <row r="357">
      <c r="H357" s="2"/>
    </row>
    <row r="358">
      <c r="H358" s="2"/>
    </row>
    <row r="359">
      <c r="H359" s="2"/>
    </row>
    <row r="360">
      <c r="H360" s="2"/>
    </row>
    <row r="361">
      <c r="H361" s="2"/>
    </row>
    <row r="362">
      <c r="H362" s="2"/>
    </row>
    <row r="363">
      <c r="H363" s="2"/>
    </row>
    <row r="364">
      <c r="H364" s="2"/>
    </row>
    <row r="365">
      <c r="H365" s="2"/>
    </row>
    <row r="366">
      <c r="H366" s="2"/>
    </row>
    <row r="367">
      <c r="H367" s="2"/>
    </row>
    <row r="368">
      <c r="H368" s="2"/>
    </row>
    <row r="369">
      <c r="H369" s="2"/>
    </row>
    <row r="370">
      <c r="H370" s="2"/>
    </row>
    <row r="371">
      <c r="H371" s="2"/>
    </row>
    <row r="372">
      <c r="H372" s="2"/>
    </row>
    <row r="373">
      <c r="H373" s="2"/>
    </row>
    <row r="374">
      <c r="H374" s="2"/>
    </row>
    <row r="375">
      <c r="H375" s="2"/>
    </row>
    <row r="376">
      <c r="H376" s="2"/>
    </row>
    <row r="377">
      <c r="H377" s="2"/>
    </row>
    <row r="378">
      <c r="H378" s="2"/>
    </row>
    <row r="379">
      <c r="H379" s="2"/>
    </row>
    <row r="380">
      <c r="H380" s="2"/>
    </row>
    <row r="381">
      <c r="H381" s="2"/>
    </row>
    <row r="382">
      <c r="H382" s="2"/>
    </row>
    <row r="383">
      <c r="H383" s="2"/>
    </row>
    <row r="384">
      <c r="H384" s="2"/>
    </row>
    <row r="385">
      <c r="H385" s="2"/>
    </row>
    <row r="386">
      <c r="H386" s="2"/>
    </row>
    <row r="387">
      <c r="H387" s="2"/>
    </row>
    <row r="388">
      <c r="H388" s="2"/>
    </row>
    <row r="389">
      <c r="H389" s="2"/>
    </row>
    <row r="390">
      <c r="H390" s="2"/>
    </row>
    <row r="391">
      <c r="H391" s="2"/>
    </row>
    <row r="392">
      <c r="H392" s="2"/>
    </row>
    <row r="393">
      <c r="H393" s="2"/>
    </row>
    <row r="394">
      <c r="H394" s="2"/>
    </row>
    <row r="395">
      <c r="H395" s="2"/>
    </row>
    <row r="396">
      <c r="H396" s="2"/>
    </row>
    <row r="397">
      <c r="H397" s="2"/>
    </row>
    <row r="398">
      <c r="H398" s="2"/>
    </row>
    <row r="399">
      <c r="H399" s="2"/>
    </row>
    <row r="400">
      <c r="H400" s="2"/>
    </row>
    <row r="401">
      <c r="H401" s="2"/>
    </row>
    <row r="402">
      <c r="H402" s="2"/>
    </row>
    <row r="403">
      <c r="H403" s="2"/>
    </row>
    <row r="404">
      <c r="H404" s="2"/>
    </row>
    <row r="405">
      <c r="H405" s="2"/>
    </row>
    <row r="406">
      <c r="H406" s="2"/>
    </row>
    <row r="407">
      <c r="H407" s="2"/>
    </row>
    <row r="408">
      <c r="H408" s="2"/>
    </row>
    <row r="409">
      <c r="H409" s="2"/>
    </row>
    <row r="410">
      <c r="H410" s="2"/>
    </row>
    <row r="411">
      <c r="H411" s="2"/>
    </row>
    <row r="412">
      <c r="H412" s="2"/>
    </row>
    <row r="413">
      <c r="H413" s="2"/>
    </row>
    <row r="414">
      <c r="H414" s="2"/>
    </row>
    <row r="415">
      <c r="H415" s="2"/>
    </row>
    <row r="416">
      <c r="H416" s="2"/>
    </row>
    <row r="417">
      <c r="H417" s="2"/>
    </row>
    <row r="418">
      <c r="H418" s="2"/>
    </row>
    <row r="419">
      <c r="H419" s="2"/>
    </row>
    <row r="420">
      <c r="H420" s="2"/>
    </row>
    <row r="421">
      <c r="H421" s="2"/>
    </row>
    <row r="422">
      <c r="H422" s="2"/>
    </row>
    <row r="423">
      <c r="H423" s="2"/>
    </row>
    <row r="424">
      <c r="H424" s="2"/>
    </row>
    <row r="425">
      <c r="H425" s="2"/>
    </row>
    <row r="426">
      <c r="H426" s="2"/>
    </row>
    <row r="427">
      <c r="H427" s="2"/>
    </row>
    <row r="428">
      <c r="H428" s="2"/>
    </row>
    <row r="429">
      <c r="H429" s="2"/>
    </row>
    <row r="430">
      <c r="H430" s="2"/>
    </row>
    <row r="431">
      <c r="H431" s="2"/>
    </row>
    <row r="432">
      <c r="H432" s="2"/>
    </row>
    <row r="433">
      <c r="H433" s="2"/>
    </row>
    <row r="434">
      <c r="H434" s="2"/>
    </row>
    <row r="435">
      <c r="H435" s="2"/>
    </row>
    <row r="436">
      <c r="H436" s="2"/>
    </row>
    <row r="437">
      <c r="H437" s="2"/>
    </row>
    <row r="438">
      <c r="H438" s="2"/>
    </row>
    <row r="439">
      <c r="H439" s="2"/>
    </row>
    <row r="440">
      <c r="H440" s="2"/>
    </row>
    <row r="441">
      <c r="H441" s="2"/>
    </row>
    <row r="442">
      <c r="H442" s="2"/>
    </row>
    <row r="443">
      <c r="H443" s="2"/>
    </row>
    <row r="444">
      <c r="H444" s="2"/>
    </row>
    <row r="445">
      <c r="H445" s="2"/>
    </row>
    <row r="446">
      <c r="H446" s="2"/>
    </row>
    <row r="447">
      <c r="H447" s="2"/>
    </row>
    <row r="448">
      <c r="H448" s="2"/>
    </row>
    <row r="449">
      <c r="H449" s="2"/>
    </row>
    <row r="450">
      <c r="H450" s="2"/>
    </row>
    <row r="451">
      <c r="H451" s="2"/>
    </row>
    <row r="452">
      <c r="H452" s="2"/>
    </row>
    <row r="453">
      <c r="H453" s="2"/>
    </row>
    <row r="454">
      <c r="H454" s="2"/>
    </row>
    <row r="455">
      <c r="H455" s="2"/>
    </row>
    <row r="456">
      <c r="H456" s="2"/>
    </row>
    <row r="457">
      <c r="H457" s="2"/>
    </row>
    <row r="458">
      <c r="H458" s="2"/>
    </row>
    <row r="459">
      <c r="H459" s="2"/>
    </row>
    <row r="460">
      <c r="H460" s="2"/>
    </row>
    <row r="461">
      <c r="H461" s="2"/>
    </row>
    <row r="462">
      <c r="H462" s="2"/>
    </row>
    <row r="463">
      <c r="H463" s="2"/>
    </row>
    <row r="464">
      <c r="H464" s="2"/>
    </row>
    <row r="465">
      <c r="H465" s="2"/>
    </row>
    <row r="466">
      <c r="H466" s="2"/>
    </row>
    <row r="467">
      <c r="H467" s="2"/>
    </row>
    <row r="468">
      <c r="H468" s="2"/>
    </row>
    <row r="469">
      <c r="H469" s="2"/>
    </row>
    <row r="470">
      <c r="H470" s="2"/>
    </row>
    <row r="471">
      <c r="H471" s="2"/>
    </row>
    <row r="472">
      <c r="H472" s="2"/>
    </row>
    <row r="473">
      <c r="H473" s="2"/>
    </row>
    <row r="474">
      <c r="H474" s="2"/>
    </row>
    <row r="475">
      <c r="H475" s="2"/>
    </row>
    <row r="476">
      <c r="H476" s="2"/>
    </row>
    <row r="477">
      <c r="H477" s="2"/>
    </row>
    <row r="478">
      <c r="H478" s="2"/>
    </row>
    <row r="479">
      <c r="H479" s="2"/>
    </row>
    <row r="480">
      <c r="H480" s="2"/>
    </row>
    <row r="481">
      <c r="H481" s="2"/>
    </row>
    <row r="482">
      <c r="H482" s="2"/>
    </row>
    <row r="483">
      <c r="H483" s="2"/>
    </row>
    <row r="484">
      <c r="H484" s="2"/>
    </row>
    <row r="485">
      <c r="H485" s="2"/>
    </row>
    <row r="486">
      <c r="H486" s="2"/>
    </row>
    <row r="487">
      <c r="H487" s="2"/>
    </row>
    <row r="488">
      <c r="H488" s="2"/>
    </row>
    <row r="489">
      <c r="H489" s="2"/>
    </row>
    <row r="490">
      <c r="H490" s="2"/>
    </row>
    <row r="491">
      <c r="H491" s="2"/>
    </row>
    <row r="492">
      <c r="H492" s="2"/>
    </row>
    <row r="493">
      <c r="H493" s="2"/>
    </row>
    <row r="494">
      <c r="H494" s="2"/>
    </row>
    <row r="495">
      <c r="H495" s="2"/>
    </row>
    <row r="496">
      <c r="H496" s="2"/>
    </row>
    <row r="497">
      <c r="H497" s="2"/>
    </row>
    <row r="498">
      <c r="H498" s="2"/>
    </row>
    <row r="499">
      <c r="H499" s="2"/>
    </row>
    <row r="500">
      <c r="H500" s="2"/>
    </row>
    <row r="501">
      <c r="H501" s="2"/>
    </row>
    <row r="502">
      <c r="H502" s="2"/>
    </row>
    <row r="503">
      <c r="H503" s="2"/>
    </row>
    <row r="504">
      <c r="H504" s="2"/>
    </row>
    <row r="505">
      <c r="H505" s="2"/>
    </row>
    <row r="506">
      <c r="H506" s="2"/>
    </row>
    <row r="507">
      <c r="H507" s="2"/>
    </row>
    <row r="508">
      <c r="H508" s="2"/>
    </row>
    <row r="509">
      <c r="H509" s="2"/>
    </row>
    <row r="510">
      <c r="H510" s="2"/>
    </row>
    <row r="511">
      <c r="H511" s="2"/>
    </row>
    <row r="512">
      <c r="H512" s="2"/>
    </row>
    <row r="513">
      <c r="H513" s="2"/>
    </row>
    <row r="514">
      <c r="H514" s="2"/>
    </row>
    <row r="515">
      <c r="H515" s="2"/>
    </row>
    <row r="516">
      <c r="H516" s="2"/>
    </row>
    <row r="517">
      <c r="H517" s="2"/>
    </row>
    <row r="518">
      <c r="H518" s="2"/>
    </row>
    <row r="519">
      <c r="H519" s="2"/>
    </row>
    <row r="520">
      <c r="H520" s="2"/>
    </row>
    <row r="521">
      <c r="H521" s="2"/>
    </row>
    <row r="522">
      <c r="H522" s="2"/>
    </row>
    <row r="523">
      <c r="H523" s="2"/>
    </row>
    <row r="524">
      <c r="H524" s="2"/>
    </row>
    <row r="525">
      <c r="H525" s="2"/>
    </row>
    <row r="526">
      <c r="H526" s="2"/>
    </row>
    <row r="527">
      <c r="H527" s="2"/>
    </row>
    <row r="528">
      <c r="H528" s="2"/>
    </row>
    <row r="529">
      <c r="H529" s="2"/>
    </row>
    <row r="530">
      <c r="H530" s="2"/>
    </row>
    <row r="531">
      <c r="H531" s="2"/>
    </row>
    <row r="532">
      <c r="H532" s="2"/>
    </row>
    <row r="533">
      <c r="H533" s="2"/>
    </row>
    <row r="534">
      <c r="H534" s="2"/>
    </row>
    <row r="535">
      <c r="H535" s="2"/>
    </row>
    <row r="536">
      <c r="H536" s="2"/>
    </row>
    <row r="537">
      <c r="H537" s="2"/>
    </row>
    <row r="538">
      <c r="H538" s="2"/>
    </row>
    <row r="539">
      <c r="H539" s="2"/>
    </row>
    <row r="540">
      <c r="H540" s="2"/>
    </row>
    <row r="541">
      <c r="H541" s="2"/>
    </row>
    <row r="542">
      <c r="H542" s="2"/>
    </row>
    <row r="543">
      <c r="H543" s="2"/>
    </row>
    <row r="544">
      <c r="H544" s="2"/>
    </row>
    <row r="545">
      <c r="H545" s="2"/>
    </row>
    <row r="546">
      <c r="H546" s="2"/>
    </row>
    <row r="547">
      <c r="H547" s="2"/>
    </row>
    <row r="548">
      <c r="H548" s="2"/>
    </row>
    <row r="549">
      <c r="H549" s="2"/>
    </row>
    <row r="550">
      <c r="H550" s="2"/>
    </row>
    <row r="551">
      <c r="H551" s="2"/>
    </row>
    <row r="552">
      <c r="H552" s="2"/>
    </row>
    <row r="553">
      <c r="H553" s="2"/>
    </row>
    <row r="554">
      <c r="H554" s="2"/>
    </row>
    <row r="555">
      <c r="H555" s="2"/>
    </row>
    <row r="556">
      <c r="H556" s="2"/>
    </row>
    <row r="557">
      <c r="H557" s="2"/>
    </row>
    <row r="558">
      <c r="H558" s="2"/>
    </row>
    <row r="559">
      <c r="H559" s="2"/>
    </row>
    <row r="560">
      <c r="H560" s="2"/>
    </row>
    <row r="561">
      <c r="H561" s="2"/>
    </row>
    <row r="562">
      <c r="H562" s="2"/>
    </row>
    <row r="563">
      <c r="H563" s="2"/>
    </row>
    <row r="564">
      <c r="H564" s="2"/>
    </row>
    <row r="565">
      <c r="H565" s="2"/>
    </row>
    <row r="566">
      <c r="H566" s="2"/>
    </row>
    <row r="567">
      <c r="H567" s="2"/>
    </row>
    <row r="568">
      <c r="H568" s="2"/>
    </row>
    <row r="569">
      <c r="H569" s="2"/>
    </row>
    <row r="570">
      <c r="H570" s="2"/>
    </row>
    <row r="571">
      <c r="H571" s="2"/>
    </row>
    <row r="572">
      <c r="H572" s="2"/>
    </row>
    <row r="573">
      <c r="H573" s="2"/>
    </row>
    <row r="574">
      <c r="H574" s="2"/>
    </row>
    <row r="575">
      <c r="H575" s="2"/>
    </row>
    <row r="576">
      <c r="H576" s="2"/>
    </row>
    <row r="577">
      <c r="H577" s="2"/>
    </row>
    <row r="578">
      <c r="H578" s="2"/>
    </row>
    <row r="579">
      <c r="H579" s="2"/>
    </row>
    <row r="580">
      <c r="H580" s="2"/>
    </row>
    <row r="581">
      <c r="H581" s="2"/>
    </row>
    <row r="582">
      <c r="H582" s="2"/>
    </row>
    <row r="583">
      <c r="H583" s="2"/>
    </row>
    <row r="584">
      <c r="H584" s="2"/>
    </row>
    <row r="585">
      <c r="H585" s="2"/>
    </row>
    <row r="586">
      <c r="H586" s="2"/>
    </row>
    <row r="587">
      <c r="H587" s="2"/>
    </row>
    <row r="588">
      <c r="H588" s="2"/>
    </row>
    <row r="589">
      <c r="H589" s="2"/>
    </row>
    <row r="590">
      <c r="H590" s="2"/>
    </row>
    <row r="591">
      <c r="H591" s="2"/>
    </row>
    <row r="592">
      <c r="H592" s="2"/>
    </row>
    <row r="593">
      <c r="H593" s="2"/>
    </row>
    <row r="594">
      <c r="H594" s="2"/>
    </row>
    <row r="595">
      <c r="H595" s="2"/>
    </row>
    <row r="596">
      <c r="H596" s="2"/>
    </row>
    <row r="597">
      <c r="H597" s="2"/>
    </row>
    <row r="598">
      <c r="H598" s="2"/>
    </row>
    <row r="599">
      <c r="H599" s="2"/>
    </row>
    <row r="600">
      <c r="H600" s="2"/>
    </row>
    <row r="601">
      <c r="H601" s="2"/>
    </row>
    <row r="602">
      <c r="H602" s="2"/>
    </row>
    <row r="603">
      <c r="H603" s="2"/>
    </row>
    <row r="604">
      <c r="H604" s="2"/>
    </row>
    <row r="605">
      <c r="H605" s="2"/>
    </row>
    <row r="606">
      <c r="H606" s="2"/>
    </row>
    <row r="607">
      <c r="H607" s="2"/>
    </row>
    <row r="608">
      <c r="H608" s="2"/>
    </row>
    <row r="609">
      <c r="H609" s="2"/>
    </row>
    <row r="610">
      <c r="H610" s="2"/>
    </row>
    <row r="611">
      <c r="H611" s="2"/>
    </row>
    <row r="612">
      <c r="H612" s="2"/>
    </row>
    <row r="613">
      <c r="H613" s="2"/>
    </row>
    <row r="614">
      <c r="H614" s="2"/>
    </row>
    <row r="615">
      <c r="H615" s="2"/>
    </row>
    <row r="616">
      <c r="H616" s="2"/>
    </row>
    <row r="617">
      <c r="H617" s="2"/>
    </row>
    <row r="618">
      <c r="H618" s="2"/>
    </row>
    <row r="619">
      <c r="H619" s="2"/>
    </row>
    <row r="620">
      <c r="H620" s="2"/>
    </row>
    <row r="621">
      <c r="H621" s="2"/>
    </row>
    <row r="622">
      <c r="H622" s="2"/>
    </row>
    <row r="623">
      <c r="H623" s="2"/>
    </row>
    <row r="624">
      <c r="H624" s="2"/>
    </row>
    <row r="625">
      <c r="H625" s="2"/>
    </row>
    <row r="626">
      <c r="H626" s="2"/>
    </row>
    <row r="627">
      <c r="H627" s="2"/>
    </row>
    <row r="628">
      <c r="H628" s="2"/>
    </row>
    <row r="629">
      <c r="H629" s="2"/>
    </row>
    <row r="630">
      <c r="H630" s="2"/>
    </row>
    <row r="631">
      <c r="H631" s="2"/>
    </row>
    <row r="632">
      <c r="H632" s="2"/>
    </row>
    <row r="633">
      <c r="H633" s="2"/>
    </row>
    <row r="634">
      <c r="H634" s="2"/>
    </row>
    <row r="635">
      <c r="H635" s="2"/>
    </row>
    <row r="636">
      <c r="H636" s="2"/>
    </row>
    <row r="637">
      <c r="H637" s="2"/>
    </row>
    <row r="638">
      <c r="H638" s="2"/>
    </row>
    <row r="639">
      <c r="H639" s="2"/>
    </row>
    <row r="640">
      <c r="H640" s="2"/>
    </row>
    <row r="641">
      <c r="H641" s="2"/>
    </row>
    <row r="642">
      <c r="H642" s="2"/>
    </row>
    <row r="643">
      <c r="H643" s="2"/>
    </row>
    <row r="644">
      <c r="H644" s="2"/>
    </row>
    <row r="645">
      <c r="H645" s="2"/>
    </row>
    <row r="646">
      <c r="H646" s="2"/>
    </row>
    <row r="647">
      <c r="H647" s="2"/>
    </row>
    <row r="648">
      <c r="H648" s="2"/>
    </row>
    <row r="649">
      <c r="H649" s="2"/>
    </row>
    <row r="650">
      <c r="H650" s="2"/>
    </row>
    <row r="651">
      <c r="H651" s="2"/>
    </row>
    <row r="652">
      <c r="H652" s="2"/>
    </row>
    <row r="653">
      <c r="H653" s="2"/>
    </row>
    <row r="654">
      <c r="H654" s="2"/>
    </row>
    <row r="655">
      <c r="H655" s="2"/>
    </row>
    <row r="656">
      <c r="H656" s="2"/>
    </row>
    <row r="657">
      <c r="H657" s="2"/>
    </row>
    <row r="658">
      <c r="H658" s="2"/>
    </row>
    <row r="659">
      <c r="H659" s="2"/>
    </row>
    <row r="660">
      <c r="H660" s="2"/>
    </row>
    <row r="661">
      <c r="H661" s="2"/>
    </row>
    <row r="662">
      <c r="H662" s="2"/>
    </row>
    <row r="663">
      <c r="H663" s="2"/>
    </row>
    <row r="664">
      <c r="H664" s="2"/>
    </row>
    <row r="665">
      <c r="H665" s="2"/>
    </row>
    <row r="666">
      <c r="H666" s="2"/>
    </row>
    <row r="667">
      <c r="H667" s="2"/>
    </row>
    <row r="668">
      <c r="H668" s="2"/>
    </row>
    <row r="669">
      <c r="H669" s="2"/>
    </row>
    <row r="670">
      <c r="H670" s="2"/>
    </row>
    <row r="671">
      <c r="H671" s="2"/>
    </row>
    <row r="672">
      <c r="H672" s="2"/>
    </row>
    <row r="673">
      <c r="H673" s="2"/>
    </row>
    <row r="674">
      <c r="H674" s="2"/>
    </row>
    <row r="675">
      <c r="H675" s="2"/>
    </row>
    <row r="676">
      <c r="H676" s="2"/>
    </row>
    <row r="677">
      <c r="H677" s="2"/>
    </row>
    <row r="678">
      <c r="H678" s="2"/>
    </row>
    <row r="679">
      <c r="H679" s="2"/>
    </row>
    <row r="680">
      <c r="H680" s="2"/>
    </row>
    <row r="681">
      <c r="H681" s="2"/>
    </row>
    <row r="682">
      <c r="H682" s="2"/>
    </row>
    <row r="683">
      <c r="H683" s="2"/>
    </row>
    <row r="684">
      <c r="H684" s="2"/>
    </row>
    <row r="685">
      <c r="H685" s="2"/>
    </row>
    <row r="686">
      <c r="H686" s="2"/>
    </row>
    <row r="687">
      <c r="H687" s="2"/>
    </row>
    <row r="688">
      <c r="H688" s="2"/>
    </row>
    <row r="689">
      <c r="H689" s="2"/>
    </row>
    <row r="690">
      <c r="H690" s="2"/>
    </row>
    <row r="691">
      <c r="H691" s="2"/>
    </row>
    <row r="692">
      <c r="H692" s="2"/>
    </row>
    <row r="693">
      <c r="H693" s="2"/>
    </row>
    <row r="694">
      <c r="H694" s="2"/>
    </row>
    <row r="695">
      <c r="H695" s="2"/>
    </row>
    <row r="696">
      <c r="H696" s="2"/>
    </row>
    <row r="697">
      <c r="H697" s="2"/>
    </row>
    <row r="698">
      <c r="H698" s="2"/>
    </row>
    <row r="699">
      <c r="H699" s="2"/>
    </row>
    <row r="700">
      <c r="H700" s="2"/>
    </row>
    <row r="701">
      <c r="H701" s="2"/>
    </row>
    <row r="702">
      <c r="H702" s="2"/>
    </row>
    <row r="703">
      <c r="H703" s="2"/>
    </row>
    <row r="704">
      <c r="H704" s="2"/>
    </row>
    <row r="705">
      <c r="H705" s="2"/>
    </row>
    <row r="706">
      <c r="H706" s="2"/>
    </row>
    <row r="707">
      <c r="H707" s="2"/>
    </row>
    <row r="708">
      <c r="H708" s="2"/>
    </row>
    <row r="709">
      <c r="H709" s="2"/>
    </row>
    <row r="710">
      <c r="H710" s="2"/>
    </row>
    <row r="711">
      <c r="H711" s="2"/>
    </row>
    <row r="712">
      <c r="H712" s="2"/>
    </row>
    <row r="713">
      <c r="H713" s="2"/>
    </row>
    <row r="714">
      <c r="H714" s="2"/>
    </row>
    <row r="715">
      <c r="H715" s="2"/>
    </row>
    <row r="716">
      <c r="H716" s="2"/>
    </row>
    <row r="717">
      <c r="H717" s="2"/>
    </row>
    <row r="718">
      <c r="H718" s="2"/>
    </row>
    <row r="719">
      <c r="H719" s="2"/>
    </row>
    <row r="720">
      <c r="H720" s="2"/>
    </row>
    <row r="721">
      <c r="H721" s="2"/>
    </row>
    <row r="722">
      <c r="H722" s="2"/>
    </row>
    <row r="723">
      <c r="H723" s="2"/>
    </row>
    <row r="724">
      <c r="H724" s="2"/>
    </row>
    <row r="725">
      <c r="H725" s="2"/>
    </row>
    <row r="726">
      <c r="H726" s="2"/>
    </row>
    <row r="727">
      <c r="H727" s="2"/>
    </row>
    <row r="728">
      <c r="H728" s="2"/>
    </row>
    <row r="729">
      <c r="H729" s="2"/>
    </row>
    <row r="730">
      <c r="H730" s="2"/>
    </row>
    <row r="731">
      <c r="H731" s="2"/>
    </row>
    <row r="732">
      <c r="H732" s="2"/>
    </row>
    <row r="733">
      <c r="H733" s="2"/>
    </row>
    <row r="734">
      <c r="H734" s="2"/>
    </row>
    <row r="735">
      <c r="H735" s="2"/>
    </row>
    <row r="736">
      <c r="H736" s="2"/>
    </row>
    <row r="737">
      <c r="H737" s="2"/>
    </row>
    <row r="738">
      <c r="H738" s="2"/>
    </row>
    <row r="739">
      <c r="H739" s="2"/>
    </row>
    <row r="740">
      <c r="H740" s="2"/>
    </row>
    <row r="741">
      <c r="H741" s="2"/>
    </row>
    <row r="742">
      <c r="H742" s="2"/>
    </row>
    <row r="743">
      <c r="H743" s="2"/>
    </row>
    <row r="744">
      <c r="H744" s="2"/>
    </row>
    <row r="745">
      <c r="H745" s="2"/>
    </row>
    <row r="746">
      <c r="H746" s="2"/>
    </row>
    <row r="747">
      <c r="H747" s="2"/>
    </row>
    <row r="748">
      <c r="H748" s="2"/>
    </row>
    <row r="749">
      <c r="H749" s="2"/>
    </row>
    <row r="750">
      <c r="H750" s="2"/>
    </row>
    <row r="751">
      <c r="H751" s="2"/>
    </row>
    <row r="752">
      <c r="H752" s="2"/>
    </row>
    <row r="753">
      <c r="H753" s="2"/>
    </row>
    <row r="754">
      <c r="H754" s="2"/>
    </row>
    <row r="755">
      <c r="H755" s="2"/>
    </row>
    <row r="756">
      <c r="H756" s="2"/>
    </row>
    <row r="757">
      <c r="H757" s="2"/>
    </row>
    <row r="758">
      <c r="H758" s="2"/>
    </row>
    <row r="759">
      <c r="H759" s="2"/>
    </row>
    <row r="760">
      <c r="H760" s="2"/>
    </row>
    <row r="761">
      <c r="H761" s="2"/>
    </row>
    <row r="762">
      <c r="H762" s="2"/>
    </row>
    <row r="763">
      <c r="H763" s="2"/>
    </row>
    <row r="764">
      <c r="H764" s="2"/>
    </row>
    <row r="765">
      <c r="H765" s="2"/>
    </row>
    <row r="766">
      <c r="H766" s="2"/>
    </row>
    <row r="767">
      <c r="H767" s="2"/>
    </row>
    <row r="768">
      <c r="H768" s="2"/>
    </row>
    <row r="769">
      <c r="H769" s="2"/>
    </row>
    <row r="770">
      <c r="H770" s="2"/>
    </row>
    <row r="771">
      <c r="H771" s="2"/>
    </row>
    <row r="772">
      <c r="H772" s="2"/>
    </row>
    <row r="773">
      <c r="H773" s="2"/>
    </row>
    <row r="774">
      <c r="H774" s="2"/>
    </row>
    <row r="775">
      <c r="H775" s="2"/>
    </row>
    <row r="776">
      <c r="H776" s="2"/>
    </row>
    <row r="777">
      <c r="H777" s="2"/>
    </row>
    <row r="778">
      <c r="H778" s="2"/>
    </row>
    <row r="779">
      <c r="H779" s="2"/>
    </row>
    <row r="780">
      <c r="H780" s="2"/>
    </row>
    <row r="781">
      <c r="H781" s="2"/>
    </row>
    <row r="782">
      <c r="H782" s="2"/>
    </row>
    <row r="783">
      <c r="H783" s="2"/>
    </row>
    <row r="784">
      <c r="H784" s="2"/>
    </row>
    <row r="785">
      <c r="H785" s="2"/>
    </row>
    <row r="786">
      <c r="H786" s="2"/>
    </row>
    <row r="787">
      <c r="H787" s="2"/>
    </row>
    <row r="788">
      <c r="H788" s="2"/>
    </row>
    <row r="789">
      <c r="H789" s="2"/>
    </row>
    <row r="790">
      <c r="H790" s="2"/>
    </row>
    <row r="791">
      <c r="H791" s="2"/>
    </row>
    <row r="792">
      <c r="H792" s="2"/>
    </row>
    <row r="793">
      <c r="H793" s="2"/>
    </row>
    <row r="794">
      <c r="H794" s="2"/>
    </row>
    <row r="795">
      <c r="H795" s="2"/>
    </row>
    <row r="796">
      <c r="H796" s="2"/>
    </row>
    <row r="797">
      <c r="H797" s="2"/>
    </row>
    <row r="798">
      <c r="H798" s="2"/>
    </row>
    <row r="799">
      <c r="H799" s="2"/>
    </row>
    <row r="800">
      <c r="H800" s="2"/>
    </row>
    <row r="801">
      <c r="H801" s="2"/>
    </row>
    <row r="802">
      <c r="H802" s="2"/>
    </row>
    <row r="803">
      <c r="H803" s="2"/>
    </row>
    <row r="804">
      <c r="H804" s="2"/>
    </row>
    <row r="805">
      <c r="H805" s="2"/>
    </row>
    <row r="806">
      <c r="H806" s="2"/>
    </row>
    <row r="807">
      <c r="H807" s="2"/>
    </row>
    <row r="808">
      <c r="H808" s="2"/>
    </row>
    <row r="809">
      <c r="H809" s="2"/>
    </row>
    <row r="810">
      <c r="H810" s="2"/>
    </row>
    <row r="811">
      <c r="H811" s="2"/>
    </row>
    <row r="812">
      <c r="H812" s="2"/>
    </row>
    <row r="813">
      <c r="H813" s="2"/>
    </row>
    <row r="814">
      <c r="H814" s="2"/>
    </row>
    <row r="815">
      <c r="H815" s="2"/>
    </row>
    <row r="816">
      <c r="H816" s="2"/>
    </row>
    <row r="817">
      <c r="H817" s="2"/>
    </row>
    <row r="818">
      <c r="H818" s="2"/>
    </row>
    <row r="819">
      <c r="H819" s="2"/>
    </row>
    <row r="820">
      <c r="H820" s="2"/>
    </row>
    <row r="821">
      <c r="H821" s="2"/>
    </row>
    <row r="822">
      <c r="H822" s="2"/>
    </row>
    <row r="823">
      <c r="H823" s="2"/>
    </row>
    <row r="824">
      <c r="H824" s="2"/>
    </row>
    <row r="825">
      <c r="H825" s="2"/>
    </row>
    <row r="826">
      <c r="H826" s="2"/>
    </row>
    <row r="827">
      <c r="H827" s="2"/>
    </row>
    <row r="828">
      <c r="H828" s="2"/>
    </row>
    <row r="829">
      <c r="H829" s="2"/>
    </row>
    <row r="830">
      <c r="H830" s="2"/>
    </row>
    <row r="831">
      <c r="H831" s="2"/>
    </row>
    <row r="832">
      <c r="H832" s="2"/>
    </row>
    <row r="833">
      <c r="H833" s="2"/>
    </row>
    <row r="834">
      <c r="H834" s="2"/>
    </row>
    <row r="835">
      <c r="H835" s="2"/>
    </row>
    <row r="836">
      <c r="H836" s="2"/>
    </row>
    <row r="837">
      <c r="H837" s="2"/>
    </row>
    <row r="838">
      <c r="H838" s="2"/>
    </row>
    <row r="839">
      <c r="H839" s="2"/>
    </row>
    <row r="840">
      <c r="H840" s="2"/>
    </row>
    <row r="841">
      <c r="H841" s="2"/>
    </row>
    <row r="842">
      <c r="H842" s="2"/>
    </row>
    <row r="843">
      <c r="H843" s="2"/>
    </row>
    <row r="844">
      <c r="H844" s="2"/>
    </row>
    <row r="845">
      <c r="H845" s="2"/>
    </row>
    <row r="846">
      <c r="H846" s="2"/>
    </row>
    <row r="847">
      <c r="H847" s="2"/>
    </row>
    <row r="848">
      <c r="H848" s="2"/>
    </row>
    <row r="849">
      <c r="H849" s="2"/>
    </row>
    <row r="850">
      <c r="H850" s="2"/>
    </row>
    <row r="851">
      <c r="H851" s="2"/>
    </row>
    <row r="852">
      <c r="H852" s="2"/>
    </row>
    <row r="853">
      <c r="H853" s="2"/>
    </row>
    <row r="854">
      <c r="H854" s="2"/>
    </row>
    <row r="855">
      <c r="H855" s="2"/>
    </row>
    <row r="856">
      <c r="H856" s="2"/>
    </row>
    <row r="857">
      <c r="H857" s="2"/>
    </row>
    <row r="858">
      <c r="H858" s="2"/>
    </row>
    <row r="859">
      <c r="H859" s="2"/>
    </row>
    <row r="860">
      <c r="H860" s="2"/>
    </row>
    <row r="861">
      <c r="H861" s="2"/>
    </row>
    <row r="862">
      <c r="H862" s="2"/>
    </row>
    <row r="863">
      <c r="H863" s="2"/>
    </row>
    <row r="864">
      <c r="H864" s="2"/>
    </row>
    <row r="865">
      <c r="H865" s="2"/>
    </row>
    <row r="866">
      <c r="H866" s="2"/>
    </row>
    <row r="867">
      <c r="H867" s="2"/>
    </row>
    <row r="868">
      <c r="H868" s="2"/>
    </row>
    <row r="869">
      <c r="H869" s="2"/>
    </row>
    <row r="870">
      <c r="H870" s="2"/>
    </row>
    <row r="871">
      <c r="H871" s="2"/>
    </row>
    <row r="872">
      <c r="H872" s="2"/>
    </row>
    <row r="873">
      <c r="H873" s="2"/>
    </row>
    <row r="874">
      <c r="H874" s="2"/>
    </row>
    <row r="875">
      <c r="H875" s="2"/>
    </row>
    <row r="876">
      <c r="H876" s="2"/>
    </row>
    <row r="877">
      <c r="H877" s="2"/>
    </row>
    <row r="878">
      <c r="H878" s="2"/>
    </row>
    <row r="879">
      <c r="H879" s="2"/>
    </row>
    <row r="880">
      <c r="H880" s="2"/>
    </row>
    <row r="881">
      <c r="H881" s="2"/>
    </row>
    <row r="882">
      <c r="H882" s="2"/>
    </row>
    <row r="883">
      <c r="H883" s="2"/>
    </row>
    <row r="884">
      <c r="H884" s="2"/>
    </row>
    <row r="885">
      <c r="H885" s="2"/>
    </row>
    <row r="886">
      <c r="H886" s="2"/>
    </row>
    <row r="887">
      <c r="H887" s="2"/>
    </row>
    <row r="888">
      <c r="H888" s="2"/>
    </row>
    <row r="889">
      <c r="H889" s="2"/>
    </row>
    <row r="890">
      <c r="H890" s="2"/>
    </row>
    <row r="891">
      <c r="H891" s="2"/>
    </row>
    <row r="892">
      <c r="H892" s="2"/>
    </row>
    <row r="893">
      <c r="H893" s="2"/>
    </row>
    <row r="894">
      <c r="H894" s="2"/>
    </row>
    <row r="895">
      <c r="H895" s="2"/>
    </row>
    <row r="896">
      <c r="H896" s="2"/>
    </row>
    <row r="897">
      <c r="H897" s="2"/>
    </row>
    <row r="898">
      <c r="H898" s="2"/>
    </row>
    <row r="899">
      <c r="H899" s="2"/>
    </row>
    <row r="900">
      <c r="H900" s="2"/>
    </row>
    <row r="901">
      <c r="H901" s="2"/>
    </row>
    <row r="902">
      <c r="H902" s="2"/>
    </row>
    <row r="903">
      <c r="H903" s="2"/>
    </row>
    <row r="904">
      <c r="H904" s="2"/>
    </row>
    <row r="905">
      <c r="H905" s="2"/>
    </row>
    <row r="906">
      <c r="H906" s="2"/>
    </row>
    <row r="907">
      <c r="H907" s="2"/>
    </row>
    <row r="908">
      <c r="H908" s="2"/>
    </row>
    <row r="909">
      <c r="H909" s="2"/>
    </row>
    <row r="910">
      <c r="H910" s="2"/>
    </row>
    <row r="911">
      <c r="H911" s="2"/>
    </row>
    <row r="912">
      <c r="H912" s="2"/>
    </row>
    <row r="913">
      <c r="H913" s="2"/>
    </row>
    <row r="914">
      <c r="H914" s="2"/>
    </row>
    <row r="915">
      <c r="H915" s="2"/>
    </row>
    <row r="916">
      <c r="H916" s="2"/>
    </row>
    <row r="917">
      <c r="H917" s="2"/>
    </row>
    <row r="918">
      <c r="H918" s="2"/>
    </row>
    <row r="919">
      <c r="H919" s="2"/>
    </row>
    <row r="920">
      <c r="H920" s="2"/>
    </row>
    <row r="921">
      <c r="H921" s="2"/>
    </row>
    <row r="922">
      <c r="H922" s="2"/>
    </row>
    <row r="923">
      <c r="H923" s="2"/>
    </row>
    <row r="924">
      <c r="H924" s="2"/>
    </row>
    <row r="925">
      <c r="H925" s="2"/>
    </row>
    <row r="926">
      <c r="H926" s="2"/>
    </row>
    <row r="927">
      <c r="H927" s="2"/>
    </row>
    <row r="928">
      <c r="H928" s="2"/>
    </row>
    <row r="929">
      <c r="H929" s="2"/>
    </row>
    <row r="930">
      <c r="H930" s="2"/>
    </row>
    <row r="931">
      <c r="H931" s="2"/>
    </row>
    <row r="932">
      <c r="H932" s="2"/>
    </row>
    <row r="933">
      <c r="H933" s="2"/>
    </row>
    <row r="934">
      <c r="H934" s="2"/>
    </row>
    <row r="935">
      <c r="H935" s="2"/>
    </row>
    <row r="936">
      <c r="H936" s="2"/>
    </row>
    <row r="937">
      <c r="H937" s="2"/>
    </row>
    <row r="938">
      <c r="H938" s="2"/>
    </row>
    <row r="939">
      <c r="H939" s="2"/>
    </row>
    <row r="940">
      <c r="H940" s="2"/>
    </row>
    <row r="941">
      <c r="H941" s="2"/>
    </row>
    <row r="942">
      <c r="H942" s="2"/>
    </row>
    <row r="943">
      <c r="H943" s="2"/>
    </row>
    <row r="944">
      <c r="H944" s="2"/>
    </row>
    <row r="945">
      <c r="H945" s="2"/>
    </row>
    <row r="946">
      <c r="H946" s="2"/>
    </row>
    <row r="947">
      <c r="H947" s="2"/>
    </row>
    <row r="948">
      <c r="H948" s="2"/>
    </row>
    <row r="949">
      <c r="H949" s="2"/>
    </row>
    <row r="950">
      <c r="H950" s="2"/>
    </row>
    <row r="951">
      <c r="H951" s="2"/>
    </row>
    <row r="952">
      <c r="H952" s="2"/>
    </row>
    <row r="953">
      <c r="H953" s="2"/>
    </row>
    <row r="954">
      <c r="H954" s="2"/>
    </row>
    <row r="955">
      <c r="H955" s="2"/>
    </row>
    <row r="956">
      <c r="H956" s="2"/>
    </row>
    <row r="957">
      <c r="H957" s="2"/>
    </row>
    <row r="958">
      <c r="H958" s="2"/>
    </row>
    <row r="959">
      <c r="H959" s="2"/>
    </row>
    <row r="960">
      <c r="H960" s="2"/>
    </row>
    <row r="961">
      <c r="H961" s="2"/>
    </row>
    <row r="962">
      <c r="H962" s="2"/>
    </row>
    <row r="963">
      <c r="H963" s="2"/>
    </row>
    <row r="964">
      <c r="H964" s="2"/>
    </row>
    <row r="965">
      <c r="H965" s="2"/>
    </row>
    <row r="966">
      <c r="H966" s="2"/>
    </row>
    <row r="967">
      <c r="H967" s="2"/>
    </row>
    <row r="968">
      <c r="H968" s="2"/>
    </row>
    <row r="969">
      <c r="H969" s="2"/>
    </row>
    <row r="970">
      <c r="H970" s="2"/>
    </row>
    <row r="971">
      <c r="H971" s="2"/>
    </row>
    <row r="972">
      <c r="H972" s="2"/>
    </row>
    <row r="973">
      <c r="H973" s="2"/>
    </row>
    <row r="974">
      <c r="H974" s="2"/>
    </row>
    <row r="975">
      <c r="H975" s="2"/>
    </row>
    <row r="976">
      <c r="H976" s="2"/>
    </row>
    <row r="977">
      <c r="H977" s="2"/>
    </row>
    <row r="978">
      <c r="H978" s="2"/>
    </row>
    <row r="979">
      <c r="H979" s="2"/>
    </row>
    <row r="980">
      <c r="H980" s="2"/>
    </row>
    <row r="981">
      <c r="H981" s="2"/>
    </row>
    <row r="982">
      <c r="H982" s="2"/>
    </row>
    <row r="983">
      <c r="H983" s="2"/>
    </row>
    <row r="984">
      <c r="H984" s="2"/>
    </row>
    <row r="985">
      <c r="H985" s="2"/>
    </row>
    <row r="986">
      <c r="H986" s="2"/>
    </row>
    <row r="987">
      <c r="H987" s="2"/>
    </row>
    <row r="988">
      <c r="H988" s="2"/>
    </row>
    <row r="989">
      <c r="H989" s="2"/>
    </row>
    <row r="990">
      <c r="H990" s="2"/>
    </row>
    <row r="991">
      <c r="H991" s="2"/>
    </row>
    <row r="992">
      <c r="H992" s="2"/>
    </row>
    <row r="993">
      <c r="H993" s="2"/>
    </row>
    <row r="994">
      <c r="H994" s="2"/>
    </row>
    <row r="995">
      <c r="H995" s="2"/>
    </row>
    <row r="996">
      <c r="H996" s="2"/>
    </row>
    <row r="997">
      <c r="H997" s="2"/>
    </row>
    <row r="998">
      <c r="H998" s="2"/>
    </row>
    <row r="999">
      <c r="H999" s="2"/>
    </row>
    <row r="1000">
      <c r="H1000" s="2"/>
    </row>
    <row r="1001">
      <c r="H1001" s="2"/>
    </row>
    <row r="1002">
      <c r="H1002" s="2"/>
    </row>
    <row r="1003">
      <c r="H1003" s="2"/>
    </row>
    <row r="1004">
      <c r="H1004" s="2"/>
    </row>
    <row r="1005">
      <c r="H1005" s="2"/>
    </row>
    <row r="1006">
      <c r="H1006" s="2"/>
    </row>
  </sheetData>
  <mergeCells count="56">
    <mergeCell ref="B38:C38"/>
    <mergeCell ref="B39:C39"/>
    <mergeCell ref="B40:C40"/>
    <mergeCell ref="B41:C41"/>
    <mergeCell ref="D45:E45"/>
    <mergeCell ref="C29:D29"/>
    <mergeCell ref="C30:D30"/>
    <mergeCell ref="C31:D31"/>
    <mergeCell ref="B34:D34"/>
    <mergeCell ref="B35:C35"/>
    <mergeCell ref="B36:C36"/>
    <mergeCell ref="B37:C37"/>
    <mergeCell ref="B1:B6"/>
    <mergeCell ref="C2:H2"/>
    <mergeCell ref="C3:H3"/>
    <mergeCell ref="C4:H4"/>
    <mergeCell ref="C9:D9"/>
    <mergeCell ref="C11:D11"/>
    <mergeCell ref="E11:G11"/>
    <mergeCell ref="C12:D12"/>
    <mergeCell ref="E12:G12"/>
    <mergeCell ref="C13:D13"/>
    <mergeCell ref="E13:G13"/>
    <mergeCell ref="C14:D14"/>
    <mergeCell ref="E14:G14"/>
    <mergeCell ref="E15:G15"/>
    <mergeCell ref="C15:D15"/>
    <mergeCell ref="C16:D16"/>
    <mergeCell ref="C17:D17"/>
    <mergeCell ref="C18:D18"/>
    <mergeCell ref="C19:D19"/>
    <mergeCell ref="C20:D20"/>
    <mergeCell ref="C21:D21"/>
    <mergeCell ref="E16:G16"/>
    <mergeCell ref="E17:G17"/>
    <mergeCell ref="E18:G18"/>
    <mergeCell ref="E19:G19"/>
    <mergeCell ref="E20:G20"/>
    <mergeCell ref="E21:G21"/>
    <mergeCell ref="E22:G22"/>
    <mergeCell ref="C22:D22"/>
    <mergeCell ref="C23:D23"/>
    <mergeCell ref="C24:D24"/>
    <mergeCell ref="C25:D25"/>
    <mergeCell ref="C26:D26"/>
    <mergeCell ref="C27:D27"/>
    <mergeCell ref="C28:D28"/>
    <mergeCell ref="E30:G30"/>
    <mergeCell ref="E31:G31"/>
    <mergeCell ref="E23:G23"/>
    <mergeCell ref="E24:G24"/>
    <mergeCell ref="E25:G25"/>
    <mergeCell ref="E26:G26"/>
    <mergeCell ref="E27:G27"/>
    <mergeCell ref="E28:G28"/>
    <mergeCell ref="E29:G29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3.5"/>
    <col customWidth="1" min="3" max="3" width="18.0"/>
    <col customWidth="1" min="4" max="4" width="14.75"/>
    <col customWidth="1" min="5" max="5" width="18.0"/>
    <col customWidth="1" min="6" max="6" width="13.63"/>
    <col customWidth="1" min="8" max="8" width="20.25"/>
    <col customWidth="1" min="10" max="10" width="16.75"/>
  </cols>
  <sheetData>
    <row r="1">
      <c r="H1" s="2"/>
    </row>
    <row r="2" ht="24.75" customHeight="1">
      <c r="C2" s="231" t="s">
        <v>1870</v>
      </c>
    </row>
    <row r="3">
      <c r="C3" s="232" t="s">
        <v>1871</v>
      </c>
    </row>
    <row r="4">
      <c r="C4" s="232" t="s">
        <v>1872</v>
      </c>
    </row>
    <row r="5">
      <c r="H5" s="2"/>
    </row>
    <row r="6">
      <c r="H6" s="2"/>
    </row>
    <row r="7">
      <c r="A7" s="233"/>
      <c r="B7" s="233" t="s">
        <v>1873</v>
      </c>
      <c r="C7" s="234" t="s">
        <v>1874</v>
      </c>
      <c r="D7" s="235" t="s">
        <v>1875</v>
      </c>
      <c r="E7" s="234" t="s">
        <v>1876</v>
      </c>
      <c r="F7" s="77"/>
      <c r="G7" s="2"/>
      <c r="H7" s="2"/>
    </row>
    <row r="8" ht="21.75" customHeight="1">
      <c r="A8" s="235"/>
      <c r="B8" s="235" t="s">
        <v>1877</v>
      </c>
      <c r="C8" s="236" t="s">
        <v>1899</v>
      </c>
      <c r="D8" s="235" t="s">
        <v>1879</v>
      </c>
      <c r="E8" s="237">
        <v>45901.0</v>
      </c>
      <c r="F8" s="235" t="s">
        <v>1880</v>
      </c>
      <c r="G8" s="237">
        <v>45930.0</v>
      </c>
      <c r="H8" s="2"/>
    </row>
    <row r="9">
      <c r="A9" s="77"/>
      <c r="B9" s="235" t="s">
        <v>1881</v>
      </c>
      <c r="C9" s="234" t="s">
        <v>1882</v>
      </c>
      <c r="F9" s="77"/>
      <c r="G9" s="2"/>
      <c r="H9" s="2"/>
    </row>
    <row r="10">
      <c r="H10" s="2"/>
    </row>
    <row r="11" ht="30.75" customHeight="1">
      <c r="A11" s="238" t="s">
        <v>1233</v>
      </c>
      <c r="B11" s="238" t="s">
        <v>1234</v>
      </c>
      <c r="C11" s="239" t="s">
        <v>1883</v>
      </c>
      <c r="D11" s="7"/>
      <c r="E11" s="239" t="s">
        <v>1884</v>
      </c>
      <c r="F11" s="6"/>
      <c r="G11" s="7"/>
      <c r="H11" s="238" t="s">
        <v>1885</v>
      </c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>
      <c r="A12" s="240">
        <v>1.0</v>
      </c>
      <c r="B12" s="253">
        <v>45901.0</v>
      </c>
      <c r="C12" s="242" t="s">
        <v>1296</v>
      </c>
      <c r="D12" s="7"/>
      <c r="E12" s="242" t="s">
        <v>1378</v>
      </c>
      <c r="F12" s="6"/>
      <c r="G12" s="7"/>
      <c r="H12" s="100"/>
    </row>
    <row r="13">
      <c r="A13" s="240">
        <v>2.0</v>
      </c>
      <c r="B13" s="253">
        <v>45901.0</v>
      </c>
      <c r="C13" s="242" t="s">
        <v>202</v>
      </c>
      <c r="D13" s="7"/>
      <c r="E13" s="242" t="s">
        <v>1243</v>
      </c>
      <c r="F13" s="6"/>
      <c r="G13" s="7"/>
      <c r="H13" s="100"/>
    </row>
    <row r="14">
      <c r="A14" s="240">
        <v>3.0</v>
      </c>
      <c r="B14" s="253">
        <v>45902.0</v>
      </c>
      <c r="C14" s="242" t="s">
        <v>207</v>
      </c>
      <c r="D14" s="7"/>
      <c r="E14" s="242" t="s">
        <v>1256</v>
      </c>
      <c r="F14" s="6"/>
      <c r="G14" s="7"/>
      <c r="H14" s="100"/>
    </row>
    <row r="15">
      <c r="A15" s="240">
        <v>4.0</v>
      </c>
      <c r="B15" s="254">
        <v>45903.0</v>
      </c>
      <c r="C15" s="242" t="s">
        <v>1307</v>
      </c>
      <c r="D15" s="7"/>
      <c r="E15" s="242" t="s">
        <v>1243</v>
      </c>
      <c r="F15" s="6"/>
      <c r="G15" s="7"/>
      <c r="H15" s="100"/>
    </row>
    <row r="16">
      <c r="A16" s="243">
        <v>5.0</v>
      </c>
      <c r="B16" s="254">
        <v>45903.0</v>
      </c>
      <c r="C16" s="245" t="s">
        <v>1310</v>
      </c>
      <c r="D16" s="7"/>
      <c r="E16" s="245" t="s">
        <v>1243</v>
      </c>
      <c r="F16" s="6"/>
      <c r="G16" s="7"/>
      <c r="H16" s="100"/>
    </row>
    <row r="17">
      <c r="A17" s="243">
        <v>6.0</v>
      </c>
      <c r="B17" s="254">
        <v>45903.0</v>
      </c>
      <c r="C17" s="245" t="s">
        <v>1311</v>
      </c>
      <c r="D17" s="7"/>
      <c r="E17" s="242" t="s">
        <v>1381</v>
      </c>
      <c r="F17" s="6"/>
      <c r="G17" s="7"/>
      <c r="H17" s="100"/>
    </row>
    <row r="18">
      <c r="A18" s="243">
        <v>7.0</v>
      </c>
      <c r="B18" s="253">
        <v>45904.0</v>
      </c>
      <c r="C18" s="245" t="s">
        <v>214</v>
      </c>
      <c r="D18" s="7"/>
      <c r="E18" s="245" t="s">
        <v>1256</v>
      </c>
      <c r="F18" s="6"/>
      <c r="G18" s="7"/>
      <c r="H18" s="100"/>
    </row>
    <row r="19">
      <c r="A19" s="243">
        <v>8.0</v>
      </c>
      <c r="B19" s="253">
        <v>45905.0</v>
      </c>
      <c r="C19" s="245" t="s">
        <v>1302</v>
      </c>
      <c r="D19" s="7"/>
      <c r="E19" s="245" t="s">
        <v>1243</v>
      </c>
      <c r="F19" s="6"/>
      <c r="G19" s="7"/>
      <c r="H19" s="99"/>
    </row>
    <row r="20">
      <c r="A20" s="243">
        <v>9.0</v>
      </c>
      <c r="B20" s="253">
        <v>45905.0</v>
      </c>
      <c r="C20" s="245" t="s">
        <v>1313</v>
      </c>
      <c r="D20" s="7"/>
      <c r="E20" s="245" t="s">
        <v>1243</v>
      </c>
      <c r="F20" s="6"/>
      <c r="G20" s="7"/>
      <c r="H20" s="100"/>
    </row>
    <row r="21">
      <c r="A21" s="243">
        <v>10.0</v>
      </c>
      <c r="B21" s="253">
        <v>45905.0</v>
      </c>
      <c r="C21" s="245" t="s">
        <v>1314</v>
      </c>
      <c r="D21" s="7"/>
      <c r="E21" s="245" t="s">
        <v>1256</v>
      </c>
      <c r="F21" s="6"/>
      <c r="G21" s="7"/>
      <c r="H21" s="100"/>
    </row>
    <row r="22">
      <c r="A22" s="243">
        <v>11.0</v>
      </c>
      <c r="B22" s="253">
        <v>45906.0</v>
      </c>
      <c r="C22" s="245" t="s">
        <v>1315</v>
      </c>
      <c r="D22" s="7"/>
      <c r="E22" s="245" t="s">
        <v>1243</v>
      </c>
      <c r="F22" s="6"/>
      <c r="G22" s="7"/>
      <c r="H22" s="100"/>
    </row>
    <row r="23">
      <c r="A23" s="243">
        <v>12.0</v>
      </c>
      <c r="B23" s="255">
        <v>45908.0</v>
      </c>
      <c r="C23" s="245" t="s">
        <v>190</v>
      </c>
      <c r="D23" s="7"/>
      <c r="E23" s="245" t="s">
        <v>1294</v>
      </c>
      <c r="F23" s="6"/>
      <c r="G23" s="7"/>
      <c r="H23" s="100"/>
    </row>
    <row r="24">
      <c r="A24" s="243">
        <v>13.0</v>
      </c>
      <c r="B24" s="253">
        <v>45909.0</v>
      </c>
      <c r="C24" s="245" t="s">
        <v>236</v>
      </c>
      <c r="D24" s="7"/>
      <c r="E24" s="245" t="s">
        <v>1253</v>
      </c>
      <c r="F24" s="6"/>
      <c r="G24" s="7"/>
      <c r="H24" s="100"/>
    </row>
    <row r="25">
      <c r="A25" s="243">
        <v>14.0</v>
      </c>
      <c r="B25" s="253">
        <v>45910.0</v>
      </c>
      <c r="C25" s="245" t="s">
        <v>1316</v>
      </c>
      <c r="D25" s="7"/>
      <c r="E25" s="245" t="s">
        <v>1243</v>
      </c>
      <c r="F25" s="6"/>
      <c r="G25" s="7"/>
      <c r="H25" s="100"/>
    </row>
    <row r="26">
      <c r="A26" s="243">
        <v>15.0</v>
      </c>
      <c r="B26" s="253">
        <v>45913.0</v>
      </c>
      <c r="C26" s="245" t="s">
        <v>246</v>
      </c>
      <c r="D26" s="7"/>
      <c r="E26" s="245" t="s">
        <v>1317</v>
      </c>
      <c r="F26" s="6"/>
      <c r="G26" s="7"/>
      <c r="H26" s="99"/>
    </row>
    <row r="27">
      <c r="A27" s="243">
        <v>16.0</v>
      </c>
      <c r="B27" s="253">
        <v>45913.0</v>
      </c>
      <c r="C27" s="245" t="s">
        <v>255</v>
      </c>
      <c r="D27" s="7"/>
      <c r="E27" s="242" t="s">
        <v>1389</v>
      </c>
      <c r="F27" s="6"/>
      <c r="G27" s="7"/>
      <c r="H27" s="100"/>
    </row>
    <row r="28">
      <c r="A28" s="243">
        <v>17.0</v>
      </c>
      <c r="B28" s="253">
        <v>45914.0</v>
      </c>
      <c r="C28" s="245" t="s">
        <v>1472</v>
      </c>
      <c r="D28" s="7"/>
      <c r="E28" s="245" t="s">
        <v>1392</v>
      </c>
      <c r="F28" s="6"/>
      <c r="G28" s="7"/>
      <c r="H28" s="100"/>
    </row>
    <row r="29">
      <c r="A29" s="243">
        <v>18.0</v>
      </c>
      <c r="B29" s="253">
        <v>45914.0</v>
      </c>
      <c r="C29" s="245" t="s">
        <v>1488</v>
      </c>
      <c r="D29" s="7"/>
      <c r="E29" s="245" t="s">
        <v>1256</v>
      </c>
      <c r="F29" s="6"/>
      <c r="G29" s="7"/>
      <c r="H29" s="100"/>
    </row>
    <row r="30">
      <c r="A30" s="243">
        <v>19.0</v>
      </c>
      <c r="B30" s="253">
        <v>45914.0</v>
      </c>
      <c r="C30" s="245" t="s">
        <v>1489</v>
      </c>
      <c r="D30" s="7"/>
      <c r="E30" s="245" t="s">
        <v>1256</v>
      </c>
      <c r="F30" s="6"/>
      <c r="G30" s="7"/>
      <c r="H30" s="100"/>
    </row>
    <row r="31">
      <c r="A31" s="243">
        <v>20.0</v>
      </c>
      <c r="B31" s="253">
        <v>45916.0</v>
      </c>
      <c r="C31" s="245" t="s">
        <v>1900</v>
      </c>
      <c r="D31" s="7"/>
      <c r="E31" s="246" t="s">
        <v>1256</v>
      </c>
      <c r="F31" s="6"/>
      <c r="G31" s="7"/>
      <c r="H31" s="100"/>
    </row>
    <row r="32">
      <c r="A32" s="243">
        <v>21.0</v>
      </c>
      <c r="B32" s="253">
        <v>45916.0</v>
      </c>
      <c r="C32" s="256" t="s">
        <v>262</v>
      </c>
      <c r="D32" s="7"/>
      <c r="E32" s="256" t="s">
        <v>1243</v>
      </c>
      <c r="F32" s="6"/>
      <c r="G32" s="7"/>
      <c r="H32" s="100"/>
    </row>
    <row r="33">
      <c r="A33" s="243">
        <v>22.0</v>
      </c>
      <c r="B33" s="253">
        <v>45918.0</v>
      </c>
      <c r="C33" s="256" t="s">
        <v>1397</v>
      </c>
      <c r="D33" s="7"/>
      <c r="E33" s="256" t="s">
        <v>1253</v>
      </c>
      <c r="F33" s="6"/>
      <c r="G33" s="7"/>
      <c r="H33" s="100"/>
    </row>
    <row r="34">
      <c r="A34" s="243">
        <v>23.0</v>
      </c>
      <c r="B34" s="253">
        <v>45918.0</v>
      </c>
      <c r="C34" s="256" t="s">
        <v>1901</v>
      </c>
      <c r="D34" s="7"/>
      <c r="E34" s="256" t="s">
        <v>1256</v>
      </c>
      <c r="F34" s="6"/>
      <c r="G34" s="7"/>
      <c r="H34" s="100"/>
    </row>
    <row r="35">
      <c r="A35" s="243">
        <v>24.0</v>
      </c>
      <c r="B35" s="253">
        <v>45920.0</v>
      </c>
      <c r="C35" s="256" t="s">
        <v>266</v>
      </c>
      <c r="D35" s="7"/>
      <c r="E35" s="256" t="s">
        <v>1400</v>
      </c>
      <c r="F35" s="6"/>
      <c r="G35" s="7"/>
      <c r="H35" s="100"/>
    </row>
    <row r="36">
      <c r="A36" s="243">
        <v>25.0</v>
      </c>
      <c r="B36" s="253">
        <v>45921.0</v>
      </c>
      <c r="C36" s="256" t="s">
        <v>1314</v>
      </c>
      <c r="D36" s="7"/>
      <c r="E36" s="256" t="s">
        <v>1253</v>
      </c>
      <c r="F36" s="6"/>
      <c r="G36" s="7"/>
      <c r="H36" s="100"/>
    </row>
    <row r="37">
      <c r="A37" s="243">
        <v>26.0</v>
      </c>
      <c r="B37" s="253">
        <v>45922.0</v>
      </c>
      <c r="C37" s="256" t="s">
        <v>271</v>
      </c>
      <c r="D37" s="7"/>
      <c r="E37" s="256" t="s">
        <v>1402</v>
      </c>
      <c r="F37" s="6"/>
      <c r="G37" s="7"/>
      <c r="H37" s="100"/>
    </row>
    <row r="38">
      <c r="A38" s="243">
        <v>27.0</v>
      </c>
      <c r="B38" s="253">
        <v>45923.0</v>
      </c>
      <c r="C38" s="256" t="s">
        <v>1902</v>
      </c>
      <c r="D38" s="7"/>
      <c r="E38" s="256" t="s">
        <v>1243</v>
      </c>
      <c r="F38" s="6"/>
      <c r="G38" s="7"/>
      <c r="H38" s="100"/>
    </row>
    <row r="39">
      <c r="A39" s="243">
        <v>28.0</v>
      </c>
      <c r="B39" s="253">
        <v>45925.0</v>
      </c>
      <c r="C39" s="256" t="s">
        <v>277</v>
      </c>
      <c r="D39" s="7"/>
      <c r="E39" s="256" t="s">
        <v>1243</v>
      </c>
      <c r="F39" s="6"/>
      <c r="G39" s="7"/>
      <c r="H39" s="100"/>
    </row>
    <row r="40">
      <c r="A40" s="243">
        <v>29.0</v>
      </c>
      <c r="B40" s="253">
        <v>45925.0</v>
      </c>
      <c r="C40" s="256" t="s">
        <v>281</v>
      </c>
      <c r="D40" s="7"/>
      <c r="E40" s="256" t="s">
        <v>1256</v>
      </c>
      <c r="F40" s="6"/>
      <c r="G40" s="7"/>
      <c r="H40" s="100"/>
    </row>
    <row r="41">
      <c r="A41" s="257">
        <v>30.0</v>
      </c>
      <c r="B41" s="253">
        <v>45927.0</v>
      </c>
      <c r="C41" s="256" t="s">
        <v>1404</v>
      </c>
      <c r="D41" s="7"/>
      <c r="E41" s="256" t="s">
        <v>1357</v>
      </c>
      <c r="F41" s="6"/>
      <c r="G41" s="7"/>
      <c r="H41" s="100"/>
    </row>
    <row r="42">
      <c r="A42" s="243">
        <v>31.0</v>
      </c>
      <c r="B42" s="253">
        <v>45929.0</v>
      </c>
      <c r="C42" s="256" t="s">
        <v>1408</v>
      </c>
      <c r="D42" s="7"/>
      <c r="E42" s="256" t="s">
        <v>1253</v>
      </c>
      <c r="F42" s="6"/>
      <c r="G42" s="7"/>
      <c r="H42" s="100"/>
    </row>
    <row r="43">
      <c r="A43" s="243">
        <v>32.0</v>
      </c>
      <c r="B43" s="253">
        <v>45930.0</v>
      </c>
      <c r="C43" s="256" t="s">
        <v>1296</v>
      </c>
      <c r="D43" s="7"/>
      <c r="E43" s="256" t="s">
        <v>1410</v>
      </c>
      <c r="F43" s="6"/>
      <c r="G43" s="7"/>
      <c r="H43" s="100"/>
    </row>
    <row r="44">
      <c r="A44" s="243">
        <v>33.0</v>
      </c>
      <c r="B44" s="253">
        <v>45930.0</v>
      </c>
      <c r="C44" s="256" t="s">
        <v>1903</v>
      </c>
      <c r="D44" s="7"/>
      <c r="E44" s="256" t="s">
        <v>1243</v>
      </c>
      <c r="F44" s="6"/>
      <c r="G44" s="7"/>
      <c r="H44" s="100"/>
    </row>
    <row r="45">
      <c r="A45" s="234"/>
      <c r="B45" s="2"/>
      <c r="C45" s="2"/>
      <c r="D45" s="2"/>
      <c r="E45" s="2"/>
      <c r="F45" s="2"/>
      <c r="G45" s="2"/>
      <c r="H45" s="2"/>
    </row>
    <row r="46">
      <c r="B46" s="258"/>
      <c r="C46" s="95"/>
      <c r="D46" s="116"/>
      <c r="E46" s="259" t="s">
        <v>1886</v>
      </c>
      <c r="H46" s="260" t="s">
        <v>1904</v>
      </c>
      <c r="I46" s="261" t="s">
        <v>1905</v>
      </c>
    </row>
    <row r="47">
      <c r="B47" s="249" t="s">
        <v>1906</v>
      </c>
      <c r="C47" s="7"/>
      <c r="D47" s="262">
        <v>2.0</v>
      </c>
      <c r="E47" s="263">
        <v>120.0</v>
      </c>
      <c r="G47" s="264">
        <v>699.0</v>
      </c>
      <c r="H47" s="265">
        <f t="shared" ref="H47:H54" si="1">G47*D47</f>
        <v>1398</v>
      </c>
      <c r="I47" s="17">
        <v>1398.0</v>
      </c>
    </row>
    <row r="48">
      <c r="B48" s="249" t="s">
        <v>1887</v>
      </c>
      <c r="C48" s="7"/>
      <c r="D48" s="243">
        <v>26.0</v>
      </c>
      <c r="E48" s="99">
        <v>2600.0</v>
      </c>
      <c r="G48" s="264">
        <v>799.0</v>
      </c>
      <c r="H48" s="265">
        <f t="shared" si="1"/>
        <v>20774</v>
      </c>
      <c r="I48" s="17">
        <v>20774.0</v>
      </c>
    </row>
    <row r="49">
      <c r="B49" s="249" t="s">
        <v>1888</v>
      </c>
      <c r="C49" s="7"/>
      <c r="D49" s="240">
        <v>3.0</v>
      </c>
      <c r="E49" s="99">
        <v>360.0</v>
      </c>
      <c r="G49" s="264">
        <v>949.0</v>
      </c>
      <c r="H49" s="265">
        <f t="shared" si="1"/>
        <v>2847</v>
      </c>
      <c r="I49" s="17">
        <v>2847.0</v>
      </c>
    </row>
    <row r="50">
      <c r="B50" s="249" t="s">
        <v>1889</v>
      </c>
      <c r="C50" s="7"/>
      <c r="D50" s="240">
        <v>2.0</v>
      </c>
      <c r="E50" s="99">
        <v>300.0</v>
      </c>
      <c r="G50" s="264">
        <v>1149.0</v>
      </c>
      <c r="H50" s="265">
        <f t="shared" si="1"/>
        <v>2298</v>
      </c>
      <c r="I50" s="17">
        <v>2298.0</v>
      </c>
    </row>
    <row r="51">
      <c r="B51" s="249" t="s">
        <v>1890</v>
      </c>
      <c r="C51" s="7"/>
      <c r="D51" s="243">
        <v>16.0</v>
      </c>
      <c r="E51" s="99">
        <v>2720.0</v>
      </c>
      <c r="G51" s="264">
        <v>749.0</v>
      </c>
      <c r="H51" s="265">
        <f t="shared" si="1"/>
        <v>11984</v>
      </c>
      <c r="I51" s="17">
        <v>11984.0</v>
      </c>
    </row>
    <row r="52">
      <c r="B52" s="249" t="s">
        <v>1891</v>
      </c>
      <c r="C52" s="7"/>
      <c r="D52" s="243">
        <v>7.0</v>
      </c>
      <c r="E52" s="99">
        <v>700.0</v>
      </c>
      <c r="G52" s="264">
        <v>490.0</v>
      </c>
      <c r="H52" s="265">
        <f t="shared" si="1"/>
        <v>3430</v>
      </c>
      <c r="I52" s="17">
        <v>3430.0</v>
      </c>
    </row>
    <row r="53">
      <c r="B53" s="249" t="s">
        <v>1892</v>
      </c>
      <c r="C53" s="7"/>
      <c r="D53" s="243">
        <v>2.0</v>
      </c>
      <c r="E53" s="99">
        <v>200.0</v>
      </c>
      <c r="G53" s="264">
        <v>690.0</v>
      </c>
      <c r="H53" s="265">
        <f t="shared" si="1"/>
        <v>1380</v>
      </c>
      <c r="I53" s="17">
        <v>1380.0</v>
      </c>
    </row>
    <row r="54">
      <c r="B54" s="249" t="s">
        <v>1893</v>
      </c>
      <c r="C54" s="7"/>
      <c r="D54" s="243">
        <v>0.0</v>
      </c>
      <c r="E54" s="99">
        <v>0.0</v>
      </c>
      <c r="G54" s="264">
        <v>890.0</v>
      </c>
      <c r="H54" s="265">
        <f t="shared" si="1"/>
        <v>0</v>
      </c>
      <c r="I54" s="17">
        <v>0.0</v>
      </c>
    </row>
    <row r="55">
      <c r="G55" s="266" t="s">
        <v>1907</v>
      </c>
      <c r="H55" s="267">
        <f>SUM(H47:H54)</f>
        <v>44111</v>
      </c>
      <c r="I55" s="268">
        <v>44111.0</v>
      </c>
    </row>
    <row r="56">
      <c r="B56" s="250" t="s">
        <v>1894</v>
      </c>
      <c r="C56" s="251">
        <f>SUM(E48:E54)</f>
        <v>6880</v>
      </c>
      <c r="G56" s="269" t="s">
        <v>1908</v>
      </c>
      <c r="H56" s="270">
        <v>6880.0</v>
      </c>
      <c r="I56" s="271">
        <v>2135.65</v>
      </c>
    </row>
    <row r="57">
      <c r="B57" s="250" t="s">
        <v>1895</v>
      </c>
      <c r="C57" s="251">
        <f>SUM(H12:H31)</f>
        <v>0</v>
      </c>
      <c r="D57" s="42" t="s">
        <v>0</v>
      </c>
      <c r="G57" s="272" t="s">
        <v>1909</v>
      </c>
      <c r="H57" s="270">
        <v>25000.0</v>
      </c>
      <c r="I57" s="271">
        <v>25000.0</v>
      </c>
    </row>
    <row r="58">
      <c r="B58" s="250" t="s">
        <v>1910</v>
      </c>
      <c r="C58" s="110">
        <v>12500.0</v>
      </c>
      <c r="D58" s="228"/>
      <c r="G58" s="273" t="s">
        <v>1911</v>
      </c>
      <c r="H58" s="274">
        <v>12231.0</v>
      </c>
      <c r="I58" s="275">
        <v>16975.35</v>
      </c>
    </row>
    <row r="59">
      <c r="B59" s="250" t="s">
        <v>1912</v>
      </c>
      <c r="C59" s="252">
        <f>SUM(C56:C58)</f>
        <v>19380</v>
      </c>
      <c r="H59" s="130" t="s">
        <v>1913</v>
      </c>
    </row>
    <row r="60">
      <c r="H60" s="2"/>
    </row>
    <row r="61">
      <c r="H61" s="2"/>
    </row>
    <row r="62">
      <c r="H62" s="2"/>
    </row>
    <row r="63">
      <c r="H63" s="2"/>
    </row>
    <row r="64">
      <c r="H64" s="2"/>
    </row>
    <row r="65">
      <c r="H65" s="2"/>
    </row>
    <row r="66">
      <c r="H66" s="2"/>
    </row>
    <row r="67">
      <c r="H67" s="2"/>
    </row>
    <row r="68">
      <c r="H68" s="2"/>
    </row>
    <row r="69">
      <c r="H69" s="2"/>
    </row>
    <row r="70">
      <c r="H70" s="2"/>
    </row>
    <row r="71">
      <c r="H71" s="2"/>
    </row>
    <row r="72">
      <c r="H72" s="2"/>
    </row>
    <row r="73">
      <c r="H73" s="2"/>
    </row>
    <row r="74">
      <c r="H74" s="2"/>
    </row>
    <row r="75">
      <c r="H75" s="2"/>
    </row>
    <row r="76">
      <c r="H76" s="2"/>
    </row>
    <row r="77">
      <c r="H77" s="2"/>
    </row>
    <row r="78">
      <c r="H78" s="2"/>
    </row>
    <row r="79">
      <c r="H79" s="2"/>
    </row>
    <row r="80">
      <c r="H80" s="2"/>
    </row>
    <row r="81">
      <c r="H81" s="2"/>
    </row>
    <row r="82">
      <c r="H82" s="2"/>
    </row>
    <row r="83">
      <c r="H83" s="2"/>
    </row>
    <row r="84">
      <c r="H84" s="2"/>
    </row>
    <row r="85">
      <c r="H85" s="2"/>
    </row>
    <row r="86">
      <c r="H86" s="2"/>
    </row>
    <row r="87">
      <c r="H87" s="2"/>
    </row>
    <row r="88">
      <c r="H88" s="2"/>
    </row>
    <row r="89">
      <c r="H89" s="2"/>
    </row>
    <row r="90">
      <c r="H90" s="2"/>
    </row>
    <row r="91">
      <c r="H91" s="2"/>
    </row>
    <row r="92">
      <c r="H92" s="2"/>
    </row>
    <row r="93">
      <c r="H93" s="2"/>
    </row>
    <row r="94">
      <c r="H94" s="2"/>
    </row>
    <row r="95">
      <c r="H95" s="2"/>
    </row>
    <row r="96">
      <c r="H96" s="2"/>
    </row>
    <row r="97">
      <c r="H97" s="2"/>
    </row>
    <row r="98">
      <c r="H98" s="2"/>
    </row>
    <row r="99">
      <c r="H99" s="2"/>
    </row>
    <row r="100">
      <c r="H100" s="2"/>
    </row>
    <row r="101">
      <c r="H101" s="2"/>
    </row>
    <row r="102">
      <c r="H102" s="2"/>
    </row>
    <row r="103">
      <c r="H103" s="2"/>
    </row>
    <row r="104">
      <c r="H104" s="2"/>
    </row>
    <row r="105">
      <c r="H105" s="2"/>
    </row>
    <row r="106">
      <c r="H106" s="2"/>
    </row>
    <row r="107">
      <c r="H107" s="2"/>
    </row>
    <row r="108">
      <c r="H108" s="2"/>
    </row>
    <row r="109">
      <c r="H109" s="2"/>
    </row>
    <row r="110">
      <c r="H110" s="2"/>
    </row>
    <row r="111">
      <c r="H111" s="2"/>
    </row>
    <row r="112">
      <c r="H112" s="2"/>
    </row>
    <row r="113">
      <c r="H113" s="2"/>
    </row>
    <row r="114">
      <c r="H114" s="2"/>
    </row>
    <row r="115">
      <c r="H115" s="2"/>
    </row>
    <row r="116">
      <c r="H116" s="2"/>
    </row>
    <row r="117">
      <c r="H117" s="2"/>
    </row>
    <row r="118">
      <c r="H118" s="2"/>
    </row>
    <row r="119">
      <c r="H119" s="2"/>
    </row>
    <row r="120">
      <c r="H120" s="2"/>
    </row>
    <row r="121">
      <c r="H121" s="2"/>
    </row>
    <row r="122">
      <c r="H122" s="2"/>
    </row>
    <row r="123">
      <c r="H123" s="2"/>
    </row>
    <row r="124">
      <c r="H124" s="2"/>
    </row>
    <row r="125">
      <c r="H125" s="2"/>
    </row>
    <row r="126">
      <c r="H126" s="2"/>
    </row>
    <row r="127">
      <c r="H127" s="2"/>
    </row>
    <row r="128">
      <c r="H128" s="2"/>
    </row>
    <row r="129">
      <c r="H129" s="2"/>
    </row>
    <row r="130">
      <c r="H130" s="2"/>
    </row>
    <row r="131">
      <c r="H131" s="2"/>
    </row>
    <row r="132">
      <c r="H132" s="2"/>
    </row>
    <row r="133">
      <c r="H133" s="2"/>
    </row>
    <row r="134">
      <c r="H134" s="2"/>
    </row>
    <row r="135">
      <c r="H135" s="2"/>
    </row>
    <row r="136">
      <c r="H136" s="2"/>
    </row>
    <row r="137">
      <c r="H137" s="2"/>
    </row>
    <row r="138">
      <c r="H138" s="2"/>
    </row>
    <row r="139">
      <c r="H139" s="2"/>
    </row>
    <row r="140">
      <c r="H140" s="2"/>
    </row>
    <row r="141">
      <c r="H141" s="2"/>
    </row>
    <row r="142">
      <c r="H142" s="2"/>
    </row>
    <row r="143">
      <c r="H143" s="2"/>
    </row>
    <row r="144">
      <c r="H144" s="2"/>
    </row>
    <row r="145">
      <c r="H145" s="2"/>
    </row>
    <row r="146">
      <c r="H146" s="2"/>
    </row>
    <row r="147">
      <c r="H147" s="2"/>
    </row>
    <row r="148">
      <c r="H148" s="2"/>
    </row>
    <row r="149">
      <c r="H149" s="2"/>
    </row>
    <row r="150">
      <c r="H150" s="2"/>
    </row>
    <row r="151">
      <c r="H151" s="2"/>
    </row>
    <row r="152">
      <c r="H152" s="2"/>
    </row>
    <row r="153">
      <c r="H153" s="2"/>
    </row>
    <row r="154">
      <c r="H154" s="2"/>
    </row>
    <row r="155">
      <c r="H155" s="2"/>
    </row>
    <row r="156">
      <c r="H156" s="2"/>
    </row>
    <row r="157">
      <c r="H157" s="2"/>
    </row>
    <row r="158">
      <c r="H158" s="2"/>
    </row>
    <row r="159">
      <c r="H159" s="2"/>
    </row>
    <row r="160">
      <c r="H160" s="2"/>
    </row>
    <row r="161">
      <c r="H161" s="2"/>
    </row>
    <row r="162">
      <c r="H162" s="2"/>
    </row>
    <row r="163">
      <c r="H163" s="2"/>
    </row>
    <row r="164">
      <c r="H164" s="2"/>
    </row>
    <row r="165">
      <c r="H165" s="2"/>
    </row>
    <row r="166">
      <c r="H166" s="2"/>
    </row>
    <row r="167">
      <c r="H167" s="2"/>
    </row>
    <row r="168">
      <c r="H168" s="2"/>
    </row>
    <row r="169">
      <c r="H169" s="2"/>
    </row>
    <row r="170">
      <c r="H170" s="2"/>
    </row>
    <row r="171">
      <c r="H171" s="2"/>
    </row>
    <row r="172">
      <c r="H172" s="2"/>
    </row>
    <row r="173">
      <c r="H173" s="2"/>
    </row>
    <row r="174">
      <c r="H174" s="2"/>
    </row>
    <row r="175">
      <c r="H175" s="2"/>
    </row>
    <row r="176">
      <c r="H176" s="2"/>
    </row>
    <row r="177">
      <c r="H177" s="2"/>
    </row>
    <row r="178">
      <c r="H178" s="2"/>
    </row>
    <row r="179">
      <c r="H179" s="2"/>
    </row>
    <row r="180">
      <c r="H180" s="2"/>
    </row>
    <row r="181">
      <c r="H181" s="2"/>
    </row>
    <row r="182">
      <c r="H182" s="2"/>
    </row>
    <row r="183">
      <c r="H183" s="2"/>
    </row>
    <row r="184">
      <c r="H184" s="2"/>
    </row>
    <row r="185">
      <c r="H185" s="2"/>
    </row>
    <row r="186">
      <c r="H186" s="2"/>
    </row>
    <row r="187">
      <c r="H187" s="2"/>
    </row>
    <row r="188">
      <c r="H188" s="2"/>
    </row>
    <row r="189">
      <c r="H189" s="2"/>
    </row>
    <row r="190">
      <c r="H190" s="2"/>
    </row>
    <row r="191">
      <c r="H191" s="2"/>
    </row>
    <row r="192">
      <c r="H192" s="2"/>
    </row>
    <row r="193">
      <c r="H193" s="2"/>
    </row>
    <row r="194">
      <c r="H194" s="2"/>
    </row>
    <row r="195">
      <c r="H195" s="2"/>
    </row>
    <row r="196">
      <c r="H196" s="2"/>
    </row>
    <row r="197">
      <c r="H197" s="2"/>
    </row>
    <row r="198">
      <c r="H198" s="2"/>
    </row>
    <row r="199">
      <c r="H199" s="2"/>
    </row>
    <row r="200">
      <c r="H200" s="2"/>
    </row>
    <row r="201">
      <c r="H201" s="2"/>
    </row>
    <row r="202">
      <c r="H202" s="2"/>
    </row>
    <row r="203">
      <c r="H203" s="2"/>
    </row>
    <row r="204">
      <c r="H204" s="2"/>
    </row>
    <row r="205">
      <c r="H205" s="2"/>
    </row>
    <row r="206">
      <c r="H206" s="2"/>
    </row>
    <row r="207">
      <c r="H207" s="2"/>
    </row>
    <row r="208">
      <c r="H208" s="2"/>
    </row>
    <row r="209">
      <c r="H209" s="2"/>
    </row>
    <row r="210">
      <c r="H210" s="2"/>
    </row>
    <row r="211">
      <c r="H211" s="2"/>
    </row>
    <row r="212">
      <c r="H212" s="2"/>
    </row>
    <row r="213">
      <c r="H213" s="2"/>
    </row>
    <row r="214">
      <c r="H214" s="2"/>
    </row>
    <row r="215">
      <c r="H215" s="2"/>
    </row>
    <row r="216">
      <c r="H216" s="2"/>
    </row>
    <row r="217">
      <c r="H217" s="2"/>
    </row>
    <row r="218">
      <c r="H218" s="2"/>
    </row>
    <row r="219">
      <c r="H219" s="2"/>
    </row>
    <row r="220">
      <c r="H220" s="2"/>
    </row>
    <row r="221">
      <c r="H221" s="2"/>
    </row>
    <row r="222">
      <c r="H222" s="2"/>
    </row>
    <row r="223">
      <c r="H223" s="2"/>
    </row>
    <row r="224">
      <c r="H224" s="2"/>
    </row>
    <row r="225">
      <c r="H225" s="2"/>
    </row>
    <row r="226">
      <c r="H226" s="2"/>
    </row>
    <row r="227">
      <c r="H227" s="2"/>
    </row>
    <row r="228">
      <c r="H228" s="2"/>
    </row>
    <row r="229">
      <c r="H229" s="2"/>
    </row>
    <row r="230">
      <c r="H230" s="2"/>
    </row>
    <row r="231">
      <c r="H231" s="2"/>
    </row>
    <row r="232">
      <c r="H232" s="2"/>
    </row>
    <row r="233">
      <c r="H233" s="2"/>
    </row>
    <row r="234">
      <c r="H234" s="2"/>
    </row>
    <row r="235">
      <c r="H235" s="2"/>
    </row>
    <row r="236">
      <c r="H236" s="2"/>
    </row>
    <row r="237">
      <c r="H237" s="2"/>
    </row>
    <row r="238">
      <c r="H238" s="2"/>
    </row>
    <row r="239">
      <c r="H239" s="2"/>
    </row>
    <row r="240">
      <c r="H240" s="2"/>
    </row>
    <row r="241">
      <c r="H241" s="2"/>
    </row>
    <row r="242">
      <c r="H242" s="2"/>
    </row>
    <row r="243">
      <c r="H243" s="2"/>
    </row>
    <row r="244">
      <c r="H244" s="2"/>
    </row>
    <row r="245">
      <c r="H245" s="2"/>
    </row>
    <row r="246">
      <c r="H246" s="2"/>
    </row>
    <row r="247">
      <c r="H247" s="2"/>
    </row>
    <row r="248">
      <c r="H248" s="2"/>
    </row>
    <row r="249">
      <c r="H249" s="2"/>
    </row>
    <row r="250">
      <c r="H250" s="2"/>
    </row>
    <row r="251">
      <c r="H251" s="2"/>
    </row>
    <row r="252">
      <c r="H252" s="2"/>
    </row>
    <row r="253">
      <c r="H253" s="2"/>
    </row>
    <row r="254">
      <c r="H254" s="2"/>
    </row>
    <row r="255">
      <c r="H255" s="2"/>
    </row>
    <row r="256">
      <c r="H256" s="2"/>
    </row>
    <row r="257">
      <c r="H257" s="2"/>
    </row>
    <row r="258">
      <c r="H258" s="2"/>
    </row>
    <row r="259">
      <c r="H259" s="2"/>
    </row>
    <row r="260">
      <c r="H260" s="2"/>
    </row>
    <row r="261">
      <c r="H261" s="2"/>
    </row>
    <row r="262">
      <c r="H262" s="2"/>
    </row>
    <row r="263">
      <c r="H263" s="2"/>
    </row>
    <row r="264">
      <c r="H264" s="2"/>
    </row>
    <row r="265">
      <c r="H265" s="2"/>
    </row>
    <row r="266">
      <c r="H266" s="2"/>
    </row>
    <row r="267">
      <c r="H267" s="2"/>
    </row>
    <row r="268">
      <c r="H268" s="2"/>
    </row>
    <row r="269">
      <c r="H269" s="2"/>
    </row>
    <row r="270">
      <c r="H270" s="2"/>
    </row>
    <row r="271">
      <c r="H271" s="2"/>
    </row>
    <row r="272">
      <c r="H272" s="2"/>
    </row>
    <row r="273">
      <c r="H273" s="2"/>
    </row>
    <row r="274">
      <c r="H274" s="2"/>
    </row>
    <row r="275">
      <c r="H275" s="2"/>
    </row>
    <row r="276">
      <c r="H276" s="2"/>
    </row>
    <row r="277">
      <c r="H277" s="2"/>
    </row>
    <row r="278">
      <c r="H278" s="2"/>
    </row>
    <row r="279">
      <c r="H279" s="2"/>
    </row>
    <row r="280">
      <c r="H280" s="2"/>
    </row>
    <row r="281">
      <c r="H281" s="2"/>
    </row>
    <row r="282">
      <c r="H282" s="2"/>
    </row>
    <row r="283">
      <c r="H283" s="2"/>
    </row>
    <row r="284">
      <c r="H284" s="2"/>
    </row>
    <row r="285">
      <c r="H285" s="2"/>
    </row>
    <row r="286">
      <c r="H286" s="2"/>
    </row>
    <row r="287">
      <c r="H287" s="2"/>
    </row>
    <row r="288">
      <c r="H288" s="2"/>
    </row>
    <row r="289">
      <c r="H289" s="2"/>
    </row>
    <row r="290">
      <c r="H290" s="2"/>
    </row>
    <row r="291">
      <c r="H291" s="2"/>
    </row>
    <row r="292">
      <c r="H292" s="2"/>
    </row>
    <row r="293">
      <c r="H293" s="2"/>
    </row>
    <row r="294">
      <c r="H294" s="2"/>
    </row>
    <row r="295">
      <c r="H295" s="2"/>
    </row>
    <row r="296">
      <c r="H296" s="2"/>
    </row>
    <row r="297">
      <c r="H297" s="2"/>
    </row>
    <row r="298">
      <c r="H298" s="2"/>
    </row>
    <row r="299">
      <c r="H299" s="2"/>
    </row>
    <row r="300">
      <c r="H300" s="2"/>
    </row>
    <row r="301">
      <c r="H301" s="2"/>
    </row>
    <row r="302">
      <c r="H302" s="2"/>
    </row>
    <row r="303">
      <c r="H303" s="2"/>
    </row>
    <row r="304">
      <c r="H304" s="2"/>
    </row>
    <row r="305">
      <c r="H305" s="2"/>
    </row>
    <row r="306">
      <c r="H306" s="2"/>
    </row>
    <row r="307">
      <c r="H307" s="2"/>
    </row>
    <row r="308">
      <c r="H308" s="2"/>
    </row>
    <row r="309">
      <c r="H309" s="2"/>
    </row>
    <row r="310">
      <c r="H310" s="2"/>
    </row>
    <row r="311">
      <c r="H311" s="2"/>
    </row>
    <row r="312">
      <c r="H312" s="2"/>
    </row>
    <row r="313">
      <c r="H313" s="2"/>
    </row>
    <row r="314">
      <c r="H314" s="2"/>
    </row>
    <row r="315">
      <c r="H315" s="2"/>
    </row>
    <row r="316">
      <c r="H316" s="2"/>
    </row>
    <row r="317">
      <c r="H317" s="2"/>
    </row>
    <row r="318">
      <c r="H318" s="2"/>
    </row>
    <row r="319">
      <c r="H319" s="2"/>
    </row>
    <row r="320">
      <c r="H320" s="2"/>
    </row>
    <row r="321">
      <c r="H321" s="2"/>
    </row>
    <row r="322">
      <c r="H322" s="2"/>
    </row>
    <row r="323">
      <c r="H323" s="2"/>
    </row>
    <row r="324">
      <c r="H324" s="2"/>
    </row>
    <row r="325">
      <c r="H325" s="2"/>
    </row>
    <row r="326">
      <c r="H326" s="2"/>
    </row>
    <row r="327">
      <c r="H327" s="2"/>
    </row>
    <row r="328">
      <c r="H328" s="2"/>
    </row>
    <row r="329">
      <c r="H329" s="2"/>
    </row>
    <row r="330">
      <c r="H330" s="2"/>
    </row>
    <row r="331">
      <c r="H331" s="2"/>
    </row>
    <row r="332">
      <c r="H332" s="2"/>
    </row>
    <row r="333">
      <c r="H333" s="2"/>
    </row>
    <row r="334">
      <c r="H334" s="2"/>
    </row>
    <row r="335">
      <c r="H335" s="2"/>
    </row>
    <row r="336">
      <c r="H336" s="2"/>
    </row>
    <row r="337">
      <c r="H337" s="2"/>
    </row>
    <row r="338">
      <c r="H338" s="2"/>
    </row>
    <row r="339">
      <c r="H339" s="2"/>
    </row>
    <row r="340">
      <c r="H340" s="2"/>
    </row>
    <row r="341">
      <c r="H341" s="2"/>
    </row>
    <row r="342">
      <c r="H342" s="2"/>
    </row>
    <row r="343">
      <c r="H343" s="2"/>
    </row>
    <row r="344">
      <c r="H344" s="2"/>
    </row>
    <row r="345">
      <c r="H345" s="2"/>
    </row>
    <row r="346">
      <c r="H346" s="2"/>
    </row>
    <row r="347">
      <c r="H347" s="2"/>
    </row>
    <row r="348">
      <c r="H348" s="2"/>
    </row>
    <row r="349">
      <c r="H349" s="2"/>
    </row>
    <row r="350">
      <c r="H350" s="2"/>
    </row>
    <row r="351">
      <c r="H351" s="2"/>
    </row>
    <row r="352">
      <c r="H352" s="2"/>
    </row>
    <row r="353">
      <c r="H353" s="2"/>
    </row>
    <row r="354">
      <c r="H354" s="2"/>
    </row>
    <row r="355">
      <c r="H355" s="2"/>
    </row>
    <row r="356">
      <c r="H356" s="2"/>
    </row>
    <row r="357">
      <c r="H357" s="2"/>
    </row>
    <row r="358">
      <c r="H358" s="2"/>
    </row>
    <row r="359">
      <c r="H359" s="2"/>
    </row>
    <row r="360">
      <c r="H360" s="2"/>
    </row>
    <row r="361">
      <c r="H361" s="2"/>
    </row>
    <row r="362">
      <c r="H362" s="2"/>
    </row>
    <row r="363">
      <c r="H363" s="2"/>
    </row>
    <row r="364">
      <c r="H364" s="2"/>
    </row>
    <row r="365">
      <c r="H365" s="2"/>
    </row>
    <row r="366">
      <c r="H366" s="2"/>
    </row>
    <row r="367">
      <c r="H367" s="2"/>
    </row>
    <row r="368">
      <c r="H368" s="2"/>
    </row>
    <row r="369">
      <c r="H369" s="2"/>
    </row>
    <row r="370">
      <c r="H370" s="2"/>
    </row>
    <row r="371">
      <c r="H371" s="2"/>
    </row>
    <row r="372">
      <c r="H372" s="2"/>
    </row>
    <row r="373">
      <c r="H373" s="2"/>
    </row>
    <row r="374">
      <c r="H374" s="2"/>
    </row>
    <row r="375">
      <c r="H375" s="2"/>
    </row>
    <row r="376">
      <c r="H376" s="2"/>
    </row>
    <row r="377">
      <c r="H377" s="2"/>
    </row>
    <row r="378">
      <c r="H378" s="2"/>
    </row>
    <row r="379">
      <c r="H379" s="2"/>
    </row>
    <row r="380">
      <c r="H380" s="2"/>
    </row>
    <row r="381">
      <c r="H381" s="2"/>
    </row>
    <row r="382">
      <c r="H382" s="2"/>
    </row>
    <row r="383">
      <c r="H383" s="2"/>
    </row>
    <row r="384">
      <c r="H384" s="2"/>
    </row>
    <row r="385">
      <c r="H385" s="2"/>
    </row>
    <row r="386">
      <c r="H386" s="2"/>
    </row>
    <row r="387">
      <c r="H387" s="2"/>
    </row>
    <row r="388">
      <c r="H388" s="2"/>
    </row>
    <row r="389">
      <c r="H389" s="2"/>
    </row>
    <row r="390">
      <c r="H390" s="2"/>
    </row>
    <row r="391">
      <c r="H391" s="2"/>
    </row>
    <row r="392">
      <c r="H392" s="2"/>
    </row>
    <row r="393">
      <c r="H393" s="2"/>
    </row>
    <row r="394">
      <c r="H394" s="2"/>
    </row>
    <row r="395">
      <c r="H395" s="2"/>
    </row>
    <row r="396">
      <c r="H396" s="2"/>
    </row>
    <row r="397">
      <c r="H397" s="2"/>
    </row>
    <row r="398">
      <c r="H398" s="2"/>
    </row>
    <row r="399">
      <c r="H399" s="2"/>
    </row>
    <row r="400">
      <c r="H400" s="2"/>
    </row>
    <row r="401">
      <c r="H401" s="2"/>
    </row>
    <row r="402">
      <c r="H402" s="2"/>
    </row>
    <row r="403">
      <c r="H403" s="2"/>
    </row>
    <row r="404">
      <c r="H404" s="2"/>
    </row>
    <row r="405">
      <c r="H405" s="2"/>
    </row>
    <row r="406">
      <c r="H406" s="2"/>
    </row>
    <row r="407">
      <c r="H407" s="2"/>
    </row>
    <row r="408">
      <c r="H408" s="2"/>
    </row>
    <row r="409">
      <c r="H409" s="2"/>
    </row>
    <row r="410">
      <c r="H410" s="2"/>
    </row>
    <row r="411">
      <c r="H411" s="2"/>
    </row>
    <row r="412">
      <c r="H412" s="2"/>
    </row>
    <row r="413">
      <c r="H413" s="2"/>
    </row>
    <row r="414">
      <c r="H414" s="2"/>
    </row>
    <row r="415">
      <c r="H415" s="2"/>
    </row>
    <row r="416">
      <c r="H416" s="2"/>
    </row>
    <row r="417">
      <c r="H417" s="2"/>
    </row>
    <row r="418">
      <c r="H418" s="2"/>
    </row>
    <row r="419">
      <c r="H419" s="2"/>
    </row>
    <row r="420">
      <c r="H420" s="2"/>
    </row>
    <row r="421">
      <c r="H421" s="2"/>
    </row>
    <row r="422">
      <c r="H422" s="2"/>
    </row>
    <row r="423">
      <c r="H423" s="2"/>
    </row>
    <row r="424">
      <c r="H424" s="2"/>
    </row>
    <row r="425">
      <c r="H425" s="2"/>
    </row>
    <row r="426">
      <c r="H426" s="2"/>
    </row>
    <row r="427">
      <c r="H427" s="2"/>
    </row>
    <row r="428">
      <c r="H428" s="2"/>
    </row>
    <row r="429">
      <c r="H429" s="2"/>
    </row>
    <row r="430">
      <c r="H430" s="2"/>
    </row>
    <row r="431">
      <c r="H431" s="2"/>
    </row>
    <row r="432">
      <c r="H432" s="2"/>
    </row>
    <row r="433">
      <c r="H433" s="2"/>
    </row>
    <row r="434">
      <c r="H434" s="2"/>
    </row>
    <row r="435">
      <c r="H435" s="2"/>
    </row>
    <row r="436">
      <c r="H436" s="2"/>
    </row>
    <row r="437">
      <c r="H437" s="2"/>
    </row>
    <row r="438">
      <c r="H438" s="2"/>
    </row>
    <row r="439">
      <c r="H439" s="2"/>
    </row>
    <row r="440">
      <c r="H440" s="2"/>
    </row>
    <row r="441">
      <c r="H441" s="2"/>
    </row>
    <row r="442">
      <c r="H442" s="2"/>
    </row>
    <row r="443">
      <c r="H443" s="2"/>
    </row>
    <row r="444">
      <c r="H444" s="2"/>
    </row>
    <row r="445">
      <c r="H445" s="2"/>
    </row>
    <row r="446">
      <c r="H446" s="2"/>
    </row>
    <row r="447">
      <c r="H447" s="2"/>
    </row>
    <row r="448">
      <c r="H448" s="2"/>
    </row>
    <row r="449">
      <c r="H449" s="2"/>
    </row>
    <row r="450">
      <c r="H450" s="2"/>
    </row>
    <row r="451">
      <c r="H451" s="2"/>
    </row>
    <row r="452">
      <c r="H452" s="2"/>
    </row>
    <row r="453">
      <c r="H453" s="2"/>
    </row>
    <row r="454">
      <c r="H454" s="2"/>
    </row>
    <row r="455">
      <c r="H455" s="2"/>
    </row>
    <row r="456">
      <c r="H456" s="2"/>
    </row>
    <row r="457">
      <c r="H457" s="2"/>
    </row>
    <row r="458">
      <c r="H458" s="2"/>
    </row>
    <row r="459">
      <c r="H459" s="2"/>
    </row>
    <row r="460">
      <c r="H460" s="2"/>
    </row>
    <row r="461">
      <c r="H461" s="2"/>
    </row>
    <row r="462">
      <c r="H462" s="2"/>
    </row>
    <row r="463">
      <c r="H463" s="2"/>
    </row>
    <row r="464">
      <c r="H464" s="2"/>
    </row>
    <row r="465">
      <c r="H465" s="2"/>
    </row>
    <row r="466">
      <c r="H466" s="2"/>
    </row>
    <row r="467">
      <c r="H467" s="2"/>
    </row>
    <row r="468">
      <c r="H468" s="2"/>
    </row>
    <row r="469">
      <c r="H469" s="2"/>
    </row>
    <row r="470">
      <c r="H470" s="2"/>
    </row>
    <row r="471">
      <c r="H471" s="2"/>
    </row>
    <row r="472">
      <c r="H472" s="2"/>
    </row>
    <row r="473">
      <c r="H473" s="2"/>
    </row>
    <row r="474">
      <c r="H474" s="2"/>
    </row>
    <row r="475">
      <c r="H475" s="2"/>
    </row>
    <row r="476">
      <c r="H476" s="2"/>
    </row>
    <row r="477">
      <c r="H477" s="2"/>
    </row>
    <row r="478">
      <c r="H478" s="2"/>
    </row>
    <row r="479">
      <c r="H479" s="2"/>
    </row>
    <row r="480">
      <c r="H480" s="2"/>
    </row>
    <row r="481">
      <c r="H481" s="2"/>
    </row>
    <row r="482">
      <c r="H482" s="2"/>
    </row>
    <row r="483">
      <c r="H483" s="2"/>
    </row>
    <row r="484">
      <c r="H484" s="2"/>
    </row>
    <row r="485">
      <c r="H485" s="2"/>
    </row>
    <row r="486">
      <c r="H486" s="2"/>
    </row>
    <row r="487">
      <c r="H487" s="2"/>
    </row>
    <row r="488">
      <c r="H488" s="2"/>
    </row>
    <row r="489">
      <c r="H489" s="2"/>
    </row>
    <row r="490">
      <c r="H490" s="2"/>
    </row>
    <row r="491">
      <c r="H491" s="2"/>
    </row>
    <row r="492">
      <c r="H492" s="2"/>
    </row>
    <row r="493">
      <c r="H493" s="2"/>
    </row>
    <row r="494">
      <c r="H494" s="2"/>
    </row>
    <row r="495">
      <c r="H495" s="2"/>
    </row>
    <row r="496">
      <c r="H496" s="2"/>
    </row>
    <row r="497">
      <c r="H497" s="2"/>
    </row>
    <row r="498">
      <c r="H498" s="2"/>
    </row>
    <row r="499">
      <c r="H499" s="2"/>
    </row>
    <row r="500">
      <c r="H500" s="2"/>
    </row>
    <row r="501">
      <c r="H501" s="2"/>
    </row>
    <row r="502">
      <c r="H502" s="2"/>
    </row>
    <row r="503">
      <c r="H503" s="2"/>
    </row>
    <row r="504">
      <c r="H504" s="2"/>
    </row>
    <row r="505">
      <c r="H505" s="2"/>
    </row>
    <row r="506">
      <c r="H506" s="2"/>
    </row>
    <row r="507">
      <c r="H507" s="2"/>
    </row>
    <row r="508">
      <c r="H508" s="2"/>
    </row>
    <row r="509">
      <c r="H509" s="2"/>
    </row>
    <row r="510">
      <c r="H510" s="2"/>
    </row>
    <row r="511">
      <c r="H511" s="2"/>
    </row>
    <row r="512">
      <c r="H512" s="2"/>
    </row>
    <row r="513">
      <c r="H513" s="2"/>
    </row>
    <row r="514">
      <c r="H514" s="2"/>
    </row>
    <row r="515">
      <c r="H515" s="2"/>
    </row>
    <row r="516">
      <c r="H516" s="2"/>
    </row>
    <row r="517">
      <c r="H517" s="2"/>
    </row>
    <row r="518">
      <c r="H518" s="2"/>
    </row>
    <row r="519">
      <c r="H519" s="2"/>
    </row>
    <row r="520">
      <c r="H520" s="2"/>
    </row>
    <row r="521">
      <c r="H521" s="2"/>
    </row>
    <row r="522">
      <c r="H522" s="2"/>
    </row>
    <row r="523">
      <c r="H523" s="2"/>
    </row>
    <row r="524">
      <c r="H524" s="2"/>
    </row>
    <row r="525">
      <c r="H525" s="2"/>
    </row>
    <row r="526">
      <c r="H526" s="2"/>
    </row>
    <row r="527">
      <c r="H527" s="2"/>
    </row>
    <row r="528">
      <c r="H528" s="2"/>
    </row>
    <row r="529">
      <c r="H529" s="2"/>
    </row>
    <row r="530">
      <c r="H530" s="2"/>
    </row>
    <row r="531">
      <c r="H531" s="2"/>
    </row>
    <row r="532">
      <c r="H532" s="2"/>
    </row>
    <row r="533">
      <c r="H533" s="2"/>
    </row>
    <row r="534">
      <c r="H534" s="2"/>
    </row>
    <row r="535">
      <c r="H535" s="2"/>
    </row>
    <row r="536">
      <c r="H536" s="2"/>
    </row>
    <row r="537">
      <c r="H537" s="2"/>
    </row>
    <row r="538">
      <c r="H538" s="2"/>
    </row>
    <row r="539">
      <c r="H539" s="2"/>
    </row>
    <row r="540">
      <c r="H540" s="2"/>
    </row>
    <row r="541">
      <c r="H541" s="2"/>
    </row>
    <row r="542">
      <c r="H542" s="2"/>
    </row>
    <row r="543">
      <c r="H543" s="2"/>
    </row>
    <row r="544">
      <c r="H544" s="2"/>
    </row>
    <row r="545">
      <c r="H545" s="2"/>
    </row>
    <row r="546">
      <c r="H546" s="2"/>
    </row>
    <row r="547">
      <c r="H547" s="2"/>
    </row>
    <row r="548">
      <c r="H548" s="2"/>
    </row>
    <row r="549">
      <c r="H549" s="2"/>
    </row>
    <row r="550">
      <c r="H550" s="2"/>
    </row>
    <row r="551">
      <c r="H551" s="2"/>
    </row>
    <row r="552">
      <c r="H552" s="2"/>
    </row>
    <row r="553">
      <c r="H553" s="2"/>
    </row>
    <row r="554">
      <c r="H554" s="2"/>
    </row>
    <row r="555">
      <c r="H555" s="2"/>
    </row>
    <row r="556">
      <c r="H556" s="2"/>
    </row>
    <row r="557">
      <c r="H557" s="2"/>
    </row>
    <row r="558">
      <c r="H558" s="2"/>
    </row>
    <row r="559">
      <c r="H559" s="2"/>
    </row>
    <row r="560">
      <c r="H560" s="2"/>
    </row>
    <row r="561">
      <c r="H561" s="2"/>
    </row>
    <row r="562">
      <c r="H562" s="2"/>
    </row>
    <row r="563">
      <c r="H563" s="2"/>
    </row>
    <row r="564">
      <c r="H564" s="2"/>
    </row>
    <row r="565">
      <c r="H565" s="2"/>
    </row>
    <row r="566">
      <c r="H566" s="2"/>
    </row>
    <row r="567">
      <c r="H567" s="2"/>
    </row>
    <row r="568">
      <c r="H568" s="2"/>
    </row>
    <row r="569">
      <c r="H569" s="2"/>
    </row>
    <row r="570">
      <c r="H570" s="2"/>
    </row>
    <row r="571">
      <c r="H571" s="2"/>
    </row>
    <row r="572">
      <c r="H572" s="2"/>
    </row>
    <row r="573">
      <c r="H573" s="2"/>
    </row>
    <row r="574">
      <c r="H574" s="2"/>
    </row>
    <row r="575">
      <c r="H575" s="2"/>
    </row>
    <row r="576">
      <c r="H576" s="2"/>
    </row>
    <row r="577">
      <c r="H577" s="2"/>
    </row>
    <row r="578">
      <c r="H578" s="2"/>
    </row>
    <row r="579">
      <c r="H579" s="2"/>
    </row>
    <row r="580">
      <c r="H580" s="2"/>
    </row>
    <row r="581">
      <c r="H581" s="2"/>
    </row>
    <row r="582">
      <c r="H582" s="2"/>
    </row>
    <row r="583">
      <c r="H583" s="2"/>
    </row>
    <row r="584">
      <c r="H584" s="2"/>
    </row>
    <row r="585">
      <c r="H585" s="2"/>
    </row>
    <row r="586">
      <c r="H586" s="2"/>
    </row>
    <row r="587">
      <c r="H587" s="2"/>
    </row>
    <row r="588">
      <c r="H588" s="2"/>
    </row>
    <row r="589">
      <c r="H589" s="2"/>
    </row>
    <row r="590">
      <c r="H590" s="2"/>
    </row>
    <row r="591">
      <c r="H591" s="2"/>
    </row>
    <row r="592">
      <c r="H592" s="2"/>
    </row>
    <row r="593">
      <c r="H593" s="2"/>
    </row>
    <row r="594">
      <c r="H594" s="2"/>
    </row>
    <row r="595">
      <c r="H595" s="2"/>
    </row>
    <row r="596">
      <c r="H596" s="2"/>
    </row>
    <row r="597">
      <c r="H597" s="2"/>
    </row>
    <row r="598">
      <c r="H598" s="2"/>
    </row>
    <row r="599">
      <c r="H599" s="2"/>
    </row>
    <row r="600">
      <c r="H600" s="2"/>
    </row>
    <row r="601">
      <c r="H601" s="2"/>
    </row>
    <row r="602">
      <c r="H602" s="2"/>
    </row>
    <row r="603">
      <c r="H603" s="2"/>
    </row>
    <row r="604">
      <c r="H604" s="2"/>
    </row>
    <row r="605">
      <c r="H605" s="2"/>
    </row>
    <row r="606">
      <c r="H606" s="2"/>
    </row>
    <row r="607">
      <c r="H607" s="2"/>
    </row>
    <row r="608">
      <c r="H608" s="2"/>
    </row>
    <row r="609">
      <c r="H609" s="2"/>
    </row>
    <row r="610">
      <c r="H610" s="2"/>
    </row>
    <row r="611">
      <c r="H611" s="2"/>
    </row>
    <row r="612">
      <c r="H612" s="2"/>
    </row>
    <row r="613">
      <c r="H613" s="2"/>
    </row>
    <row r="614">
      <c r="H614" s="2"/>
    </row>
    <row r="615">
      <c r="H615" s="2"/>
    </row>
    <row r="616">
      <c r="H616" s="2"/>
    </row>
    <row r="617">
      <c r="H617" s="2"/>
    </row>
    <row r="618">
      <c r="H618" s="2"/>
    </row>
    <row r="619">
      <c r="H619" s="2"/>
    </row>
    <row r="620">
      <c r="H620" s="2"/>
    </row>
    <row r="621">
      <c r="H621" s="2"/>
    </row>
    <row r="622">
      <c r="H622" s="2"/>
    </row>
    <row r="623">
      <c r="H623" s="2"/>
    </row>
    <row r="624">
      <c r="H624" s="2"/>
    </row>
    <row r="625">
      <c r="H625" s="2"/>
    </row>
    <row r="626">
      <c r="H626" s="2"/>
    </row>
    <row r="627">
      <c r="H627" s="2"/>
    </row>
    <row r="628">
      <c r="H628" s="2"/>
    </row>
    <row r="629">
      <c r="H629" s="2"/>
    </row>
    <row r="630">
      <c r="H630" s="2"/>
    </row>
    <row r="631">
      <c r="H631" s="2"/>
    </row>
    <row r="632">
      <c r="H632" s="2"/>
    </row>
    <row r="633">
      <c r="H633" s="2"/>
    </row>
    <row r="634">
      <c r="H634" s="2"/>
    </row>
    <row r="635">
      <c r="H635" s="2"/>
    </row>
    <row r="636">
      <c r="H636" s="2"/>
    </row>
    <row r="637">
      <c r="H637" s="2"/>
    </row>
    <row r="638">
      <c r="H638" s="2"/>
    </row>
    <row r="639">
      <c r="H639" s="2"/>
    </row>
    <row r="640">
      <c r="H640" s="2"/>
    </row>
    <row r="641">
      <c r="H641" s="2"/>
    </row>
    <row r="642">
      <c r="H642" s="2"/>
    </row>
    <row r="643">
      <c r="H643" s="2"/>
    </row>
    <row r="644">
      <c r="H644" s="2"/>
    </row>
    <row r="645">
      <c r="H645" s="2"/>
    </row>
    <row r="646">
      <c r="H646" s="2"/>
    </row>
    <row r="647">
      <c r="H647" s="2"/>
    </row>
    <row r="648">
      <c r="H648" s="2"/>
    </row>
    <row r="649">
      <c r="H649" s="2"/>
    </row>
    <row r="650">
      <c r="H650" s="2"/>
    </row>
    <row r="651">
      <c r="H651" s="2"/>
    </row>
    <row r="652">
      <c r="H652" s="2"/>
    </row>
    <row r="653">
      <c r="H653" s="2"/>
    </row>
    <row r="654">
      <c r="H654" s="2"/>
    </row>
    <row r="655">
      <c r="H655" s="2"/>
    </row>
    <row r="656">
      <c r="H656" s="2"/>
    </row>
    <row r="657">
      <c r="H657" s="2"/>
    </row>
    <row r="658">
      <c r="H658" s="2"/>
    </row>
    <row r="659">
      <c r="H659" s="2"/>
    </row>
    <row r="660">
      <c r="H660" s="2"/>
    </row>
    <row r="661">
      <c r="H661" s="2"/>
    </row>
    <row r="662">
      <c r="H662" s="2"/>
    </row>
    <row r="663">
      <c r="H663" s="2"/>
    </row>
    <row r="664">
      <c r="H664" s="2"/>
    </row>
    <row r="665">
      <c r="H665" s="2"/>
    </row>
    <row r="666">
      <c r="H666" s="2"/>
    </row>
    <row r="667">
      <c r="H667" s="2"/>
    </row>
    <row r="668">
      <c r="H668" s="2"/>
    </row>
    <row r="669">
      <c r="H669" s="2"/>
    </row>
    <row r="670">
      <c r="H670" s="2"/>
    </row>
    <row r="671">
      <c r="H671" s="2"/>
    </row>
    <row r="672">
      <c r="H672" s="2"/>
    </row>
    <row r="673">
      <c r="H673" s="2"/>
    </row>
    <row r="674">
      <c r="H674" s="2"/>
    </row>
    <row r="675">
      <c r="H675" s="2"/>
    </row>
    <row r="676">
      <c r="H676" s="2"/>
    </row>
    <row r="677">
      <c r="H677" s="2"/>
    </row>
    <row r="678">
      <c r="H678" s="2"/>
    </row>
    <row r="679">
      <c r="H679" s="2"/>
    </row>
    <row r="680">
      <c r="H680" s="2"/>
    </row>
    <row r="681">
      <c r="H681" s="2"/>
    </row>
    <row r="682">
      <c r="H682" s="2"/>
    </row>
    <row r="683">
      <c r="H683" s="2"/>
    </row>
    <row r="684">
      <c r="H684" s="2"/>
    </row>
    <row r="685">
      <c r="H685" s="2"/>
    </row>
    <row r="686">
      <c r="H686" s="2"/>
    </row>
    <row r="687">
      <c r="H687" s="2"/>
    </row>
    <row r="688">
      <c r="H688" s="2"/>
    </row>
    <row r="689">
      <c r="H689" s="2"/>
    </row>
    <row r="690">
      <c r="H690" s="2"/>
    </row>
    <row r="691">
      <c r="H691" s="2"/>
    </row>
    <row r="692">
      <c r="H692" s="2"/>
    </row>
    <row r="693">
      <c r="H693" s="2"/>
    </row>
    <row r="694">
      <c r="H694" s="2"/>
    </row>
    <row r="695">
      <c r="H695" s="2"/>
    </row>
    <row r="696">
      <c r="H696" s="2"/>
    </row>
    <row r="697">
      <c r="H697" s="2"/>
    </row>
    <row r="698">
      <c r="H698" s="2"/>
    </row>
    <row r="699">
      <c r="H699" s="2"/>
    </row>
    <row r="700">
      <c r="H700" s="2"/>
    </row>
    <row r="701">
      <c r="H701" s="2"/>
    </row>
    <row r="702">
      <c r="H702" s="2"/>
    </row>
    <row r="703">
      <c r="H703" s="2"/>
    </row>
    <row r="704">
      <c r="H704" s="2"/>
    </row>
    <row r="705">
      <c r="H705" s="2"/>
    </row>
    <row r="706">
      <c r="H706" s="2"/>
    </row>
    <row r="707">
      <c r="H707" s="2"/>
    </row>
    <row r="708">
      <c r="H708" s="2"/>
    </row>
    <row r="709">
      <c r="H709" s="2"/>
    </row>
    <row r="710">
      <c r="H710" s="2"/>
    </row>
    <row r="711">
      <c r="H711" s="2"/>
    </row>
    <row r="712">
      <c r="H712" s="2"/>
    </row>
    <row r="713">
      <c r="H713" s="2"/>
    </row>
    <row r="714">
      <c r="H714" s="2"/>
    </row>
    <row r="715">
      <c r="H715" s="2"/>
    </row>
    <row r="716">
      <c r="H716" s="2"/>
    </row>
    <row r="717">
      <c r="H717" s="2"/>
    </row>
    <row r="718">
      <c r="H718" s="2"/>
    </row>
    <row r="719">
      <c r="H719" s="2"/>
    </row>
    <row r="720">
      <c r="H720" s="2"/>
    </row>
    <row r="721">
      <c r="H721" s="2"/>
    </row>
    <row r="722">
      <c r="H722" s="2"/>
    </row>
    <row r="723">
      <c r="H723" s="2"/>
    </row>
    <row r="724">
      <c r="H724" s="2"/>
    </row>
    <row r="725">
      <c r="H725" s="2"/>
    </row>
    <row r="726">
      <c r="H726" s="2"/>
    </row>
    <row r="727">
      <c r="H727" s="2"/>
    </row>
    <row r="728">
      <c r="H728" s="2"/>
    </row>
    <row r="729">
      <c r="H729" s="2"/>
    </row>
    <row r="730">
      <c r="H730" s="2"/>
    </row>
    <row r="731">
      <c r="H731" s="2"/>
    </row>
    <row r="732">
      <c r="H732" s="2"/>
    </row>
    <row r="733">
      <c r="H733" s="2"/>
    </row>
    <row r="734">
      <c r="H734" s="2"/>
    </row>
    <row r="735">
      <c r="H735" s="2"/>
    </row>
    <row r="736">
      <c r="H736" s="2"/>
    </row>
    <row r="737">
      <c r="H737" s="2"/>
    </row>
    <row r="738">
      <c r="H738" s="2"/>
    </row>
    <row r="739">
      <c r="H739" s="2"/>
    </row>
    <row r="740">
      <c r="H740" s="2"/>
    </row>
    <row r="741">
      <c r="H741" s="2"/>
    </row>
    <row r="742">
      <c r="H742" s="2"/>
    </row>
    <row r="743">
      <c r="H743" s="2"/>
    </row>
    <row r="744">
      <c r="H744" s="2"/>
    </row>
    <row r="745">
      <c r="H745" s="2"/>
    </row>
    <row r="746">
      <c r="H746" s="2"/>
    </row>
    <row r="747">
      <c r="H747" s="2"/>
    </row>
    <row r="748">
      <c r="H748" s="2"/>
    </row>
    <row r="749">
      <c r="H749" s="2"/>
    </row>
    <row r="750">
      <c r="H750" s="2"/>
    </row>
    <row r="751">
      <c r="H751" s="2"/>
    </row>
    <row r="752">
      <c r="H752" s="2"/>
    </row>
    <row r="753">
      <c r="H753" s="2"/>
    </row>
    <row r="754">
      <c r="H754" s="2"/>
    </row>
    <row r="755">
      <c r="H755" s="2"/>
    </row>
    <row r="756">
      <c r="H756" s="2"/>
    </row>
    <row r="757">
      <c r="H757" s="2"/>
    </row>
    <row r="758">
      <c r="H758" s="2"/>
    </row>
    <row r="759">
      <c r="H759" s="2"/>
    </row>
    <row r="760">
      <c r="H760" s="2"/>
    </row>
    <row r="761">
      <c r="H761" s="2"/>
    </row>
    <row r="762">
      <c r="H762" s="2"/>
    </row>
    <row r="763">
      <c r="H763" s="2"/>
    </row>
    <row r="764">
      <c r="H764" s="2"/>
    </row>
    <row r="765">
      <c r="H765" s="2"/>
    </row>
    <row r="766">
      <c r="H766" s="2"/>
    </row>
    <row r="767">
      <c r="H767" s="2"/>
    </row>
    <row r="768">
      <c r="H768" s="2"/>
    </row>
    <row r="769">
      <c r="H769" s="2"/>
    </row>
    <row r="770">
      <c r="H770" s="2"/>
    </row>
    <row r="771">
      <c r="H771" s="2"/>
    </row>
    <row r="772">
      <c r="H772" s="2"/>
    </row>
    <row r="773">
      <c r="H773" s="2"/>
    </row>
    <row r="774">
      <c r="H774" s="2"/>
    </row>
    <row r="775">
      <c r="H775" s="2"/>
    </row>
    <row r="776">
      <c r="H776" s="2"/>
    </row>
    <row r="777">
      <c r="H777" s="2"/>
    </row>
    <row r="778">
      <c r="H778" s="2"/>
    </row>
    <row r="779">
      <c r="H779" s="2"/>
    </row>
    <row r="780">
      <c r="H780" s="2"/>
    </row>
    <row r="781">
      <c r="H781" s="2"/>
    </row>
    <row r="782">
      <c r="H782" s="2"/>
    </row>
    <row r="783">
      <c r="H783" s="2"/>
    </row>
    <row r="784">
      <c r="H784" s="2"/>
    </row>
    <row r="785">
      <c r="H785" s="2"/>
    </row>
    <row r="786">
      <c r="H786" s="2"/>
    </row>
    <row r="787">
      <c r="H787" s="2"/>
    </row>
    <row r="788">
      <c r="H788" s="2"/>
    </row>
    <row r="789">
      <c r="H789" s="2"/>
    </row>
    <row r="790">
      <c r="H790" s="2"/>
    </row>
    <row r="791">
      <c r="H791" s="2"/>
    </row>
    <row r="792">
      <c r="H792" s="2"/>
    </row>
    <row r="793">
      <c r="H793" s="2"/>
    </row>
    <row r="794">
      <c r="H794" s="2"/>
    </row>
    <row r="795">
      <c r="H795" s="2"/>
    </row>
    <row r="796">
      <c r="H796" s="2"/>
    </row>
    <row r="797">
      <c r="H797" s="2"/>
    </row>
    <row r="798">
      <c r="H798" s="2"/>
    </row>
    <row r="799">
      <c r="H799" s="2"/>
    </row>
    <row r="800">
      <c r="H800" s="2"/>
    </row>
    <row r="801">
      <c r="H801" s="2"/>
    </row>
    <row r="802">
      <c r="H802" s="2"/>
    </row>
    <row r="803">
      <c r="H803" s="2"/>
    </row>
    <row r="804">
      <c r="H804" s="2"/>
    </row>
    <row r="805">
      <c r="H805" s="2"/>
    </row>
    <row r="806">
      <c r="H806" s="2"/>
    </row>
    <row r="807">
      <c r="H807" s="2"/>
    </row>
    <row r="808">
      <c r="H808" s="2"/>
    </row>
    <row r="809">
      <c r="H809" s="2"/>
    </row>
    <row r="810">
      <c r="H810" s="2"/>
    </row>
    <row r="811">
      <c r="H811" s="2"/>
    </row>
    <row r="812">
      <c r="H812" s="2"/>
    </row>
    <row r="813">
      <c r="H813" s="2"/>
    </row>
    <row r="814">
      <c r="H814" s="2"/>
    </row>
    <row r="815">
      <c r="H815" s="2"/>
    </row>
    <row r="816">
      <c r="H816" s="2"/>
    </row>
    <row r="817">
      <c r="H817" s="2"/>
    </row>
    <row r="818">
      <c r="H818" s="2"/>
    </row>
    <row r="819">
      <c r="H819" s="2"/>
    </row>
    <row r="820">
      <c r="H820" s="2"/>
    </row>
    <row r="821">
      <c r="H821" s="2"/>
    </row>
    <row r="822">
      <c r="H822" s="2"/>
    </row>
    <row r="823">
      <c r="H823" s="2"/>
    </row>
    <row r="824">
      <c r="H824" s="2"/>
    </row>
    <row r="825">
      <c r="H825" s="2"/>
    </row>
    <row r="826">
      <c r="H826" s="2"/>
    </row>
    <row r="827">
      <c r="H827" s="2"/>
    </row>
    <row r="828">
      <c r="H828" s="2"/>
    </row>
    <row r="829">
      <c r="H829" s="2"/>
    </row>
    <row r="830">
      <c r="H830" s="2"/>
    </row>
    <row r="831">
      <c r="H831" s="2"/>
    </row>
    <row r="832">
      <c r="H832" s="2"/>
    </row>
    <row r="833">
      <c r="H833" s="2"/>
    </row>
    <row r="834">
      <c r="H834" s="2"/>
    </row>
    <row r="835">
      <c r="H835" s="2"/>
    </row>
    <row r="836">
      <c r="H836" s="2"/>
    </row>
    <row r="837">
      <c r="H837" s="2"/>
    </row>
    <row r="838">
      <c r="H838" s="2"/>
    </row>
    <row r="839">
      <c r="H839" s="2"/>
    </row>
    <row r="840">
      <c r="H840" s="2"/>
    </row>
    <row r="841">
      <c r="H841" s="2"/>
    </row>
    <row r="842">
      <c r="H842" s="2"/>
    </row>
    <row r="843">
      <c r="H843" s="2"/>
    </row>
    <row r="844">
      <c r="H844" s="2"/>
    </row>
    <row r="845">
      <c r="H845" s="2"/>
    </row>
    <row r="846">
      <c r="H846" s="2"/>
    </row>
    <row r="847">
      <c r="H847" s="2"/>
    </row>
    <row r="848">
      <c r="H848" s="2"/>
    </row>
    <row r="849">
      <c r="H849" s="2"/>
    </row>
    <row r="850">
      <c r="H850" s="2"/>
    </row>
    <row r="851">
      <c r="H851" s="2"/>
    </row>
    <row r="852">
      <c r="H852" s="2"/>
    </row>
    <row r="853">
      <c r="H853" s="2"/>
    </row>
    <row r="854">
      <c r="H854" s="2"/>
    </row>
    <row r="855">
      <c r="H855" s="2"/>
    </row>
    <row r="856">
      <c r="H856" s="2"/>
    </row>
    <row r="857">
      <c r="H857" s="2"/>
    </row>
    <row r="858">
      <c r="H858" s="2"/>
    </row>
    <row r="859">
      <c r="H859" s="2"/>
    </row>
    <row r="860">
      <c r="H860" s="2"/>
    </row>
    <row r="861">
      <c r="H861" s="2"/>
    </row>
    <row r="862">
      <c r="H862" s="2"/>
    </row>
    <row r="863">
      <c r="H863" s="2"/>
    </row>
    <row r="864">
      <c r="H864" s="2"/>
    </row>
    <row r="865">
      <c r="H865" s="2"/>
    </row>
    <row r="866">
      <c r="H866" s="2"/>
    </row>
    <row r="867">
      <c r="H867" s="2"/>
    </row>
    <row r="868">
      <c r="H868" s="2"/>
    </row>
    <row r="869">
      <c r="H869" s="2"/>
    </row>
    <row r="870">
      <c r="H870" s="2"/>
    </row>
    <row r="871">
      <c r="H871" s="2"/>
    </row>
    <row r="872">
      <c r="H872" s="2"/>
    </row>
    <row r="873">
      <c r="H873" s="2"/>
    </row>
    <row r="874">
      <c r="H874" s="2"/>
    </row>
    <row r="875">
      <c r="H875" s="2"/>
    </row>
    <row r="876">
      <c r="H876" s="2"/>
    </row>
    <row r="877">
      <c r="H877" s="2"/>
    </row>
    <row r="878">
      <c r="H878" s="2"/>
    </row>
    <row r="879">
      <c r="H879" s="2"/>
    </row>
    <row r="880">
      <c r="H880" s="2"/>
    </row>
    <row r="881">
      <c r="H881" s="2"/>
    </row>
    <row r="882">
      <c r="H882" s="2"/>
    </row>
    <row r="883">
      <c r="H883" s="2"/>
    </row>
    <row r="884">
      <c r="H884" s="2"/>
    </row>
    <row r="885">
      <c r="H885" s="2"/>
    </row>
    <row r="886">
      <c r="H886" s="2"/>
    </row>
    <row r="887">
      <c r="H887" s="2"/>
    </row>
    <row r="888">
      <c r="H888" s="2"/>
    </row>
    <row r="889">
      <c r="H889" s="2"/>
    </row>
    <row r="890">
      <c r="H890" s="2"/>
    </row>
    <row r="891">
      <c r="H891" s="2"/>
    </row>
    <row r="892">
      <c r="H892" s="2"/>
    </row>
    <row r="893">
      <c r="H893" s="2"/>
    </row>
    <row r="894">
      <c r="H894" s="2"/>
    </row>
    <row r="895">
      <c r="H895" s="2"/>
    </row>
    <row r="896">
      <c r="H896" s="2"/>
    </row>
    <row r="897">
      <c r="H897" s="2"/>
    </row>
    <row r="898">
      <c r="H898" s="2"/>
    </row>
    <row r="899">
      <c r="H899" s="2"/>
    </row>
    <row r="900">
      <c r="H900" s="2"/>
    </row>
    <row r="901">
      <c r="H901" s="2"/>
    </row>
    <row r="902">
      <c r="H902" s="2"/>
    </row>
    <row r="903">
      <c r="H903" s="2"/>
    </row>
    <row r="904">
      <c r="H904" s="2"/>
    </row>
    <row r="905">
      <c r="H905" s="2"/>
    </row>
    <row r="906">
      <c r="H906" s="2"/>
    </row>
    <row r="907">
      <c r="H907" s="2"/>
    </row>
    <row r="908">
      <c r="H908" s="2"/>
    </row>
    <row r="909">
      <c r="H909" s="2"/>
    </row>
    <row r="910">
      <c r="H910" s="2"/>
    </row>
    <row r="911">
      <c r="H911" s="2"/>
    </row>
    <row r="912">
      <c r="H912" s="2"/>
    </row>
    <row r="913">
      <c r="H913" s="2"/>
    </row>
    <row r="914">
      <c r="H914" s="2"/>
    </row>
    <row r="915">
      <c r="H915" s="2"/>
    </row>
    <row r="916">
      <c r="H916" s="2"/>
    </row>
    <row r="917">
      <c r="H917" s="2"/>
    </row>
    <row r="918">
      <c r="H918" s="2"/>
    </row>
    <row r="919">
      <c r="H919" s="2"/>
    </row>
    <row r="920">
      <c r="H920" s="2"/>
    </row>
    <row r="921">
      <c r="H921" s="2"/>
    </row>
    <row r="922">
      <c r="H922" s="2"/>
    </row>
    <row r="923">
      <c r="H923" s="2"/>
    </row>
    <row r="924">
      <c r="H924" s="2"/>
    </row>
    <row r="925">
      <c r="H925" s="2"/>
    </row>
    <row r="926">
      <c r="H926" s="2"/>
    </row>
    <row r="927">
      <c r="H927" s="2"/>
    </row>
    <row r="928">
      <c r="H928" s="2"/>
    </row>
    <row r="929">
      <c r="H929" s="2"/>
    </row>
    <row r="930">
      <c r="H930" s="2"/>
    </row>
    <row r="931">
      <c r="H931" s="2"/>
    </row>
    <row r="932">
      <c r="H932" s="2"/>
    </row>
    <row r="933">
      <c r="H933" s="2"/>
    </row>
    <row r="934">
      <c r="H934" s="2"/>
    </row>
    <row r="935">
      <c r="H935" s="2"/>
    </row>
    <row r="936">
      <c r="H936" s="2"/>
    </row>
    <row r="937">
      <c r="H937" s="2"/>
    </row>
    <row r="938">
      <c r="H938" s="2"/>
    </row>
    <row r="939">
      <c r="H939" s="2"/>
    </row>
    <row r="940">
      <c r="H940" s="2"/>
    </row>
    <row r="941">
      <c r="H941" s="2"/>
    </row>
    <row r="942">
      <c r="H942" s="2"/>
    </row>
    <row r="943">
      <c r="H943" s="2"/>
    </row>
    <row r="944">
      <c r="H944" s="2"/>
    </row>
    <row r="945">
      <c r="H945" s="2"/>
    </row>
    <row r="946">
      <c r="H946" s="2"/>
    </row>
    <row r="947">
      <c r="H947" s="2"/>
    </row>
    <row r="948">
      <c r="H948" s="2"/>
    </row>
    <row r="949">
      <c r="H949" s="2"/>
    </row>
    <row r="950">
      <c r="H950" s="2"/>
    </row>
    <row r="951">
      <c r="H951" s="2"/>
    </row>
    <row r="952">
      <c r="H952" s="2"/>
    </row>
    <row r="953">
      <c r="H953" s="2"/>
    </row>
    <row r="954">
      <c r="H954" s="2"/>
    </row>
    <row r="955">
      <c r="H955" s="2"/>
    </row>
    <row r="956">
      <c r="H956" s="2"/>
    </row>
    <row r="957">
      <c r="H957" s="2"/>
    </row>
    <row r="958">
      <c r="H958" s="2"/>
    </row>
    <row r="959">
      <c r="H959" s="2"/>
    </row>
    <row r="960">
      <c r="H960" s="2"/>
    </row>
    <row r="961">
      <c r="H961" s="2"/>
    </row>
    <row r="962">
      <c r="H962" s="2"/>
    </row>
    <row r="963">
      <c r="H963" s="2"/>
    </row>
    <row r="964">
      <c r="H964" s="2"/>
    </row>
    <row r="965">
      <c r="H965" s="2"/>
    </row>
    <row r="966">
      <c r="H966" s="2"/>
    </row>
    <row r="967">
      <c r="H967" s="2"/>
    </row>
    <row r="968">
      <c r="H968" s="2"/>
    </row>
    <row r="969">
      <c r="H969" s="2"/>
    </row>
    <row r="970">
      <c r="H970" s="2"/>
    </row>
    <row r="971">
      <c r="H971" s="2"/>
    </row>
    <row r="972">
      <c r="H972" s="2"/>
    </row>
    <row r="973">
      <c r="H973" s="2"/>
    </row>
    <row r="974">
      <c r="H974" s="2"/>
    </row>
    <row r="975">
      <c r="H975" s="2"/>
    </row>
    <row r="976">
      <c r="H976" s="2"/>
    </row>
    <row r="977">
      <c r="H977" s="2"/>
    </row>
    <row r="978">
      <c r="H978" s="2"/>
    </row>
    <row r="979">
      <c r="H979" s="2"/>
    </row>
    <row r="980">
      <c r="H980" s="2"/>
    </row>
    <row r="981">
      <c r="H981" s="2"/>
    </row>
    <row r="982">
      <c r="H982" s="2"/>
    </row>
    <row r="983">
      <c r="H983" s="2"/>
    </row>
    <row r="984">
      <c r="H984" s="2"/>
    </row>
    <row r="985">
      <c r="H985" s="2"/>
    </row>
    <row r="986">
      <c r="H986" s="2"/>
    </row>
    <row r="987">
      <c r="H987" s="2"/>
    </row>
    <row r="988">
      <c r="H988" s="2"/>
    </row>
    <row r="989">
      <c r="H989" s="2"/>
    </row>
    <row r="990">
      <c r="H990" s="2"/>
    </row>
    <row r="991">
      <c r="H991" s="2"/>
    </row>
    <row r="992">
      <c r="H992" s="2"/>
    </row>
    <row r="993">
      <c r="H993" s="2"/>
    </row>
    <row r="994">
      <c r="H994" s="2"/>
    </row>
    <row r="995">
      <c r="H995" s="2"/>
    </row>
    <row r="996">
      <c r="H996" s="2"/>
    </row>
    <row r="997">
      <c r="H997" s="2"/>
    </row>
    <row r="998">
      <c r="H998" s="2"/>
    </row>
    <row r="999">
      <c r="H999" s="2"/>
    </row>
    <row r="1000">
      <c r="H1000" s="2"/>
    </row>
    <row r="1001">
      <c r="H1001" s="2"/>
    </row>
    <row r="1002">
      <c r="H1002" s="2"/>
    </row>
    <row r="1003">
      <c r="H1003" s="2"/>
    </row>
    <row r="1004">
      <c r="H1004" s="2"/>
    </row>
    <row r="1005">
      <c r="H1005" s="2"/>
    </row>
    <row r="1006">
      <c r="H1006" s="2"/>
    </row>
    <row r="1007">
      <c r="H1007" s="2"/>
    </row>
    <row r="1008">
      <c r="H1008" s="2"/>
    </row>
    <row r="1009">
      <c r="H1009" s="2"/>
    </row>
    <row r="1010">
      <c r="H1010" s="2"/>
    </row>
    <row r="1011">
      <c r="H1011" s="2"/>
    </row>
    <row r="1012">
      <c r="H1012" s="2"/>
    </row>
    <row r="1013">
      <c r="H1013" s="2"/>
    </row>
    <row r="1014">
      <c r="H1014" s="2"/>
    </row>
    <row r="1015">
      <c r="H1015" s="2"/>
    </row>
    <row r="1016">
      <c r="H1016" s="2"/>
    </row>
    <row r="1017">
      <c r="H1017" s="2"/>
    </row>
    <row r="1018">
      <c r="H1018" s="2"/>
    </row>
    <row r="1019">
      <c r="H1019" s="2"/>
    </row>
  </sheetData>
  <mergeCells count="84">
    <mergeCell ref="C29:D29"/>
    <mergeCell ref="C30:D30"/>
    <mergeCell ref="C31:D31"/>
    <mergeCell ref="C32:D32"/>
    <mergeCell ref="C33:D33"/>
    <mergeCell ref="C34:D34"/>
    <mergeCell ref="C35:D35"/>
    <mergeCell ref="C43:D43"/>
    <mergeCell ref="C44:D44"/>
    <mergeCell ref="C36:D36"/>
    <mergeCell ref="C37:D37"/>
    <mergeCell ref="C38:D38"/>
    <mergeCell ref="C39:D39"/>
    <mergeCell ref="C40:D40"/>
    <mergeCell ref="C41:D41"/>
    <mergeCell ref="C42:D42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B1:B6"/>
    <mergeCell ref="C2:H2"/>
    <mergeCell ref="C3:H3"/>
    <mergeCell ref="C4:H4"/>
    <mergeCell ref="C9:D9"/>
    <mergeCell ref="C11:D11"/>
    <mergeCell ref="E11:G11"/>
    <mergeCell ref="C12:D12"/>
    <mergeCell ref="E12:G12"/>
    <mergeCell ref="C13:D13"/>
    <mergeCell ref="E13:G13"/>
    <mergeCell ref="C14:D14"/>
    <mergeCell ref="E14:G14"/>
    <mergeCell ref="E15:G15"/>
    <mergeCell ref="C15:D15"/>
    <mergeCell ref="C16:D16"/>
    <mergeCell ref="C17:D17"/>
    <mergeCell ref="C18:D18"/>
    <mergeCell ref="C19:D19"/>
    <mergeCell ref="C20:D20"/>
    <mergeCell ref="C21:D21"/>
    <mergeCell ref="E16:G16"/>
    <mergeCell ref="E17:G17"/>
    <mergeCell ref="E18:G18"/>
    <mergeCell ref="E19:G19"/>
    <mergeCell ref="E20:G20"/>
    <mergeCell ref="E21:G21"/>
    <mergeCell ref="E22:G22"/>
    <mergeCell ref="C22:D22"/>
    <mergeCell ref="C23:D23"/>
    <mergeCell ref="C24:D24"/>
    <mergeCell ref="C25:D25"/>
    <mergeCell ref="C26:D26"/>
    <mergeCell ref="C27:D27"/>
    <mergeCell ref="C28:D28"/>
    <mergeCell ref="E23:G23"/>
    <mergeCell ref="E24:G24"/>
    <mergeCell ref="E25:G25"/>
    <mergeCell ref="E26:G26"/>
    <mergeCell ref="E27:G27"/>
    <mergeCell ref="E28:G28"/>
    <mergeCell ref="E29:G29"/>
    <mergeCell ref="B52:C52"/>
    <mergeCell ref="B53:C53"/>
    <mergeCell ref="B54:C54"/>
    <mergeCell ref="D58:E58"/>
    <mergeCell ref="H59:I59"/>
    <mergeCell ref="E44:G44"/>
    <mergeCell ref="B46:D46"/>
    <mergeCell ref="B47:C47"/>
    <mergeCell ref="B48:C48"/>
    <mergeCell ref="B49:C49"/>
    <mergeCell ref="B50:C50"/>
    <mergeCell ref="B51:C51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75"/>
    <col customWidth="1" min="2" max="2" width="17.75"/>
    <col customWidth="1" min="3" max="3" width="16.63"/>
    <col customWidth="1" min="5" max="5" width="14.5"/>
    <col customWidth="1" min="6" max="6" width="14.88"/>
    <col customWidth="1" min="9" max="9" width="14.63"/>
    <col customWidth="1" min="10" max="10" width="14.88"/>
    <col customWidth="1" min="11" max="11" width="17.38"/>
    <col customWidth="1" min="12" max="12" width="18.0"/>
  </cols>
  <sheetData>
    <row r="1">
      <c r="A1" s="42" t="s">
        <v>0</v>
      </c>
    </row>
    <row r="2">
      <c r="A2" s="276" t="s">
        <v>1914</v>
      </c>
      <c r="E2" s="277" t="s">
        <v>1915</v>
      </c>
      <c r="F2" s="99">
        <v>4077.0</v>
      </c>
    </row>
    <row r="3" ht="30.0" customHeight="1">
      <c r="A3" s="278" t="s">
        <v>1237</v>
      </c>
      <c r="B3" s="278" t="s">
        <v>1916</v>
      </c>
      <c r="C3" s="8"/>
      <c r="D3" s="47"/>
      <c r="E3" s="277" t="s">
        <v>1917</v>
      </c>
      <c r="F3" s="99">
        <v>453.0</v>
      </c>
    </row>
    <row r="4">
      <c r="A4" s="152"/>
      <c r="B4" s="99" t="s">
        <v>1918</v>
      </c>
      <c r="C4" s="279"/>
      <c r="D4" s="279"/>
    </row>
    <row r="5">
      <c r="A5" s="280" t="s">
        <v>1919</v>
      </c>
      <c r="B5" s="281" t="s">
        <v>1920</v>
      </c>
    </row>
    <row r="6">
      <c r="A6" s="227" t="s">
        <v>1921</v>
      </c>
      <c r="B6" s="99" t="s">
        <v>1922</v>
      </c>
    </row>
    <row r="7">
      <c r="A7" s="280" t="s">
        <v>1923</v>
      </c>
      <c r="B7" s="281" t="s">
        <v>1924</v>
      </c>
    </row>
    <row r="8">
      <c r="A8" s="227" t="s">
        <v>1925</v>
      </c>
      <c r="B8" s="99" t="s">
        <v>1926</v>
      </c>
    </row>
    <row r="9">
      <c r="A9" s="280" t="s">
        <v>1927</v>
      </c>
      <c r="B9" s="281" t="s">
        <v>1928</v>
      </c>
    </row>
    <row r="10">
      <c r="A10" s="227" t="s">
        <v>1929</v>
      </c>
      <c r="B10" s="99">
        <v>700.0</v>
      </c>
    </row>
    <row r="11">
      <c r="A11" s="280" t="s">
        <v>1930</v>
      </c>
      <c r="B11" s="281" t="s">
        <v>1931</v>
      </c>
    </row>
    <row r="12">
      <c r="A12" s="227" t="s">
        <v>1932</v>
      </c>
      <c r="B12" s="99" t="s">
        <v>1933</v>
      </c>
    </row>
    <row r="13">
      <c r="A13" s="280" t="s">
        <v>1934</v>
      </c>
      <c r="B13" s="281" t="s">
        <v>1935</v>
      </c>
    </row>
    <row r="14">
      <c r="A14" s="227" t="s">
        <v>1936</v>
      </c>
      <c r="B14" s="99" t="s">
        <v>1935</v>
      </c>
    </row>
    <row r="16">
      <c r="A16" s="282" t="s">
        <v>1937</v>
      </c>
      <c r="B16" s="283"/>
      <c r="C16" s="138" t="s">
        <v>1938</v>
      </c>
      <c r="I16" s="138" t="s">
        <v>1939</v>
      </c>
    </row>
    <row r="17">
      <c r="A17" s="278" t="s">
        <v>1237</v>
      </c>
      <c r="B17" s="284" t="s">
        <v>1940</v>
      </c>
      <c r="C17" s="143" t="s">
        <v>1917</v>
      </c>
      <c r="D17" s="143" t="s">
        <v>1941</v>
      </c>
      <c r="E17" s="143" t="s">
        <v>1942</v>
      </c>
      <c r="F17" s="285" t="s">
        <v>1567</v>
      </c>
      <c r="G17" s="143" t="s">
        <v>1943</v>
      </c>
      <c r="I17" s="143" t="s">
        <v>1917</v>
      </c>
      <c r="J17" s="286" t="s">
        <v>1944</v>
      </c>
      <c r="K17" s="143" t="s">
        <v>1945</v>
      </c>
      <c r="L17" s="285" t="s">
        <v>1567</v>
      </c>
      <c r="M17" s="143" t="s">
        <v>1943</v>
      </c>
    </row>
    <row r="18">
      <c r="A18" s="98" t="s">
        <v>1946</v>
      </c>
      <c r="B18" s="35">
        <v>699.0</v>
      </c>
      <c r="C18" s="42">
        <v>453.0</v>
      </c>
      <c r="D18" s="287">
        <f t="shared" ref="D18:D25" si="1">B18*0.05</f>
        <v>34.95</v>
      </c>
      <c r="E18" s="42">
        <v>141.15</v>
      </c>
      <c r="F18" s="42">
        <f>B18*0.1</f>
        <v>69.9</v>
      </c>
      <c r="G18" s="287">
        <f t="shared" ref="G18:G25" si="2">SUM(C18:F18)</f>
        <v>699</v>
      </c>
      <c r="I18" s="42">
        <v>453.0</v>
      </c>
      <c r="J18" s="42">
        <v>60.0</v>
      </c>
      <c r="K18" s="42">
        <v>116.1</v>
      </c>
      <c r="L18" s="42">
        <f>B18*0.1</f>
        <v>69.9</v>
      </c>
      <c r="M18" s="287">
        <f t="shared" ref="M18:M25" si="3">SUM(I18:L18)</f>
        <v>699</v>
      </c>
    </row>
    <row r="19">
      <c r="A19" s="98" t="s">
        <v>1334</v>
      </c>
      <c r="B19" s="99">
        <v>799.0</v>
      </c>
      <c r="C19" s="42">
        <v>453.0</v>
      </c>
      <c r="D19" s="287">
        <f t="shared" si="1"/>
        <v>39.95</v>
      </c>
      <c r="E19" s="42">
        <v>223.0</v>
      </c>
      <c r="F19" s="42">
        <v>80.0</v>
      </c>
      <c r="G19" s="287">
        <f t="shared" si="2"/>
        <v>795.95</v>
      </c>
      <c r="I19" s="42">
        <v>453.0</v>
      </c>
      <c r="J19" s="42">
        <v>100.0</v>
      </c>
      <c r="K19" s="42">
        <v>166.0</v>
      </c>
      <c r="L19" s="42">
        <v>80.0</v>
      </c>
      <c r="M19" s="287">
        <f t="shared" si="3"/>
        <v>799</v>
      </c>
    </row>
    <row r="20">
      <c r="A20" s="98" t="s">
        <v>1335</v>
      </c>
      <c r="B20" s="98">
        <v>949.0</v>
      </c>
      <c r="C20" s="42">
        <v>453.0</v>
      </c>
      <c r="D20" s="287">
        <f t="shared" si="1"/>
        <v>47.45</v>
      </c>
      <c r="E20" s="42">
        <v>353.0</v>
      </c>
      <c r="F20" s="287">
        <f t="shared" ref="F20:F25" si="4">B20*0.1</f>
        <v>94.9</v>
      </c>
      <c r="G20" s="287">
        <f t="shared" si="2"/>
        <v>948.35</v>
      </c>
      <c r="I20" s="42">
        <v>453.0</v>
      </c>
      <c r="J20" s="288">
        <v>120.0</v>
      </c>
      <c r="K20" s="42">
        <v>281.1</v>
      </c>
      <c r="L20" s="287">
        <f t="shared" ref="L20:L25" si="5">B20*0.1</f>
        <v>94.9</v>
      </c>
      <c r="M20" s="287">
        <f t="shared" si="3"/>
        <v>949</v>
      </c>
    </row>
    <row r="21">
      <c r="A21" s="98" t="s">
        <v>1336</v>
      </c>
      <c r="B21" s="98">
        <v>1149.0</v>
      </c>
      <c r="C21" s="42">
        <v>453.0</v>
      </c>
      <c r="D21" s="287">
        <f t="shared" si="1"/>
        <v>57.45</v>
      </c>
      <c r="E21" s="42">
        <v>523.65</v>
      </c>
      <c r="F21" s="287">
        <f t="shared" si="4"/>
        <v>114.9</v>
      </c>
      <c r="G21" s="287">
        <f t="shared" si="2"/>
        <v>1149</v>
      </c>
      <c r="I21" s="42">
        <v>453.0</v>
      </c>
      <c r="J21" s="288">
        <v>150.0</v>
      </c>
      <c r="K21" s="42">
        <v>431.1</v>
      </c>
      <c r="L21" s="287">
        <f t="shared" si="5"/>
        <v>114.9</v>
      </c>
      <c r="M21" s="287">
        <f t="shared" si="3"/>
        <v>1149</v>
      </c>
    </row>
    <row r="22">
      <c r="A22" s="98" t="s">
        <v>1338</v>
      </c>
      <c r="B22" s="99">
        <v>490.0</v>
      </c>
      <c r="C22" s="42">
        <v>453.0</v>
      </c>
      <c r="D22" s="287">
        <f t="shared" si="1"/>
        <v>24.5</v>
      </c>
      <c r="E22" s="289" t="s">
        <v>1947</v>
      </c>
      <c r="F22" s="287">
        <f t="shared" si="4"/>
        <v>49</v>
      </c>
      <c r="G22" s="287">
        <f t="shared" si="2"/>
        <v>526.5</v>
      </c>
      <c r="I22" s="42">
        <v>453.0</v>
      </c>
      <c r="J22" s="290">
        <v>100.0</v>
      </c>
      <c r="K22" s="291">
        <v>-112.0</v>
      </c>
      <c r="L22" s="287">
        <f t="shared" si="5"/>
        <v>49</v>
      </c>
      <c r="M22" s="287">
        <f t="shared" si="3"/>
        <v>490</v>
      </c>
    </row>
    <row r="23">
      <c r="A23" s="98" t="s">
        <v>1340</v>
      </c>
      <c r="B23" s="99">
        <v>749.0</v>
      </c>
      <c r="C23" s="42">
        <v>453.0</v>
      </c>
      <c r="D23" s="287">
        <f t="shared" si="1"/>
        <v>37.45</v>
      </c>
      <c r="E23" s="42">
        <v>183.65</v>
      </c>
      <c r="F23" s="287">
        <f t="shared" si="4"/>
        <v>74.9</v>
      </c>
      <c r="G23" s="287">
        <f t="shared" si="2"/>
        <v>749</v>
      </c>
      <c r="I23" s="42">
        <v>453.0</v>
      </c>
      <c r="J23" s="290">
        <v>170.0</v>
      </c>
      <c r="K23" s="42">
        <v>51.1</v>
      </c>
      <c r="L23" s="287">
        <f t="shared" si="5"/>
        <v>74.9</v>
      </c>
      <c r="M23" s="287">
        <f t="shared" si="3"/>
        <v>749</v>
      </c>
    </row>
    <row r="24">
      <c r="A24" s="107" t="s">
        <v>1343</v>
      </c>
      <c r="B24" s="99">
        <v>890.0</v>
      </c>
      <c r="C24" s="42">
        <v>453.0</v>
      </c>
      <c r="D24" s="287">
        <f t="shared" si="1"/>
        <v>44.5</v>
      </c>
      <c r="E24" s="42">
        <v>303.5</v>
      </c>
      <c r="F24" s="287">
        <f t="shared" si="4"/>
        <v>89</v>
      </c>
      <c r="G24" s="287">
        <f t="shared" si="2"/>
        <v>890</v>
      </c>
      <c r="I24" s="42">
        <v>453.0</v>
      </c>
      <c r="J24" s="290">
        <v>200.0</v>
      </c>
      <c r="K24" s="42">
        <v>148.0</v>
      </c>
      <c r="L24" s="287">
        <f t="shared" si="5"/>
        <v>89</v>
      </c>
      <c r="M24" s="287">
        <f t="shared" si="3"/>
        <v>890</v>
      </c>
    </row>
    <row r="25">
      <c r="A25" s="98" t="s">
        <v>1344</v>
      </c>
      <c r="B25" s="99">
        <v>690.0</v>
      </c>
      <c r="C25" s="42">
        <v>453.0</v>
      </c>
      <c r="D25" s="287">
        <f t="shared" si="1"/>
        <v>34.5</v>
      </c>
      <c r="E25" s="42">
        <v>133.5</v>
      </c>
      <c r="F25" s="287">
        <f t="shared" si="4"/>
        <v>69</v>
      </c>
      <c r="G25" s="287">
        <f t="shared" si="2"/>
        <v>690</v>
      </c>
      <c r="I25" s="42">
        <v>453.0</v>
      </c>
      <c r="J25" s="290">
        <v>100.0</v>
      </c>
      <c r="K25" s="42">
        <v>68.0</v>
      </c>
      <c r="L25" s="287">
        <f t="shared" si="5"/>
        <v>69</v>
      </c>
      <c r="M25" s="287">
        <f t="shared" si="3"/>
        <v>690</v>
      </c>
    </row>
    <row r="26">
      <c r="A26" s="99" t="s">
        <v>1948</v>
      </c>
      <c r="B26" s="99">
        <v>950.0</v>
      </c>
    </row>
  </sheetData>
  <mergeCells count="3">
    <mergeCell ref="A2:B2"/>
    <mergeCell ref="C16:G16"/>
    <mergeCell ref="I16:M16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58"/>
    </row>
    <row r="2">
      <c r="A2" s="278" t="s">
        <v>1237</v>
      </c>
      <c r="B2" s="284" t="s">
        <v>1940</v>
      </c>
    </row>
    <row r="3">
      <c r="A3" s="135" t="s">
        <v>1949</v>
      </c>
      <c r="B3" s="99">
        <v>60000.0</v>
      </c>
    </row>
    <row r="4">
      <c r="A4" s="135" t="s">
        <v>1950</v>
      </c>
      <c r="B4" s="99">
        <v>10000.0</v>
      </c>
    </row>
    <row r="5">
      <c r="A5" s="135" t="s">
        <v>1951</v>
      </c>
      <c r="B5" s="99">
        <v>1400.0</v>
      </c>
    </row>
    <row r="6">
      <c r="A6" s="135" t="s">
        <v>1952</v>
      </c>
      <c r="B6" s="99">
        <v>30000.0</v>
      </c>
    </row>
    <row r="7">
      <c r="A7" s="135" t="s">
        <v>1953</v>
      </c>
      <c r="B7" s="99">
        <v>25000.0</v>
      </c>
    </row>
    <row r="8">
      <c r="A8" s="135" t="s">
        <v>1954</v>
      </c>
      <c r="B8" s="99">
        <v>6000.0</v>
      </c>
    </row>
    <row r="9">
      <c r="A9" s="292" t="s">
        <v>1337</v>
      </c>
      <c r="B9" s="293">
        <f>SUM(B3:B8)</f>
        <v>132400</v>
      </c>
    </row>
    <row r="10">
      <c r="A10" s="58"/>
    </row>
    <row r="11">
      <c r="A11" s="1" t="s">
        <v>1915</v>
      </c>
      <c r="B11" s="35">
        <f>B9/30</f>
        <v>4413.333333</v>
      </c>
    </row>
    <row r="12">
      <c r="A12" s="1" t="s">
        <v>1917</v>
      </c>
      <c r="B12" s="35">
        <f>B11/9</f>
        <v>490.3703704</v>
      </c>
    </row>
    <row r="13">
      <c r="A13" s="58"/>
    </row>
    <row r="14">
      <c r="A14" s="58"/>
    </row>
    <row r="15">
      <c r="A15" s="58"/>
    </row>
    <row r="16">
      <c r="A16" s="278" t="s">
        <v>1237</v>
      </c>
      <c r="B16" s="284" t="s">
        <v>1940</v>
      </c>
    </row>
    <row r="17">
      <c r="A17" s="135" t="s">
        <v>1949</v>
      </c>
      <c r="B17" s="99">
        <v>60000.0</v>
      </c>
    </row>
    <row r="18">
      <c r="A18" s="135" t="s">
        <v>1950</v>
      </c>
      <c r="B18" s="99">
        <v>10000.0</v>
      </c>
    </row>
    <row r="19">
      <c r="A19" s="135" t="s">
        <v>1951</v>
      </c>
      <c r="B19" s="99">
        <v>1400.0</v>
      </c>
    </row>
    <row r="20">
      <c r="A20" s="135" t="s">
        <v>1952</v>
      </c>
      <c r="B20" s="99">
        <v>30000.0</v>
      </c>
    </row>
    <row r="21">
      <c r="A21" s="135" t="s">
        <v>1953</v>
      </c>
      <c r="B21" s="99">
        <v>25000.0</v>
      </c>
    </row>
    <row r="22">
      <c r="A22" s="135" t="s">
        <v>1955</v>
      </c>
      <c r="B22" s="99">
        <v>40000.0</v>
      </c>
    </row>
    <row r="23">
      <c r="A23" s="292" t="s">
        <v>1337</v>
      </c>
      <c r="B23" s="293">
        <f>SUM(B17:B22)</f>
        <v>166400</v>
      </c>
    </row>
    <row r="24">
      <c r="A24" s="58"/>
    </row>
    <row r="25">
      <c r="A25" s="1" t="s">
        <v>1915</v>
      </c>
      <c r="B25" s="35">
        <f>B23/30</f>
        <v>5546.666667</v>
      </c>
    </row>
    <row r="26">
      <c r="A26" s="1" t="s">
        <v>1917</v>
      </c>
      <c r="B26" s="35">
        <f>B25/9</f>
        <v>616.2962963</v>
      </c>
    </row>
    <row r="27">
      <c r="A27" s="58"/>
    </row>
    <row r="28">
      <c r="A28" s="58"/>
    </row>
    <row r="29">
      <c r="A29" s="58"/>
    </row>
    <row r="30">
      <c r="A30" s="58"/>
    </row>
    <row r="31">
      <c r="A31" s="58"/>
    </row>
    <row r="32">
      <c r="A32" s="58"/>
    </row>
    <row r="33">
      <c r="A33" s="58"/>
    </row>
    <row r="34">
      <c r="A34" s="58"/>
    </row>
    <row r="35">
      <c r="A35" s="58"/>
    </row>
    <row r="36">
      <c r="A36" s="58"/>
    </row>
    <row r="37">
      <c r="A37" s="58"/>
    </row>
    <row r="38">
      <c r="A38" s="58"/>
    </row>
    <row r="39">
      <c r="A39" s="58"/>
    </row>
    <row r="40">
      <c r="A40" s="58"/>
    </row>
    <row r="41">
      <c r="A41" s="58"/>
    </row>
    <row r="42">
      <c r="A42" s="58"/>
    </row>
    <row r="43">
      <c r="A43" s="58"/>
    </row>
    <row r="44">
      <c r="A44" s="58"/>
    </row>
    <row r="45">
      <c r="A45" s="58"/>
    </row>
    <row r="46">
      <c r="A46" s="58"/>
    </row>
    <row r="47">
      <c r="A47" s="58"/>
    </row>
    <row r="48">
      <c r="A48" s="58"/>
    </row>
    <row r="49">
      <c r="A49" s="58"/>
    </row>
    <row r="50">
      <c r="A50" s="58"/>
    </row>
    <row r="51">
      <c r="A51" s="58"/>
    </row>
    <row r="52">
      <c r="A52" s="58"/>
    </row>
    <row r="53">
      <c r="A53" s="58"/>
    </row>
    <row r="54">
      <c r="A54" s="58"/>
    </row>
    <row r="55">
      <c r="A55" s="58"/>
    </row>
    <row r="56">
      <c r="A56" s="58"/>
    </row>
    <row r="57">
      <c r="A57" s="58"/>
    </row>
    <row r="58">
      <c r="A58" s="58"/>
    </row>
    <row r="59">
      <c r="A59" s="58"/>
    </row>
    <row r="60">
      <c r="A60" s="58"/>
    </row>
    <row r="61">
      <c r="A61" s="58"/>
    </row>
    <row r="62">
      <c r="A62" s="58"/>
    </row>
    <row r="63">
      <c r="A63" s="58"/>
    </row>
    <row r="64">
      <c r="A64" s="58"/>
    </row>
    <row r="65">
      <c r="A65" s="58"/>
    </row>
    <row r="66">
      <c r="A66" s="58"/>
    </row>
    <row r="67">
      <c r="A67" s="58"/>
    </row>
    <row r="68">
      <c r="A68" s="58"/>
    </row>
    <row r="69">
      <c r="A69" s="58"/>
    </row>
    <row r="70">
      <c r="A70" s="58"/>
    </row>
    <row r="71">
      <c r="A71" s="58"/>
    </row>
    <row r="72">
      <c r="A72" s="58"/>
    </row>
    <row r="73">
      <c r="A73" s="58"/>
    </row>
    <row r="74">
      <c r="A74" s="58"/>
    </row>
    <row r="75">
      <c r="A75" s="58"/>
    </row>
    <row r="76">
      <c r="A76" s="58"/>
    </row>
    <row r="77">
      <c r="A77" s="58"/>
    </row>
    <row r="78">
      <c r="A78" s="58"/>
    </row>
    <row r="79">
      <c r="A79" s="58"/>
    </row>
    <row r="80">
      <c r="A80" s="58"/>
    </row>
    <row r="81">
      <c r="A81" s="58"/>
    </row>
    <row r="82">
      <c r="A82" s="58"/>
    </row>
    <row r="83">
      <c r="A83" s="58"/>
    </row>
    <row r="84">
      <c r="A84" s="58"/>
    </row>
    <row r="85">
      <c r="A85" s="58"/>
    </row>
    <row r="86">
      <c r="A86" s="58"/>
    </row>
    <row r="87">
      <c r="A87" s="58"/>
    </row>
    <row r="88">
      <c r="A88" s="58"/>
    </row>
    <row r="89">
      <c r="A89" s="58"/>
    </row>
    <row r="90">
      <c r="A90" s="58"/>
    </row>
    <row r="91">
      <c r="A91" s="58"/>
    </row>
    <row r="92">
      <c r="A92" s="58"/>
    </row>
    <row r="93">
      <c r="A93" s="58"/>
    </row>
    <row r="94">
      <c r="A94" s="58"/>
    </row>
    <row r="95">
      <c r="A95" s="58"/>
    </row>
    <row r="96">
      <c r="A96" s="58"/>
    </row>
    <row r="97">
      <c r="A97" s="58"/>
    </row>
    <row r="98">
      <c r="A98" s="58"/>
    </row>
    <row r="99">
      <c r="A99" s="58"/>
    </row>
    <row r="100">
      <c r="A100" s="58"/>
    </row>
    <row r="101">
      <c r="A101" s="58"/>
    </row>
    <row r="102">
      <c r="A102" s="58"/>
    </row>
    <row r="103">
      <c r="A103" s="58"/>
    </row>
    <row r="104">
      <c r="A104" s="58"/>
    </row>
    <row r="105">
      <c r="A105" s="58"/>
    </row>
    <row r="106">
      <c r="A106" s="58"/>
    </row>
    <row r="107">
      <c r="A107" s="58"/>
    </row>
    <row r="108">
      <c r="A108" s="58"/>
    </row>
    <row r="109">
      <c r="A109" s="58"/>
    </row>
    <row r="110">
      <c r="A110" s="58"/>
    </row>
    <row r="111">
      <c r="A111" s="58"/>
    </row>
    <row r="112">
      <c r="A112" s="58"/>
    </row>
    <row r="113">
      <c r="A113" s="58"/>
    </row>
    <row r="114">
      <c r="A114" s="58"/>
    </row>
    <row r="115">
      <c r="A115" s="58"/>
    </row>
    <row r="116">
      <c r="A116" s="58"/>
    </row>
    <row r="117">
      <c r="A117" s="58"/>
    </row>
    <row r="118">
      <c r="A118" s="58"/>
    </row>
    <row r="119">
      <c r="A119" s="58"/>
    </row>
    <row r="120">
      <c r="A120" s="58"/>
    </row>
    <row r="121">
      <c r="A121" s="58"/>
    </row>
    <row r="122">
      <c r="A122" s="58"/>
    </row>
    <row r="123">
      <c r="A123" s="58"/>
    </row>
    <row r="124">
      <c r="A124" s="58"/>
    </row>
    <row r="125">
      <c r="A125" s="58"/>
    </row>
    <row r="126">
      <c r="A126" s="58"/>
    </row>
    <row r="127">
      <c r="A127" s="58"/>
    </row>
    <row r="128">
      <c r="A128" s="58"/>
    </row>
    <row r="129">
      <c r="A129" s="58"/>
    </row>
    <row r="130">
      <c r="A130" s="58"/>
    </row>
    <row r="131">
      <c r="A131" s="58"/>
    </row>
    <row r="132">
      <c r="A132" s="58"/>
    </row>
    <row r="133">
      <c r="A133" s="58"/>
    </row>
    <row r="134">
      <c r="A134" s="58"/>
    </row>
    <row r="135">
      <c r="A135" s="58"/>
    </row>
    <row r="136">
      <c r="A136" s="58"/>
    </row>
    <row r="137">
      <c r="A137" s="58"/>
    </row>
    <row r="138">
      <c r="A138" s="58"/>
    </row>
    <row r="139">
      <c r="A139" s="58"/>
    </row>
    <row r="140">
      <c r="A140" s="58"/>
    </row>
    <row r="141">
      <c r="A141" s="58"/>
    </row>
    <row r="142">
      <c r="A142" s="58"/>
    </row>
    <row r="143">
      <c r="A143" s="58"/>
    </row>
    <row r="144">
      <c r="A144" s="58"/>
    </row>
    <row r="145">
      <c r="A145" s="58"/>
    </row>
    <row r="146">
      <c r="A146" s="58"/>
    </row>
    <row r="147">
      <c r="A147" s="58"/>
    </row>
    <row r="148">
      <c r="A148" s="58"/>
    </row>
    <row r="149">
      <c r="A149" s="58"/>
    </row>
    <row r="150">
      <c r="A150" s="58"/>
    </row>
    <row r="151">
      <c r="A151" s="58"/>
    </row>
    <row r="152">
      <c r="A152" s="58"/>
    </row>
    <row r="153">
      <c r="A153" s="58"/>
    </row>
    <row r="154">
      <c r="A154" s="58"/>
    </row>
    <row r="155">
      <c r="A155" s="58"/>
    </row>
    <row r="156">
      <c r="A156" s="58"/>
    </row>
    <row r="157">
      <c r="A157" s="58"/>
    </row>
    <row r="158">
      <c r="A158" s="58"/>
    </row>
    <row r="159">
      <c r="A159" s="58"/>
    </row>
    <row r="160">
      <c r="A160" s="58"/>
    </row>
    <row r="161">
      <c r="A161" s="58"/>
    </row>
    <row r="162">
      <c r="A162" s="58"/>
    </row>
    <row r="163">
      <c r="A163" s="58"/>
    </row>
    <row r="164">
      <c r="A164" s="58"/>
    </row>
    <row r="165">
      <c r="A165" s="58"/>
    </row>
    <row r="166">
      <c r="A166" s="58"/>
    </row>
    <row r="167">
      <c r="A167" s="58"/>
    </row>
    <row r="168">
      <c r="A168" s="58"/>
    </row>
    <row r="169">
      <c r="A169" s="58"/>
    </row>
    <row r="170">
      <c r="A170" s="58"/>
    </row>
    <row r="171">
      <c r="A171" s="58"/>
    </row>
    <row r="172">
      <c r="A172" s="58"/>
    </row>
    <row r="173">
      <c r="A173" s="58"/>
    </row>
    <row r="174">
      <c r="A174" s="58"/>
    </row>
    <row r="175">
      <c r="A175" s="58"/>
    </row>
    <row r="176">
      <c r="A176" s="58"/>
    </row>
    <row r="177">
      <c r="A177" s="58"/>
    </row>
    <row r="178">
      <c r="A178" s="58"/>
    </row>
    <row r="179">
      <c r="A179" s="58"/>
    </row>
    <row r="180">
      <c r="A180" s="58"/>
    </row>
    <row r="181">
      <c r="A181" s="58"/>
    </row>
    <row r="182">
      <c r="A182" s="58"/>
    </row>
    <row r="183">
      <c r="A183" s="58"/>
    </row>
    <row r="184">
      <c r="A184" s="58"/>
    </row>
    <row r="185">
      <c r="A185" s="58"/>
    </row>
    <row r="186">
      <c r="A186" s="58"/>
    </row>
    <row r="187">
      <c r="A187" s="58"/>
    </row>
    <row r="188">
      <c r="A188" s="58"/>
    </row>
    <row r="189">
      <c r="A189" s="58"/>
    </row>
    <row r="190">
      <c r="A190" s="58"/>
    </row>
    <row r="191">
      <c r="A191" s="58"/>
    </row>
    <row r="192">
      <c r="A192" s="58"/>
    </row>
    <row r="193">
      <c r="A193" s="58"/>
    </row>
    <row r="194">
      <c r="A194" s="58"/>
    </row>
    <row r="195">
      <c r="A195" s="58"/>
    </row>
    <row r="196">
      <c r="A196" s="58"/>
    </row>
    <row r="197">
      <c r="A197" s="58"/>
    </row>
    <row r="198">
      <c r="A198" s="58"/>
    </row>
    <row r="199">
      <c r="A199" s="58"/>
    </row>
    <row r="200">
      <c r="A200" s="58"/>
    </row>
    <row r="201">
      <c r="A201" s="58"/>
    </row>
    <row r="202">
      <c r="A202" s="58"/>
    </row>
    <row r="203">
      <c r="A203" s="58"/>
    </row>
    <row r="204">
      <c r="A204" s="58"/>
    </row>
    <row r="205">
      <c r="A205" s="58"/>
    </row>
    <row r="206">
      <c r="A206" s="58"/>
    </row>
    <row r="207">
      <c r="A207" s="58"/>
    </row>
    <row r="208">
      <c r="A208" s="58"/>
    </row>
    <row r="209">
      <c r="A209" s="58"/>
    </row>
    <row r="210">
      <c r="A210" s="58"/>
    </row>
    <row r="211">
      <c r="A211" s="58"/>
    </row>
    <row r="212">
      <c r="A212" s="58"/>
    </row>
    <row r="213">
      <c r="A213" s="58"/>
    </row>
    <row r="214">
      <c r="A214" s="58"/>
    </row>
    <row r="215">
      <c r="A215" s="58"/>
    </row>
    <row r="216">
      <c r="A216" s="58"/>
    </row>
    <row r="217">
      <c r="A217" s="58"/>
    </row>
    <row r="218">
      <c r="A218" s="58"/>
    </row>
    <row r="219">
      <c r="A219" s="58"/>
    </row>
    <row r="220">
      <c r="A220" s="58"/>
    </row>
    <row r="221">
      <c r="A221" s="58"/>
    </row>
    <row r="222">
      <c r="A222" s="58"/>
    </row>
    <row r="223">
      <c r="A223" s="58"/>
    </row>
    <row r="224">
      <c r="A224" s="58"/>
    </row>
    <row r="225">
      <c r="A225" s="58"/>
    </row>
    <row r="226">
      <c r="A226" s="58"/>
    </row>
    <row r="227">
      <c r="A227" s="58"/>
    </row>
    <row r="228">
      <c r="A228" s="58"/>
    </row>
    <row r="229">
      <c r="A229" s="58"/>
    </row>
    <row r="230">
      <c r="A230" s="58"/>
    </row>
    <row r="231">
      <c r="A231" s="58"/>
    </row>
    <row r="232">
      <c r="A232" s="58"/>
    </row>
    <row r="233">
      <c r="A233" s="58"/>
    </row>
    <row r="234">
      <c r="A234" s="58"/>
    </row>
    <row r="235">
      <c r="A235" s="58"/>
    </row>
    <row r="236">
      <c r="A236" s="58"/>
    </row>
    <row r="237">
      <c r="A237" s="58"/>
    </row>
    <row r="238">
      <c r="A238" s="58"/>
    </row>
    <row r="239">
      <c r="A239" s="58"/>
    </row>
    <row r="240">
      <c r="A240" s="58"/>
    </row>
    <row r="241">
      <c r="A241" s="58"/>
    </row>
    <row r="242">
      <c r="A242" s="58"/>
    </row>
    <row r="243">
      <c r="A243" s="58"/>
    </row>
    <row r="244">
      <c r="A244" s="58"/>
    </row>
    <row r="245">
      <c r="A245" s="58"/>
    </row>
    <row r="246">
      <c r="A246" s="58"/>
    </row>
    <row r="247">
      <c r="A247" s="58"/>
    </row>
    <row r="248">
      <c r="A248" s="58"/>
    </row>
    <row r="249">
      <c r="A249" s="58"/>
    </row>
    <row r="250">
      <c r="A250" s="58"/>
    </row>
    <row r="251">
      <c r="A251" s="58"/>
    </row>
    <row r="252">
      <c r="A252" s="58"/>
    </row>
    <row r="253">
      <c r="A253" s="58"/>
    </row>
    <row r="254">
      <c r="A254" s="58"/>
    </row>
    <row r="255">
      <c r="A255" s="58"/>
    </row>
    <row r="256">
      <c r="A256" s="58"/>
    </row>
    <row r="257">
      <c r="A257" s="58"/>
    </row>
    <row r="258">
      <c r="A258" s="58"/>
    </row>
    <row r="259">
      <c r="A259" s="58"/>
    </row>
    <row r="260">
      <c r="A260" s="58"/>
    </row>
    <row r="261">
      <c r="A261" s="58"/>
    </row>
    <row r="262">
      <c r="A262" s="58"/>
    </row>
    <row r="263">
      <c r="A263" s="58"/>
    </row>
    <row r="264">
      <c r="A264" s="58"/>
    </row>
    <row r="265">
      <c r="A265" s="58"/>
    </row>
    <row r="266">
      <c r="A266" s="58"/>
    </row>
    <row r="267">
      <c r="A267" s="58"/>
    </row>
    <row r="268">
      <c r="A268" s="58"/>
    </row>
    <row r="269">
      <c r="A269" s="58"/>
    </row>
    <row r="270">
      <c r="A270" s="58"/>
    </row>
    <row r="271">
      <c r="A271" s="58"/>
    </row>
    <row r="272">
      <c r="A272" s="58"/>
    </row>
    <row r="273">
      <c r="A273" s="58"/>
    </row>
    <row r="274">
      <c r="A274" s="58"/>
    </row>
    <row r="275">
      <c r="A275" s="58"/>
    </row>
    <row r="276">
      <c r="A276" s="58"/>
    </row>
    <row r="277">
      <c r="A277" s="58"/>
    </row>
    <row r="278">
      <c r="A278" s="58"/>
    </row>
    <row r="279">
      <c r="A279" s="58"/>
    </row>
    <row r="280">
      <c r="A280" s="58"/>
    </row>
    <row r="281">
      <c r="A281" s="58"/>
    </row>
    <row r="282">
      <c r="A282" s="58"/>
    </row>
    <row r="283">
      <c r="A283" s="58"/>
    </row>
    <row r="284">
      <c r="A284" s="58"/>
    </row>
    <row r="285">
      <c r="A285" s="58"/>
    </row>
    <row r="286">
      <c r="A286" s="58"/>
    </row>
    <row r="287">
      <c r="A287" s="58"/>
    </row>
    <row r="288">
      <c r="A288" s="58"/>
    </row>
    <row r="289">
      <c r="A289" s="58"/>
    </row>
    <row r="290">
      <c r="A290" s="58"/>
    </row>
    <row r="291">
      <c r="A291" s="58"/>
    </row>
    <row r="292">
      <c r="A292" s="58"/>
    </row>
    <row r="293">
      <c r="A293" s="58"/>
    </row>
    <row r="294">
      <c r="A294" s="58"/>
    </row>
    <row r="295">
      <c r="A295" s="58"/>
    </row>
    <row r="296">
      <c r="A296" s="58"/>
    </row>
    <row r="297">
      <c r="A297" s="58"/>
    </row>
    <row r="298">
      <c r="A298" s="58"/>
    </row>
    <row r="299">
      <c r="A299" s="58"/>
    </row>
    <row r="300">
      <c r="A300" s="58"/>
    </row>
    <row r="301">
      <c r="A301" s="58"/>
    </row>
    <row r="302">
      <c r="A302" s="58"/>
    </row>
    <row r="303">
      <c r="A303" s="58"/>
    </row>
    <row r="304">
      <c r="A304" s="58"/>
    </row>
    <row r="305">
      <c r="A305" s="58"/>
    </row>
    <row r="306">
      <c r="A306" s="58"/>
    </row>
    <row r="307">
      <c r="A307" s="58"/>
    </row>
    <row r="308">
      <c r="A308" s="58"/>
    </row>
    <row r="309">
      <c r="A309" s="58"/>
    </row>
    <row r="310">
      <c r="A310" s="58"/>
    </row>
    <row r="311">
      <c r="A311" s="58"/>
    </row>
    <row r="312">
      <c r="A312" s="58"/>
    </row>
    <row r="313">
      <c r="A313" s="58"/>
    </row>
    <row r="314">
      <c r="A314" s="58"/>
    </row>
    <row r="315">
      <c r="A315" s="58"/>
    </row>
    <row r="316">
      <c r="A316" s="58"/>
    </row>
    <row r="317">
      <c r="A317" s="58"/>
    </row>
    <row r="318">
      <c r="A318" s="58"/>
    </row>
    <row r="319">
      <c r="A319" s="58"/>
    </row>
    <row r="320">
      <c r="A320" s="58"/>
    </row>
    <row r="321">
      <c r="A321" s="58"/>
    </row>
    <row r="322">
      <c r="A322" s="58"/>
    </row>
    <row r="323">
      <c r="A323" s="58"/>
    </row>
    <row r="324">
      <c r="A324" s="58"/>
    </row>
    <row r="325">
      <c r="A325" s="58"/>
    </row>
    <row r="326">
      <c r="A326" s="58"/>
    </row>
    <row r="327">
      <c r="A327" s="58"/>
    </row>
    <row r="328">
      <c r="A328" s="58"/>
    </row>
    <row r="329">
      <c r="A329" s="58"/>
    </row>
    <row r="330">
      <c r="A330" s="58"/>
    </row>
    <row r="331">
      <c r="A331" s="58"/>
    </row>
    <row r="332">
      <c r="A332" s="58"/>
    </row>
    <row r="333">
      <c r="A333" s="58"/>
    </row>
    <row r="334">
      <c r="A334" s="58"/>
    </row>
    <row r="335">
      <c r="A335" s="58"/>
    </row>
    <row r="336">
      <c r="A336" s="58"/>
    </row>
    <row r="337">
      <c r="A337" s="58"/>
    </row>
    <row r="338">
      <c r="A338" s="58"/>
    </row>
    <row r="339">
      <c r="A339" s="58"/>
    </row>
    <row r="340">
      <c r="A340" s="58"/>
    </row>
    <row r="341">
      <c r="A341" s="58"/>
    </row>
    <row r="342">
      <c r="A342" s="58"/>
    </row>
    <row r="343">
      <c r="A343" s="58"/>
    </row>
    <row r="344">
      <c r="A344" s="58"/>
    </row>
    <row r="345">
      <c r="A345" s="58"/>
    </row>
    <row r="346">
      <c r="A346" s="58"/>
    </row>
    <row r="347">
      <c r="A347" s="58"/>
    </row>
    <row r="348">
      <c r="A348" s="58"/>
    </row>
    <row r="349">
      <c r="A349" s="58"/>
    </row>
    <row r="350">
      <c r="A350" s="58"/>
    </row>
    <row r="351">
      <c r="A351" s="58"/>
    </row>
    <row r="352">
      <c r="A352" s="58"/>
    </row>
    <row r="353">
      <c r="A353" s="58"/>
    </row>
    <row r="354">
      <c r="A354" s="58"/>
    </row>
    <row r="355">
      <c r="A355" s="58"/>
    </row>
    <row r="356">
      <c r="A356" s="58"/>
    </row>
    <row r="357">
      <c r="A357" s="58"/>
    </row>
    <row r="358">
      <c r="A358" s="58"/>
    </row>
    <row r="359">
      <c r="A359" s="58"/>
    </row>
    <row r="360">
      <c r="A360" s="58"/>
    </row>
    <row r="361">
      <c r="A361" s="58"/>
    </row>
    <row r="362">
      <c r="A362" s="58"/>
    </row>
    <row r="363">
      <c r="A363" s="58"/>
    </row>
    <row r="364">
      <c r="A364" s="58"/>
    </row>
    <row r="365">
      <c r="A365" s="58"/>
    </row>
    <row r="366">
      <c r="A366" s="58"/>
    </row>
    <row r="367">
      <c r="A367" s="58"/>
    </row>
    <row r="368">
      <c r="A368" s="58"/>
    </row>
    <row r="369">
      <c r="A369" s="58"/>
    </row>
    <row r="370">
      <c r="A370" s="58"/>
    </row>
    <row r="371">
      <c r="A371" s="58"/>
    </row>
    <row r="372">
      <c r="A372" s="58"/>
    </row>
    <row r="373">
      <c r="A373" s="58"/>
    </row>
    <row r="374">
      <c r="A374" s="58"/>
    </row>
    <row r="375">
      <c r="A375" s="58"/>
    </row>
    <row r="376">
      <c r="A376" s="58"/>
    </row>
    <row r="377">
      <c r="A377" s="58"/>
    </row>
    <row r="378">
      <c r="A378" s="58"/>
    </row>
    <row r="379">
      <c r="A379" s="58"/>
    </row>
    <row r="380">
      <c r="A380" s="58"/>
    </row>
    <row r="381">
      <c r="A381" s="58"/>
    </row>
    <row r="382">
      <c r="A382" s="58"/>
    </row>
    <row r="383">
      <c r="A383" s="58"/>
    </row>
    <row r="384">
      <c r="A384" s="58"/>
    </row>
    <row r="385">
      <c r="A385" s="58"/>
    </row>
    <row r="386">
      <c r="A386" s="58"/>
    </row>
    <row r="387">
      <c r="A387" s="58"/>
    </row>
    <row r="388">
      <c r="A388" s="58"/>
    </row>
    <row r="389">
      <c r="A389" s="58"/>
    </row>
    <row r="390">
      <c r="A390" s="58"/>
    </row>
    <row r="391">
      <c r="A391" s="58"/>
    </row>
    <row r="392">
      <c r="A392" s="58"/>
    </row>
    <row r="393">
      <c r="A393" s="58"/>
    </row>
    <row r="394">
      <c r="A394" s="58"/>
    </row>
    <row r="395">
      <c r="A395" s="58"/>
    </row>
    <row r="396">
      <c r="A396" s="58"/>
    </row>
    <row r="397">
      <c r="A397" s="58"/>
    </row>
    <row r="398">
      <c r="A398" s="58"/>
    </row>
    <row r="399">
      <c r="A399" s="58"/>
    </row>
    <row r="400">
      <c r="A400" s="58"/>
    </row>
    <row r="401">
      <c r="A401" s="58"/>
    </row>
    <row r="402">
      <c r="A402" s="58"/>
    </row>
    <row r="403">
      <c r="A403" s="58"/>
    </row>
    <row r="404">
      <c r="A404" s="58"/>
    </row>
    <row r="405">
      <c r="A405" s="58"/>
    </row>
    <row r="406">
      <c r="A406" s="58"/>
    </row>
    <row r="407">
      <c r="A407" s="58"/>
    </row>
    <row r="408">
      <c r="A408" s="58"/>
    </row>
    <row r="409">
      <c r="A409" s="58"/>
    </row>
    <row r="410">
      <c r="A410" s="58"/>
    </row>
    <row r="411">
      <c r="A411" s="58"/>
    </row>
    <row r="412">
      <c r="A412" s="58"/>
    </row>
    <row r="413">
      <c r="A413" s="58"/>
    </row>
    <row r="414">
      <c r="A414" s="58"/>
    </row>
    <row r="415">
      <c r="A415" s="58"/>
    </row>
    <row r="416">
      <c r="A416" s="58"/>
    </row>
    <row r="417">
      <c r="A417" s="58"/>
    </row>
    <row r="418">
      <c r="A418" s="58"/>
    </row>
    <row r="419">
      <c r="A419" s="58"/>
    </row>
    <row r="420">
      <c r="A420" s="58"/>
    </row>
    <row r="421">
      <c r="A421" s="58"/>
    </row>
    <row r="422">
      <c r="A422" s="58"/>
    </row>
    <row r="423">
      <c r="A423" s="58"/>
    </row>
    <row r="424">
      <c r="A424" s="58"/>
    </row>
    <row r="425">
      <c r="A425" s="58"/>
    </row>
    <row r="426">
      <c r="A426" s="58"/>
    </row>
    <row r="427">
      <c r="A427" s="58"/>
    </row>
    <row r="428">
      <c r="A428" s="58"/>
    </row>
    <row r="429">
      <c r="A429" s="58"/>
    </row>
    <row r="430">
      <c r="A430" s="58"/>
    </row>
    <row r="431">
      <c r="A431" s="58"/>
    </row>
    <row r="432">
      <c r="A432" s="58"/>
    </row>
    <row r="433">
      <c r="A433" s="58"/>
    </row>
    <row r="434">
      <c r="A434" s="58"/>
    </row>
    <row r="435">
      <c r="A435" s="58"/>
    </row>
    <row r="436">
      <c r="A436" s="58"/>
    </row>
    <row r="437">
      <c r="A437" s="58"/>
    </row>
    <row r="438">
      <c r="A438" s="58"/>
    </row>
    <row r="439">
      <c r="A439" s="58"/>
    </row>
    <row r="440">
      <c r="A440" s="58"/>
    </row>
    <row r="441">
      <c r="A441" s="58"/>
    </row>
    <row r="442">
      <c r="A442" s="58"/>
    </row>
    <row r="443">
      <c r="A443" s="58"/>
    </row>
    <row r="444">
      <c r="A444" s="58"/>
    </row>
    <row r="445">
      <c r="A445" s="58"/>
    </row>
    <row r="446">
      <c r="A446" s="58"/>
    </row>
    <row r="447">
      <c r="A447" s="58"/>
    </row>
    <row r="448">
      <c r="A448" s="58"/>
    </row>
    <row r="449">
      <c r="A449" s="58"/>
    </row>
    <row r="450">
      <c r="A450" s="58"/>
    </row>
    <row r="451">
      <c r="A451" s="58"/>
    </row>
    <row r="452">
      <c r="A452" s="58"/>
    </row>
    <row r="453">
      <c r="A453" s="58"/>
    </row>
    <row r="454">
      <c r="A454" s="58"/>
    </row>
    <row r="455">
      <c r="A455" s="58"/>
    </row>
    <row r="456">
      <c r="A456" s="58"/>
    </row>
    <row r="457">
      <c r="A457" s="58"/>
    </row>
    <row r="458">
      <c r="A458" s="58"/>
    </row>
    <row r="459">
      <c r="A459" s="58"/>
    </row>
    <row r="460">
      <c r="A460" s="58"/>
    </row>
    <row r="461">
      <c r="A461" s="58"/>
    </row>
    <row r="462">
      <c r="A462" s="58"/>
    </row>
    <row r="463">
      <c r="A463" s="58"/>
    </row>
    <row r="464">
      <c r="A464" s="58"/>
    </row>
    <row r="465">
      <c r="A465" s="58"/>
    </row>
    <row r="466">
      <c r="A466" s="58"/>
    </row>
    <row r="467">
      <c r="A467" s="58"/>
    </row>
    <row r="468">
      <c r="A468" s="58"/>
    </row>
    <row r="469">
      <c r="A469" s="58"/>
    </row>
    <row r="470">
      <c r="A470" s="58"/>
    </row>
    <row r="471">
      <c r="A471" s="58"/>
    </row>
    <row r="472">
      <c r="A472" s="58"/>
    </row>
    <row r="473">
      <c r="A473" s="58"/>
    </row>
    <row r="474">
      <c r="A474" s="58"/>
    </row>
    <row r="475">
      <c r="A475" s="58"/>
    </row>
    <row r="476">
      <c r="A476" s="58"/>
    </row>
    <row r="477">
      <c r="A477" s="58"/>
    </row>
    <row r="478">
      <c r="A478" s="58"/>
    </row>
    <row r="479">
      <c r="A479" s="58"/>
    </row>
    <row r="480">
      <c r="A480" s="58"/>
    </row>
    <row r="481">
      <c r="A481" s="58"/>
    </row>
    <row r="482">
      <c r="A482" s="58"/>
    </row>
    <row r="483">
      <c r="A483" s="58"/>
    </row>
    <row r="484">
      <c r="A484" s="58"/>
    </row>
    <row r="485">
      <c r="A485" s="58"/>
    </row>
    <row r="486">
      <c r="A486" s="58"/>
    </row>
    <row r="487">
      <c r="A487" s="58"/>
    </row>
    <row r="488">
      <c r="A488" s="58"/>
    </row>
    <row r="489">
      <c r="A489" s="58"/>
    </row>
    <row r="490">
      <c r="A490" s="58"/>
    </row>
    <row r="491">
      <c r="A491" s="58"/>
    </row>
    <row r="492">
      <c r="A492" s="58"/>
    </row>
    <row r="493">
      <c r="A493" s="58"/>
    </row>
    <row r="494">
      <c r="A494" s="58"/>
    </row>
    <row r="495">
      <c r="A495" s="58"/>
    </row>
    <row r="496">
      <c r="A496" s="58"/>
    </row>
    <row r="497">
      <c r="A497" s="58"/>
    </row>
    <row r="498">
      <c r="A498" s="58"/>
    </row>
    <row r="499">
      <c r="A499" s="58"/>
    </row>
    <row r="500">
      <c r="A500" s="58"/>
    </row>
    <row r="501">
      <c r="A501" s="58"/>
    </row>
    <row r="502">
      <c r="A502" s="58"/>
    </row>
    <row r="503">
      <c r="A503" s="58"/>
    </row>
    <row r="504">
      <c r="A504" s="58"/>
    </row>
    <row r="505">
      <c r="A505" s="58"/>
    </row>
    <row r="506">
      <c r="A506" s="58"/>
    </row>
    <row r="507">
      <c r="A507" s="58"/>
    </row>
    <row r="508">
      <c r="A508" s="58"/>
    </row>
    <row r="509">
      <c r="A509" s="58"/>
    </row>
    <row r="510">
      <c r="A510" s="58"/>
    </row>
    <row r="511">
      <c r="A511" s="58"/>
    </row>
    <row r="512">
      <c r="A512" s="58"/>
    </row>
    <row r="513">
      <c r="A513" s="58"/>
    </row>
    <row r="514">
      <c r="A514" s="58"/>
    </row>
    <row r="515">
      <c r="A515" s="58"/>
    </row>
    <row r="516">
      <c r="A516" s="58"/>
    </row>
    <row r="517">
      <c r="A517" s="58"/>
    </row>
    <row r="518">
      <c r="A518" s="58"/>
    </row>
    <row r="519">
      <c r="A519" s="58"/>
    </row>
    <row r="520">
      <c r="A520" s="58"/>
    </row>
    <row r="521">
      <c r="A521" s="58"/>
    </row>
    <row r="522">
      <c r="A522" s="58"/>
    </row>
    <row r="523">
      <c r="A523" s="58"/>
    </row>
    <row r="524">
      <c r="A524" s="58"/>
    </row>
    <row r="525">
      <c r="A525" s="58"/>
    </row>
    <row r="526">
      <c r="A526" s="58"/>
    </row>
    <row r="527">
      <c r="A527" s="58"/>
    </row>
    <row r="528">
      <c r="A528" s="58"/>
    </row>
    <row r="529">
      <c r="A529" s="58"/>
    </row>
    <row r="530">
      <c r="A530" s="58"/>
    </row>
    <row r="531">
      <c r="A531" s="58"/>
    </row>
    <row r="532">
      <c r="A532" s="58"/>
    </row>
    <row r="533">
      <c r="A533" s="58"/>
    </row>
    <row r="534">
      <c r="A534" s="58"/>
    </row>
    <row r="535">
      <c r="A535" s="58"/>
    </row>
    <row r="536">
      <c r="A536" s="58"/>
    </row>
    <row r="537">
      <c r="A537" s="58"/>
    </row>
    <row r="538">
      <c r="A538" s="58"/>
    </row>
    <row r="539">
      <c r="A539" s="58"/>
    </row>
    <row r="540">
      <c r="A540" s="58"/>
    </row>
    <row r="541">
      <c r="A541" s="58"/>
    </row>
    <row r="542">
      <c r="A542" s="58"/>
    </row>
    <row r="543">
      <c r="A543" s="58"/>
    </row>
    <row r="544">
      <c r="A544" s="58"/>
    </row>
    <row r="545">
      <c r="A545" s="58"/>
    </row>
    <row r="546">
      <c r="A546" s="58"/>
    </row>
    <row r="547">
      <c r="A547" s="58"/>
    </row>
    <row r="548">
      <c r="A548" s="58"/>
    </row>
    <row r="549">
      <c r="A549" s="58"/>
    </row>
    <row r="550">
      <c r="A550" s="58"/>
    </row>
    <row r="551">
      <c r="A551" s="58"/>
    </row>
    <row r="552">
      <c r="A552" s="58"/>
    </row>
    <row r="553">
      <c r="A553" s="58"/>
    </row>
    <row r="554">
      <c r="A554" s="58"/>
    </row>
    <row r="555">
      <c r="A555" s="58"/>
    </row>
    <row r="556">
      <c r="A556" s="58"/>
    </row>
    <row r="557">
      <c r="A557" s="58"/>
    </row>
    <row r="558">
      <c r="A558" s="58"/>
    </row>
    <row r="559">
      <c r="A559" s="58"/>
    </row>
    <row r="560">
      <c r="A560" s="58"/>
    </row>
    <row r="561">
      <c r="A561" s="58"/>
    </row>
    <row r="562">
      <c r="A562" s="58"/>
    </row>
    <row r="563">
      <c r="A563" s="58"/>
    </row>
    <row r="564">
      <c r="A564" s="58"/>
    </row>
    <row r="565">
      <c r="A565" s="58"/>
    </row>
    <row r="566">
      <c r="A566" s="58"/>
    </row>
    <row r="567">
      <c r="A567" s="58"/>
    </row>
    <row r="568">
      <c r="A568" s="58"/>
    </row>
    <row r="569">
      <c r="A569" s="58"/>
    </row>
    <row r="570">
      <c r="A570" s="58"/>
    </row>
    <row r="571">
      <c r="A571" s="58"/>
    </row>
    <row r="572">
      <c r="A572" s="58"/>
    </row>
    <row r="573">
      <c r="A573" s="58"/>
    </row>
    <row r="574">
      <c r="A574" s="58"/>
    </row>
    <row r="575">
      <c r="A575" s="58"/>
    </row>
    <row r="576">
      <c r="A576" s="58"/>
    </row>
    <row r="577">
      <c r="A577" s="58"/>
    </row>
    <row r="578">
      <c r="A578" s="58"/>
    </row>
    <row r="579">
      <c r="A579" s="58"/>
    </row>
    <row r="580">
      <c r="A580" s="58"/>
    </row>
    <row r="581">
      <c r="A581" s="58"/>
    </row>
    <row r="582">
      <c r="A582" s="58"/>
    </row>
    <row r="583">
      <c r="A583" s="58"/>
    </row>
    <row r="584">
      <c r="A584" s="58"/>
    </row>
    <row r="585">
      <c r="A585" s="58"/>
    </row>
    <row r="586">
      <c r="A586" s="58"/>
    </row>
    <row r="587">
      <c r="A587" s="58"/>
    </row>
    <row r="588">
      <c r="A588" s="58"/>
    </row>
    <row r="589">
      <c r="A589" s="58"/>
    </row>
    <row r="590">
      <c r="A590" s="58"/>
    </row>
    <row r="591">
      <c r="A591" s="58"/>
    </row>
    <row r="592">
      <c r="A592" s="58"/>
    </row>
    <row r="593">
      <c r="A593" s="58"/>
    </row>
    <row r="594">
      <c r="A594" s="58"/>
    </row>
    <row r="595">
      <c r="A595" s="58"/>
    </row>
    <row r="596">
      <c r="A596" s="58"/>
    </row>
    <row r="597">
      <c r="A597" s="58"/>
    </row>
    <row r="598">
      <c r="A598" s="58"/>
    </row>
    <row r="599">
      <c r="A599" s="58"/>
    </row>
    <row r="600">
      <c r="A600" s="58"/>
    </row>
    <row r="601">
      <c r="A601" s="58"/>
    </row>
    <row r="602">
      <c r="A602" s="58"/>
    </row>
    <row r="603">
      <c r="A603" s="58"/>
    </row>
    <row r="604">
      <c r="A604" s="58"/>
    </row>
    <row r="605">
      <c r="A605" s="58"/>
    </row>
    <row r="606">
      <c r="A606" s="58"/>
    </row>
    <row r="607">
      <c r="A607" s="58"/>
    </row>
    <row r="608">
      <c r="A608" s="58"/>
    </row>
    <row r="609">
      <c r="A609" s="58"/>
    </row>
    <row r="610">
      <c r="A610" s="58"/>
    </row>
    <row r="611">
      <c r="A611" s="58"/>
    </row>
    <row r="612">
      <c r="A612" s="58"/>
    </row>
    <row r="613">
      <c r="A613" s="58"/>
    </row>
    <row r="614">
      <c r="A614" s="58"/>
    </row>
    <row r="615">
      <c r="A615" s="58"/>
    </row>
    <row r="616">
      <c r="A616" s="58"/>
    </row>
    <row r="617">
      <c r="A617" s="58"/>
    </row>
    <row r="618">
      <c r="A618" s="58"/>
    </row>
    <row r="619">
      <c r="A619" s="58"/>
    </row>
    <row r="620">
      <c r="A620" s="58"/>
    </row>
    <row r="621">
      <c r="A621" s="58"/>
    </row>
    <row r="622">
      <c r="A622" s="58"/>
    </row>
    <row r="623">
      <c r="A623" s="58"/>
    </row>
    <row r="624">
      <c r="A624" s="58"/>
    </row>
    <row r="625">
      <c r="A625" s="58"/>
    </row>
    <row r="626">
      <c r="A626" s="58"/>
    </row>
    <row r="627">
      <c r="A627" s="58"/>
    </row>
    <row r="628">
      <c r="A628" s="58"/>
    </row>
    <row r="629">
      <c r="A629" s="58"/>
    </row>
    <row r="630">
      <c r="A630" s="58"/>
    </row>
    <row r="631">
      <c r="A631" s="58"/>
    </row>
    <row r="632">
      <c r="A632" s="58"/>
    </row>
    <row r="633">
      <c r="A633" s="58"/>
    </row>
    <row r="634">
      <c r="A634" s="58"/>
    </row>
    <row r="635">
      <c r="A635" s="58"/>
    </row>
    <row r="636">
      <c r="A636" s="58"/>
    </row>
    <row r="637">
      <c r="A637" s="58"/>
    </row>
    <row r="638">
      <c r="A638" s="58"/>
    </row>
    <row r="639">
      <c r="A639" s="58"/>
    </row>
    <row r="640">
      <c r="A640" s="58"/>
    </row>
    <row r="641">
      <c r="A641" s="58"/>
    </row>
    <row r="642">
      <c r="A642" s="58"/>
    </row>
    <row r="643">
      <c r="A643" s="58"/>
    </row>
    <row r="644">
      <c r="A644" s="58"/>
    </row>
    <row r="645">
      <c r="A645" s="58"/>
    </row>
    <row r="646">
      <c r="A646" s="58"/>
    </row>
    <row r="647">
      <c r="A647" s="58"/>
    </row>
    <row r="648">
      <c r="A648" s="58"/>
    </row>
    <row r="649">
      <c r="A649" s="58"/>
    </row>
    <row r="650">
      <c r="A650" s="58"/>
    </row>
    <row r="651">
      <c r="A651" s="58"/>
    </row>
    <row r="652">
      <c r="A652" s="58"/>
    </row>
    <row r="653">
      <c r="A653" s="58"/>
    </row>
    <row r="654">
      <c r="A654" s="58"/>
    </row>
    <row r="655">
      <c r="A655" s="58"/>
    </row>
    <row r="656">
      <c r="A656" s="58"/>
    </row>
    <row r="657">
      <c r="A657" s="58"/>
    </row>
    <row r="658">
      <c r="A658" s="58"/>
    </row>
    <row r="659">
      <c r="A659" s="58"/>
    </row>
    <row r="660">
      <c r="A660" s="58"/>
    </row>
    <row r="661">
      <c r="A661" s="58"/>
    </row>
    <row r="662">
      <c r="A662" s="58"/>
    </row>
    <row r="663">
      <c r="A663" s="58"/>
    </row>
    <row r="664">
      <c r="A664" s="58"/>
    </row>
    <row r="665">
      <c r="A665" s="58"/>
    </row>
    <row r="666">
      <c r="A666" s="58"/>
    </row>
    <row r="667">
      <c r="A667" s="58"/>
    </row>
    <row r="668">
      <c r="A668" s="58"/>
    </row>
    <row r="669">
      <c r="A669" s="58"/>
    </row>
    <row r="670">
      <c r="A670" s="58"/>
    </row>
    <row r="671">
      <c r="A671" s="58"/>
    </row>
    <row r="672">
      <c r="A672" s="58"/>
    </row>
    <row r="673">
      <c r="A673" s="58"/>
    </row>
    <row r="674">
      <c r="A674" s="58"/>
    </row>
    <row r="675">
      <c r="A675" s="58"/>
    </row>
    <row r="676">
      <c r="A676" s="58"/>
    </row>
    <row r="677">
      <c r="A677" s="58"/>
    </row>
    <row r="678">
      <c r="A678" s="58"/>
    </row>
    <row r="679">
      <c r="A679" s="58"/>
    </row>
    <row r="680">
      <c r="A680" s="58"/>
    </row>
    <row r="681">
      <c r="A681" s="58"/>
    </row>
    <row r="682">
      <c r="A682" s="58"/>
    </row>
    <row r="683">
      <c r="A683" s="58"/>
    </row>
    <row r="684">
      <c r="A684" s="58"/>
    </row>
    <row r="685">
      <c r="A685" s="58"/>
    </row>
    <row r="686">
      <c r="A686" s="58"/>
    </row>
    <row r="687">
      <c r="A687" s="58"/>
    </row>
    <row r="688">
      <c r="A688" s="58"/>
    </row>
    <row r="689">
      <c r="A689" s="58"/>
    </row>
    <row r="690">
      <c r="A690" s="58"/>
    </row>
    <row r="691">
      <c r="A691" s="58"/>
    </row>
    <row r="692">
      <c r="A692" s="58"/>
    </row>
    <row r="693">
      <c r="A693" s="58"/>
    </row>
    <row r="694">
      <c r="A694" s="58"/>
    </row>
    <row r="695">
      <c r="A695" s="58"/>
    </row>
    <row r="696">
      <c r="A696" s="58"/>
    </row>
    <row r="697">
      <c r="A697" s="58"/>
    </row>
    <row r="698">
      <c r="A698" s="58"/>
    </row>
    <row r="699">
      <c r="A699" s="58"/>
    </row>
    <row r="700">
      <c r="A700" s="58"/>
    </row>
    <row r="701">
      <c r="A701" s="58"/>
    </row>
    <row r="702">
      <c r="A702" s="58"/>
    </row>
    <row r="703">
      <c r="A703" s="58"/>
    </row>
    <row r="704">
      <c r="A704" s="58"/>
    </row>
    <row r="705">
      <c r="A705" s="58"/>
    </row>
    <row r="706">
      <c r="A706" s="58"/>
    </row>
    <row r="707">
      <c r="A707" s="58"/>
    </row>
    <row r="708">
      <c r="A708" s="58"/>
    </row>
    <row r="709">
      <c r="A709" s="58"/>
    </row>
    <row r="710">
      <c r="A710" s="58"/>
    </row>
    <row r="711">
      <c r="A711" s="58"/>
    </row>
    <row r="712">
      <c r="A712" s="58"/>
    </row>
    <row r="713">
      <c r="A713" s="58"/>
    </row>
    <row r="714">
      <c r="A714" s="58"/>
    </row>
    <row r="715">
      <c r="A715" s="58"/>
    </row>
    <row r="716">
      <c r="A716" s="58"/>
    </row>
    <row r="717">
      <c r="A717" s="58"/>
    </row>
    <row r="718">
      <c r="A718" s="58"/>
    </row>
    <row r="719">
      <c r="A719" s="58"/>
    </row>
    <row r="720">
      <c r="A720" s="58"/>
    </row>
    <row r="721">
      <c r="A721" s="58"/>
    </row>
    <row r="722">
      <c r="A722" s="58"/>
    </row>
    <row r="723">
      <c r="A723" s="58"/>
    </row>
    <row r="724">
      <c r="A724" s="58"/>
    </row>
    <row r="725">
      <c r="A725" s="58"/>
    </row>
    <row r="726">
      <c r="A726" s="58"/>
    </row>
    <row r="727">
      <c r="A727" s="58"/>
    </row>
    <row r="728">
      <c r="A728" s="58"/>
    </row>
    <row r="729">
      <c r="A729" s="58"/>
    </row>
    <row r="730">
      <c r="A730" s="58"/>
    </row>
    <row r="731">
      <c r="A731" s="58"/>
    </row>
    <row r="732">
      <c r="A732" s="58"/>
    </row>
    <row r="733">
      <c r="A733" s="58"/>
    </row>
    <row r="734">
      <c r="A734" s="58"/>
    </row>
    <row r="735">
      <c r="A735" s="58"/>
    </row>
    <row r="736">
      <c r="A736" s="58"/>
    </row>
    <row r="737">
      <c r="A737" s="58"/>
    </row>
    <row r="738">
      <c r="A738" s="58"/>
    </row>
    <row r="739">
      <c r="A739" s="58"/>
    </row>
    <row r="740">
      <c r="A740" s="58"/>
    </row>
    <row r="741">
      <c r="A741" s="58"/>
    </row>
    <row r="742">
      <c r="A742" s="58"/>
    </row>
    <row r="743">
      <c r="A743" s="58"/>
    </row>
    <row r="744">
      <c r="A744" s="58"/>
    </row>
    <row r="745">
      <c r="A745" s="58"/>
    </row>
    <row r="746">
      <c r="A746" s="58"/>
    </row>
    <row r="747">
      <c r="A747" s="58"/>
    </row>
    <row r="748">
      <c r="A748" s="58"/>
    </row>
    <row r="749">
      <c r="A749" s="58"/>
    </row>
    <row r="750">
      <c r="A750" s="58"/>
    </row>
    <row r="751">
      <c r="A751" s="58"/>
    </row>
    <row r="752">
      <c r="A752" s="58"/>
    </row>
    <row r="753">
      <c r="A753" s="58"/>
    </row>
    <row r="754">
      <c r="A754" s="58"/>
    </row>
    <row r="755">
      <c r="A755" s="58"/>
    </row>
    <row r="756">
      <c r="A756" s="58"/>
    </row>
    <row r="757">
      <c r="A757" s="58"/>
    </row>
    <row r="758">
      <c r="A758" s="58"/>
    </row>
    <row r="759">
      <c r="A759" s="58"/>
    </row>
    <row r="760">
      <c r="A760" s="58"/>
    </row>
    <row r="761">
      <c r="A761" s="58"/>
    </row>
    <row r="762">
      <c r="A762" s="58"/>
    </row>
    <row r="763">
      <c r="A763" s="58"/>
    </row>
    <row r="764">
      <c r="A764" s="58"/>
    </row>
    <row r="765">
      <c r="A765" s="58"/>
    </row>
    <row r="766">
      <c r="A766" s="58"/>
    </row>
    <row r="767">
      <c r="A767" s="58"/>
    </row>
    <row r="768">
      <c r="A768" s="58"/>
    </row>
    <row r="769">
      <c r="A769" s="58"/>
    </row>
    <row r="770">
      <c r="A770" s="58"/>
    </row>
    <row r="771">
      <c r="A771" s="58"/>
    </row>
    <row r="772">
      <c r="A772" s="58"/>
    </row>
    <row r="773">
      <c r="A773" s="58"/>
    </row>
    <row r="774">
      <c r="A774" s="58"/>
    </row>
    <row r="775">
      <c r="A775" s="58"/>
    </row>
    <row r="776">
      <c r="A776" s="58"/>
    </row>
    <row r="777">
      <c r="A777" s="58"/>
    </row>
    <row r="778">
      <c r="A778" s="58"/>
    </row>
    <row r="779">
      <c r="A779" s="58"/>
    </row>
    <row r="780">
      <c r="A780" s="58"/>
    </row>
    <row r="781">
      <c r="A781" s="58"/>
    </row>
    <row r="782">
      <c r="A782" s="58"/>
    </row>
    <row r="783">
      <c r="A783" s="58"/>
    </row>
    <row r="784">
      <c r="A784" s="58"/>
    </row>
    <row r="785">
      <c r="A785" s="58"/>
    </row>
    <row r="786">
      <c r="A786" s="58"/>
    </row>
    <row r="787">
      <c r="A787" s="58"/>
    </row>
    <row r="788">
      <c r="A788" s="58"/>
    </row>
    <row r="789">
      <c r="A789" s="58"/>
    </row>
    <row r="790">
      <c r="A790" s="58"/>
    </row>
    <row r="791">
      <c r="A791" s="58"/>
    </row>
    <row r="792">
      <c r="A792" s="58"/>
    </row>
    <row r="793">
      <c r="A793" s="58"/>
    </row>
    <row r="794">
      <c r="A794" s="58"/>
    </row>
    <row r="795">
      <c r="A795" s="58"/>
    </row>
    <row r="796">
      <c r="A796" s="58"/>
    </row>
    <row r="797">
      <c r="A797" s="58"/>
    </row>
    <row r="798">
      <c r="A798" s="58"/>
    </row>
    <row r="799">
      <c r="A799" s="58"/>
    </row>
    <row r="800">
      <c r="A800" s="58"/>
    </row>
    <row r="801">
      <c r="A801" s="58"/>
    </row>
    <row r="802">
      <c r="A802" s="58"/>
    </row>
    <row r="803">
      <c r="A803" s="58"/>
    </row>
    <row r="804">
      <c r="A804" s="58"/>
    </row>
    <row r="805">
      <c r="A805" s="58"/>
    </row>
    <row r="806">
      <c r="A806" s="58"/>
    </row>
    <row r="807">
      <c r="A807" s="58"/>
    </row>
    <row r="808">
      <c r="A808" s="58"/>
    </row>
    <row r="809">
      <c r="A809" s="58"/>
    </row>
    <row r="810">
      <c r="A810" s="58"/>
    </row>
    <row r="811">
      <c r="A811" s="58"/>
    </row>
    <row r="812">
      <c r="A812" s="58"/>
    </row>
    <row r="813">
      <c r="A813" s="58"/>
    </row>
    <row r="814">
      <c r="A814" s="58"/>
    </row>
    <row r="815">
      <c r="A815" s="58"/>
    </row>
    <row r="816">
      <c r="A816" s="58"/>
    </row>
    <row r="817">
      <c r="A817" s="58"/>
    </row>
    <row r="818">
      <c r="A818" s="58"/>
    </row>
    <row r="819">
      <c r="A819" s="58"/>
    </row>
    <row r="820">
      <c r="A820" s="58"/>
    </row>
    <row r="821">
      <c r="A821" s="58"/>
    </row>
    <row r="822">
      <c r="A822" s="58"/>
    </row>
    <row r="823">
      <c r="A823" s="58"/>
    </row>
    <row r="824">
      <c r="A824" s="58"/>
    </row>
    <row r="825">
      <c r="A825" s="58"/>
    </row>
    <row r="826">
      <c r="A826" s="58"/>
    </row>
    <row r="827">
      <c r="A827" s="58"/>
    </row>
    <row r="828">
      <c r="A828" s="58"/>
    </row>
    <row r="829">
      <c r="A829" s="58"/>
    </row>
    <row r="830">
      <c r="A830" s="58"/>
    </row>
    <row r="831">
      <c r="A831" s="58"/>
    </row>
    <row r="832">
      <c r="A832" s="58"/>
    </row>
    <row r="833">
      <c r="A833" s="58"/>
    </row>
    <row r="834">
      <c r="A834" s="58"/>
    </row>
    <row r="835">
      <c r="A835" s="58"/>
    </row>
    <row r="836">
      <c r="A836" s="58"/>
    </row>
    <row r="837">
      <c r="A837" s="58"/>
    </row>
    <row r="838">
      <c r="A838" s="58"/>
    </row>
    <row r="839">
      <c r="A839" s="58"/>
    </row>
    <row r="840">
      <c r="A840" s="58"/>
    </row>
    <row r="841">
      <c r="A841" s="58"/>
    </row>
    <row r="842">
      <c r="A842" s="58"/>
    </row>
    <row r="843">
      <c r="A843" s="58"/>
    </row>
    <row r="844">
      <c r="A844" s="58"/>
    </row>
    <row r="845">
      <c r="A845" s="58"/>
    </row>
    <row r="846">
      <c r="A846" s="58"/>
    </row>
    <row r="847">
      <c r="A847" s="58"/>
    </row>
    <row r="848">
      <c r="A848" s="58"/>
    </row>
    <row r="849">
      <c r="A849" s="58"/>
    </row>
    <row r="850">
      <c r="A850" s="58"/>
    </row>
    <row r="851">
      <c r="A851" s="58"/>
    </row>
    <row r="852">
      <c r="A852" s="58"/>
    </row>
    <row r="853">
      <c r="A853" s="58"/>
    </row>
    <row r="854">
      <c r="A854" s="58"/>
    </row>
    <row r="855">
      <c r="A855" s="58"/>
    </row>
    <row r="856">
      <c r="A856" s="58"/>
    </row>
    <row r="857">
      <c r="A857" s="58"/>
    </row>
    <row r="858">
      <c r="A858" s="58"/>
    </row>
    <row r="859">
      <c r="A859" s="58"/>
    </row>
    <row r="860">
      <c r="A860" s="58"/>
    </row>
    <row r="861">
      <c r="A861" s="58"/>
    </row>
    <row r="862">
      <c r="A862" s="58"/>
    </row>
    <row r="863">
      <c r="A863" s="58"/>
    </row>
    <row r="864">
      <c r="A864" s="58"/>
    </row>
    <row r="865">
      <c r="A865" s="58"/>
    </row>
    <row r="866">
      <c r="A866" s="58"/>
    </row>
    <row r="867">
      <c r="A867" s="58"/>
    </row>
    <row r="868">
      <c r="A868" s="58"/>
    </row>
    <row r="869">
      <c r="A869" s="58"/>
    </row>
    <row r="870">
      <c r="A870" s="58"/>
    </row>
    <row r="871">
      <c r="A871" s="58"/>
    </row>
    <row r="872">
      <c r="A872" s="58"/>
    </row>
    <row r="873">
      <c r="A873" s="58"/>
    </row>
    <row r="874">
      <c r="A874" s="58"/>
    </row>
    <row r="875">
      <c r="A875" s="58"/>
    </row>
    <row r="876">
      <c r="A876" s="58"/>
    </row>
    <row r="877">
      <c r="A877" s="58"/>
    </row>
    <row r="878">
      <c r="A878" s="58"/>
    </row>
    <row r="879">
      <c r="A879" s="58"/>
    </row>
    <row r="880">
      <c r="A880" s="58"/>
    </row>
    <row r="881">
      <c r="A881" s="58"/>
    </row>
    <row r="882">
      <c r="A882" s="58"/>
    </row>
    <row r="883">
      <c r="A883" s="58"/>
    </row>
    <row r="884">
      <c r="A884" s="58"/>
    </row>
    <row r="885">
      <c r="A885" s="58"/>
    </row>
    <row r="886">
      <c r="A886" s="58"/>
    </row>
    <row r="887">
      <c r="A887" s="58"/>
    </row>
    <row r="888">
      <c r="A888" s="58"/>
    </row>
    <row r="889">
      <c r="A889" s="58"/>
    </row>
    <row r="890">
      <c r="A890" s="58"/>
    </row>
    <row r="891">
      <c r="A891" s="58"/>
    </row>
    <row r="892">
      <c r="A892" s="58"/>
    </row>
    <row r="893">
      <c r="A893" s="58"/>
    </row>
    <row r="894">
      <c r="A894" s="58"/>
    </row>
    <row r="895">
      <c r="A895" s="58"/>
    </row>
    <row r="896">
      <c r="A896" s="58"/>
    </row>
    <row r="897">
      <c r="A897" s="58"/>
    </row>
    <row r="898">
      <c r="A898" s="58"/>
    </row>
    <row r="899">
      <c r="A899" s="58"/>
    </row>
    <row r="900">
      <c r="A900" s="58"/>
    </row>
    <row r="901">
      <c r="A901" s="58"/>
    </row>
    <row r="902">
      <c r="A902" s="58"/>
    </row>
    <row r="903">
      <c r="A903" s="58"/>
    </row>
    <row r="904">
      <c r="A904" s="58"/>
    </row>
    <row r="905">
      <c r="A905" s="58"/>
    </row>
    <row r="906">
      <c r="A906" s="58"/>
    </row>
    <row r="907">
      <c r="A907" s="58"/>
    </row>
    <row r="908">
      <c r="A908" s="58"/>
    </row>
    <row r="909">
      <c r="A909" s="58"/>
    </row>
    <row r="910">
      <c r="A910" s="58"/>
    </row>
    <row r="911">
      <c r="A911" s="58"/>
    </row>
    <row r="912">
      <c r="A912" s="58"/>
    </row>
    <row r="913">
      <c r="A913" s="58"/>
    </row>
    <row r="914">
      <c r="A914" s="58"/>
    </row>
    <row r="915">
      <c r="A915" s="58"/>
    </row>
    <row r="916">
      <c r="A916" s="58"/>
    </row>
    <row r="917">
      <c r="A917" s="58"/>
    </row>
    <row r="918">
      <c r="A918" s="58"/>
    </row>
    <row r="919">
      <c r="A919" s="58"/>
    </row>
    <row r="920">
      <c r="A920" s="58"/>
    </row>
    <row r="921">
      <c r="A921" s="58"/>
    </row>
    <row r="922">
      <c r="A922" s="58"/>
    </row>
    <row r="923">
      <c r="A923" s="58"/>
    </row>
    <row r="924">
      <c r="A924" s="58"/>
    </row>
    <row r="925">
      <c r="A925" s="58"/>
    </row>
    <row r="926">
      <c r="A926" s="58"/>
    </row>
    <row r="927">
      <c r="A927" s="58"/>
    </row>
    <row r="928">
      <c r="A928" s="58"/>
    </row>
    <row r="929">
      <c r="A929" s="58"/>
    </row>
    <row r="930">
      <c r="A930" s="58"/>
    </row>
    <row r="931">
      <c r="A931" s="58"/>
    </row>
    <row r="932">
      <c r="A932" s="58"/>
    </row>
    <row r="933">
      <c r="A933" s="58"/>
    </row>
    <row r="934">
      <c r="A934" s="58"/>
    </row>
    <row r="935">
      <c r="A935" s="58"/>
    </row>
    <row r="936">
      <c r="A936" s="58"/>
    </row>
    <row r="937">
      <c r="A937" s="58"/>
    </row>
    <row r="938">
      <c r="A938" s="58"/>
    </row>
    <row r="939">
      <c r="A939" s="58"/>
    </row>
    <row r="940">
      <c r="A940" s="58"/>
    </row>
    <row r="941">
      <c r="A941" s="58"/>
    </row>
    <row r="942">
      <c r="A942" s="58"/>
    </row>
    <row r="943">
      <c r="A943" s="58"/>
    </row>
    <row r="944">
      <c r="A944" s="58"/>
    </row>
    <row r="945">
      <c r="A945" s="58"/>
    </row>
    <row r="946">
      <c r="A946" s="58"/>
    </row>
    <row r="947">
      <c r="A947" s="58"/>
    </row>
    <row r="948">
      <c r="A948" s="58"/>
    </row>
    <row r="949">
      <c r="A949" s="58"/>
    </row>
    <row r="950">
      <c r="A950" s="58"/>
    </row>
    <row r="951">
      <c r="A951" s="58"/>
    </row>
    <row r="952">
      <c r="A952" s="58"/>
    </row>
    <row r="953">
      <c r="A953" s="58"/>
    </row>
    <row r="954">
      <c r="A954" s="58"/>
    </row>
    <row r="955">
      <c r="A955" s="58"/>
    </row>
    <row r="956">
      <c r="A956" s="58"/>
    </row>
    <row r="957">
      <c r="A957" s="58"/>
    </row>
    <row r="958">
      <c r="A958" s="58"/>
    </row>
    <row r="959">
      <c r="A959" s="58"/>
    </row>
    <row r="960">
      <c r="A960" s="58"/>
    </row>
    <row r="961">
      <c r="A961" s="58"/>
    </row>
    <row r="962">
      <c r="A962" s="58"/>
    </row>
    <row r="963">
      <c r="A963" s="58"/>
    </row>
    <row r="964">
      <c r="A964" s="58"/>
    </row>
    <row r="965">
      <c r="A965" s="58"/>
    </row>
    <row r="966">
      <c r="A966" s="58"/>
    </row>
    <row r="967">
      <c r="A967" s="58"/>
    </row>
    <row r="968">
      <c r="A968" s="58"/>
    </row>
    <row r="969">
      <c r="A969" s="58"/>
    </row>
    <row r="970">
      <c r="A970" s="58"/>
    </row>
    <row r="971">
      <c r="A971" s="58"/>
    </row>
    <row r="972">
      <c r="A972" s="58"/>
    </row>
    <row r="973">
      <c r="A973" s="58"/>
    </row>
    <row r="974">
      <c r="A974" s="58"/>
    </row>
    <row r="975">
      <c r="A975" s="58"/>
    </row>
    <row r="976">
      <c r="A976" s="58"/>
    </row>
    <row r="977">
      <c r="A977" s="58"/>
    </row>
    <row r="978">
      <c r="A978" s="58"/>
    </row>
    <row r="979">
      <c r="A979" s="58"/>
    </row>
    <row r="980">
      <c r="A980" s="58"/>
    </row>
    <row r="981">
      <c r="A981" s="58"/>
    </row>
    <row r="982">
      <c r="A982" s="58"/>
    </row>
    <row r="983">
      <c r="A983" s="58"/>
    </row>
    <row r="984">
      <c r="A984" s="58"/>
    </row>
    <row r="985">
      <c r="A985" s="58"/>
    </row>
    <row r="986">
      <c r="A986" s="58"/>
    </row>
    <row r="987">
      <c r="A987" s="58"/>
    </row>
    <row r="988">
      <c r="A988" s="58"/>
    </row>
    <row r="989">
      <c r="A989" s="58"/>
    </row>
    <row r="990">
      <c r="A990" s="58"/>
    </row>
    <row r="991">
      <c r="A991" s="58"/>
    </row>
    <row r="992">
      <c r="A992" s="58"/>
    </row>
    <row r="993">
      <c r="A993" s="58"/>
    </row>
    <row r="994">
      <c r="A994" s="58"/>
    </row>
    <row r="995">
      <c r="A995" s="58"/>
    </row>
    <row r="996">
      <c r="A996" s="58"/>
    </row>
    <row r="997">
      <c r="A997" s="58"/>
    </row>
    <row r="998">
      <c r="A998" s="58"/>
    </row>
    <row r="999">
      <c r="A999" s="58"/>
    </row>
    <row r="1000">
      <c r="A1000" s="58"/>
    </row>
    <row r="1001">
      <c r="A1001" s="5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28.5"/>
    <col customWidth="1" min="5" max="5" width="13.75"/>
    <col customWidth="1" min="6" max="6" width="29.25"/>
    <col customWidth="1" min="7" max="7" width="20.75"/>
  </cols>
  <sheetData>
    <row r="1">
      <c r="A1" s="2"/>
      <c r="B1" s="2"/>
      <c r="C1" s="2"/>
      <c r="D1" s="2"/>
      <c r="F1" s="2"/>
      <c r="G1" s="2"/>
    </row>
    <row r="2" ht="23.25" customHeight="1">
      <c r="A2" s="294">
        <v>45870.0</v>
      </c>
      <c r="B2" s="295" t="s">
        <v>1321</v>
      </c>
      <c r="C2" s="295" t="s">
        <v>1956</v>
      </c>
      <c r="D2" s="295" t="s">
        <v>1333</v>
      </c>
      <c r="E2" s="296"/>
      <c r="F2" s="297"/>
      <c r="G2" s="297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</row>
    <row r="3">
      <c r="A3" s="299"/>
      <c r="B3" s="253">
        <v>45886.0</v>
      </c>
      <c r="C3" s="99" t="s">
        <v>1957</v>
      </c>
      <c r="D3" s="99">
        <v>25100.0</v>
      </c>
      <c r="E3" s="152"/>
      <c r="F3" s="100"/>
      <c r="G3" s="100"/>
    </row>
    <row r="4">
      <c r="A4" s="299"/>
      <c r="B4" s="253">
        <v>45892.0</v>
      </c>
      <c r="C4" s="99" t="s">
        <v>1958</v>
      </c>
      <c r="D4" s="99">
        <v>240.0</v>
      </c>
      <c r="E4" s="152"/>
      <c r="F4" s="99" t="s">
        <v>1959</v>
      </c>
      <c r="G4" s="100"/>
    </row>
    <row r="5">
      <c r="A5" s="299"/>
      <c r="B5" s="253">
        <v>45897.0</v>
      </c>
      <c r="C5" s="99" t="s">
        <v>1957</v>
      </c>
      <c r="D5" s="99">
        <v>30593.0</v>
      </c>
      <c r="E5" s="152"/>
      <c r="F5" s="100"/>
      <c r="G5" s="100"/>
    </row>
    <row r="6">
      <c r="A6" s="299"/>
      <c r="B6" s="253">
        <v>45897.0</v>
      </c>
      <c r="C6" s="110" t="s">
        <v>1960</v>
      </c>
      <c r="D6" s="128">
        <v>1912.0</v>
      </c>
      <c r="E6" s="152"/>
      <c r="F6" s="99" t="s">
        <v>1961</v>
      </c>
      <c r="G6" s="100"/>
    </row>
    <row r="7">
      <c r="A7" s="300"/>
      <c r="B7" s="100"/>
      <c r="C7" s="110" t="s">
        <v>1384</v>
      </c>
      <c r="D7" s="162">
        <f>SUM(D3:D6)</f>
        <v>57845</v>
      </c>
      <c r="E7" s="152"/>
      <c r="F7" s="100"/>
      <c r="G7" s="100"/>
    </row>
    <row r="8">
      <c r="A8" s="2"/>
      <c r="B8" s="2"/>
      <c r="C8" s="2"/>
      <c r="D8" s="2"/>
      <c r="F8" s="2"/>
      <c r="G8" s="2"/>
    </row>
    <row r="9">
      <c r="A9" s="294">
        <v>45901.0</v>
      </c>
      <c r="B9" s="295" t="s">
        <v>1321</v>
      </c>
      <c r="C9" s="295" t="s">
        <v>1956</v>
      </c>
      <c r="D9" s="295" t="s">
        <v>1333</v>
      </c>
      <c r="E9" s="301"/>
      <c r="F9" s="302"/>
      <c r="G9" s="302"/>
    </row>
    <row r="10">
      <c r="A10" s="299"/>
      <c r="B10" s="253">
        <v>45908.0</v>
      </c>
      <c r="C10" s="99" t="s">
        <v>1962</v>
      </c>
      <c r="D10" s="99">
        <v>7725.0</v>
      </c>
      <c r="E10" s="152"/>
      <c r="F10" s="99" t="s">
        <v>1963</v>
      </c>
      <c r="G10" s="100"/>
    </row>
    <row r="11">
      <c r="A11" s="299"/>
      <c r="B11" s="253">
        <v>45913.0</v>
      </c>
      <c r="C11" s="99" t="s">
        <v>1964</v>
      </c>
      <c r="D11" s="99">
        <v>7922.0</v>
      </c>
      <c r="E11" s="152"/>
      <c r="F11" s="100"/>
      <c r="G11" s="100"/>
    </row>
    <row r="12">
      <c r="A12" s="299"/>
      <c r="B12" s="253">
        <v>45913.0</v>
      </c>
      <c r="C12" s="99" t="s">
        <v>1964</v>
      </c>
      <c r="D12" s="99">
        <v>908.0</v>
      </c>
      <c r="E12" s="152"/>
      <c r="F12" s="100"/>
      <c r="G12" s="100"/>
    </row>
    <row r="13">
      <c r="A13" s="299"/>
      <c r="B13" s="253">
        <v>45913.0</v>
      </c>
      <c r="C13" s="99" t="s">
        <v>1965</v>
      </c>
      <c r="D13" s="99">
        <v>757.0</v>
      </c>
      <c r="E13" s="152"/>
      <c r="F13" s="99" t="s">
        <v>1966</v>
      </c>
      <c r="G13" s="100"/>
    </row>
    <row r="14">
      <c r="A14" s="299"/>
      <c r="B14" s="253">
        <v>45915.0</v>
      </c>
      <c r="C14" s="99" t="s">
        <v>1967</v>
      </c>
      <c r="D14" s="99">
        <v>275.0</v>
      </c>
      <c r="E14" s="99">
        <v>328.0</v>
      </c>
      <c r="F14" s="99" t="s">
        <v>1968</v>
      </c>
      <c r="G14" s="100"/>
    </row>
    <row r="15">
      <c r="A15" s="299"/>
      <c r="B15" s="253">
        <v>45915.0</v>
      </c>
      <c r="C15" s="99" t="s">
        <v>1969</v>
      </c>
      <c r="D15" s="99">
        <v>1895.0</v>
      </c>
      <c r="E15" s="152"/>
      <c r="F15" s="99" t="s">
        <v>1350</v>
      </c>
      <c r="G15" s="100"/>
    </row>
    <row r="16">
      <c r="A16" s="299"/>
      <c r="B16" s="253">
        <v>45916.0</v>
      </c>
      <c r="C16" s="99" t="s">
        <v>1970</v>
      </c>
      <c r="D16" s="99">
        <v>2716.0</v>
      </c>
      <c r="E16" s="152"/>
      <c r="F16" s="99" t="s">
        <v>1971</v>
      </c>
      <c r="G16" s="100"/>
    </row>
    <row r="17">
      <c r="A17" s="299"/>
      <c r="B17" s="253">
        <v>45920.0</v>
      </c>
      <c r="C17" s="99" t="s">
        <v>1972</v>
      </c>
      <c r="D17" s="99">
        <v>840.0</v>
      </c>
      <c r="E17" s="152"/>
      <c r="F17" s="99" t="s">
        <v>1966</v>
      </c>
      <c r="G17" s="100"/>
    </row>
    <row r="18">
      <c r="A18" s="299"/>
      <c r="B18" s="253">
        <v>45920.0</v>
      </c>
      <c r="C18" s="99" t="s">
        <v>1973</v>
      </c>
      <c r="D18" s="99">
        <v>2000.0</v>
      </c>
      <c r="E18" s="152"/>
      <c r="F18" s="99" t="s">
        <v>1966</v>
      </c>
      <c r="G18" s="99" t="s">
        <v>1974</v>
      </c>
    </row>
    <row r="19">
      <c r="A19" s="299"/>
      <c r="B19" s="253">
        <v>45920.0</v>
      </c>
      <c r="C19" s="99" t="s">
        <v>1975</v>
      </c>
      <c r="D19" s="99">
        <v>9709.0</v>
      </c>
      <c r="E19" s="152"/>
      <c r="F19" s="100"/>
      <c r="G19" s="100"/>
    </row>
    <row r="20">
      <c r="A20" s="299"/>
      <c r="B20" s="253">
        <v>45920.0</v>
      </c>
      <c r="C20" s="99" t="s">
        <v>1975</v>
      </c>
      <c r="D20" s="99">
        <v>2270.0</v>
      </c>
      <c r="E20" s="152"/>
      <c r="F20" s="100"/>
      <c r="G20" s="100"/>
    </row>
    <row r="21">
      <c r="A21" s="299"/>
      <c r="B21" s="253">
        <v>45925.0</v>
      </c>
      <c r="C21" s="99" t="s">
        <v>1976</v>
      </c>
      <c r="D21" s="99">
        <v>4775.0</v>
      </c>
      <c r="E21" s="152"/>
      <c r="F21" s="99" t="s">
        <v>1966</v>
      </c>
      <c r="G21" s="99" t="s">
        <v>1977</v>
      </c>
    </row>
    <row r="22">
      <c r="A22" s="299"/>
      <c r="B22" s="253">
        <v>45929.0</v>
      </c>
      <c r="C22" s="99" t="s">
        <v>1975</v>
      </c>
      <c r="D22" s="99">
        <v>4320.0</v>
      </c>
      <c r="E22" s="152"/>
      <c r="F22" s="99" t="s">
        <v>1966</v>
      </c>
      <c r="G22" s="100"/>
    </row>
    <row r="23">
      <c r="A23" s="299"/>
      <c r="B23" s="253">
        <v>45929.0</v>
      </c>
      <c r="C23" s="99" t="s">
        <v>1978</v>
      </c>
      <c r="D23" s="99">
        <v>120.0</v>
      </c>
      <c r="E23" s="152"/>
      <c r="F23" s="99" t="s">
        <v>1966</v>
      </c>
      <c r="G23" s="99" t="s">
        <v>1979</v>
      </c>
    </row>
    <row r="24">
      <c r="A24" s="300"/>
      <c r="B24" s="100"/>
      <c r="C24" s="110" t="s">
        <v>1337</v>
      </c>
      <c r="D24" s="162">
        <f>SUM(D10:D23)</f>
        <v>46232</v>
      </c>
      <c r="E24" s="152"/>
      <c r="F24" s="100"/>
      <c r="G24" s="100"/>
    </row>
    <row r="25">
      <c r="A25" s="2"/>
      <c r="B25" s="2"/>
      <c r="C25" s="2"/>
      <c r="D25" s="2"/>
      <c r="F25" s="2"/>
      <c r="G25" s="2"/>
    </row>
    <row r="26">
      <c r="A26" s="294">
        <v>45931.0</v>
      </c>
      <c r="B26" s="295" t="s">
        <v>1321</v>
      </c>
      <c r="C26" s="295" t="s">
        <v>1956</v>
      </c>
      <c r="D26" s="295" t="s">
        <v>1333</v>
      </c>
      <c r="E26" s="296"/>
      <c r="F26" s="297"/>
      <c r="G26" s="297"/>
    </row>
    <row r="27">
      <c r="A27" s="299"/>
      <c r="B27" s="99" t="s">
        <v>1980</v>
      </c>
      <c r="C27" s="99" t="s">
        <v>1981</v>
      </c>
      <c r="D27" s="99">
        <v>215.0</v>
      </c>
      <c r="E27" s="152"/>
      <c r="F27" s="99" t="s">
        <v>1966</v>
      </c>
      <c r="G27" s="100"/>
    </row>
    <row r="28">
      <c r="A28" s="299"/>
      <c r="B28" s="253">
        <v>45932.0</v>
      </c>
      <c r="C28" s="99" t="s">
        <v>1982</v>
      </c>
      <c r="D28" s="99">
        <v>4500.0</v>
      </c>
      <c r="E28" s="152"/>
      <c r="F28" s="99"/>
      <c r="G28" s="99" t="s">
        <v>1983</v>
      </c>
    </row>
    <row r="29">
      <c r="A29" s="299"/>
      <c r="B29" s="253">
        <v>45933.0</v>
      </c>
      <c r="C29" s="99" t="s">
        <v>1973</v>
      </c>
      <c r="D29" s="99">
        <v>1500.0</v>
      </c>
      <c r="E29" s="152"/>
      <c r="F29" s="99" t="s">
        <v>1966</v>
      </c>
      <c r="G29" s="99" t="s">
        <v>1974</v>
      </c>
    </row>
    <row r="30">
      <c r="A30" s="299"/>
      <c r="B30" s="253">
        <v>45937.0</v>
      </c>
      <c r="C30" s="99" t="s">
        <v>1984</v>
      </c>
      <c r="D30" s="99">
        <v>2139.0</v>
      </c>
      <c r="E30" s="152"/>
      <c r="F30" s="99" t="s">
        <v>1971</v>
      </c>
      <c r="G30" s="100"/>
    </row>
    <row r="31">
      <c r="A31" s="299"/>
      <c r="B31" s="303">
        <v>45944.0</v>
      </c>
      <c r="C31" s="99" t="s">
        <v>1985</v>
      </c>
      <c r="D31" s="99">
        <v>550.0</v>
      </c>
      <c r="E31" s="152"/>
      <c r="F31" s="99" t="s">
        <v>1986</v>
      </c>
      <c r="G31" s="99" t="s">
        <v>1987</v>
      </c>
    </row>
    <row r="32">
      <c r="A32" s="299"/>
      <c r="B32" s="303">
        <v>45950.0</v>
      </c>
      <c r="C32" s="99" t="s">
        <v>1988</v>
      </c>
      <c r="D32" s="99">
        <v>1475.0</v>
      </c>
      <c r="E32" s="152"/>
      <c r="F32" s="99" t="s">
        <v>1966</v>
      </c>
      <c r="G32" s="99" t="s">
        <v>1989</v>
      </c>
    </row>
    <row r="33">
      <c r="A33" s="299"/>
      <c r="B33" s="303">
        <v>45951.0</v>
      </c>
      <c r="C33" s="99" t="s">
        <v>1976</v>
      </c>
      <c r="D33" s="99">
        <v>336.0</v>
      </c>
      <c r="E33" s="152"/>
      <c r="F33" s="99" t="s">
        <v>1966</v>
      </c>
      <c r="G33" s="100"/>
    </row>
    <row r="34">
      <c r="A34" s="300"/>
      <c r="B34" s="304">
        <v>45959.0</v>
      </c>
      <c r="C34" s="198" t="s">
        <v>1685</v>
      </c>
      <c r="D34" s="198">
        <v>5965.0</v>
      </c>
      <c r="E34" s="305"/>
      <c r="F34" s="198" t="s">
        <v>1990</v>
      </c>
      <c r="G34" s="306" t="s">
        <v>1991</v>
      </c>
    </row>
    <row r="35">
      <c r="A35" s="2"/>
      <c r="B35" s="2"/>
      <c r="C35" s="2"/>
      <c r="D35" s="2"/>
      <c r="F35" s="2"/>
      <c r="G35" s="2"/>
    </row>
    <row r="36">
      <c r="A36" s="2"/>
      <c r="B36" s="2"/>
      <c r="C36" s="2"/>
      <c r="D36" s="2"/>
      <c r="F36" s="2"/>
      <c r="G36" s="2"/>
    </row>
    <row r="37">
      <c r="A37" s="294">
        <v>45962.0</v>
      </c>
      <c r="B37" s="295" t="s">
        <v>1321</v>
      </c>
      <c r="C37" s="295" t="s">
        <v>1956</v>
      </c>
      <c r="D37" s="295" t="s">
        <v>1333</v>
      </c>
      <c r="E37" s="296"/>
      <c r="F37" s="297"/>
      <c r="G37" s="297"/>
    </row>
    <row r="38">
      <c r="A38" s="299"/>
      <c r="B38" s="51">
        <v>45972.0</v>
      </c>
      <c r="C38" s="35" t="s">
        <v>1992</v>
      </c>
      <c r="D38" s="307">
        <v>42370.0</v>
      </c>
      <c r="F38" s="2"/>
      <c r="G38" s="2"/>
    </row>
    <row r="39">
      <c r="A39" s="299"/>
      <c r="B39" s="51">
        <v>45972.0</v>
      </c>
      <c r="C39" s="35" t="s">
        <v>1984</v>
      </c>
      <c r="D39" s="35">
        <v>19746.0</v>
      </c>
      <c r="F39" s="35" t="s">
        <v>1993</v>
      </c>
      <c r="G39" s="35">
        <v>17750.0</v>
      </c>
    </row>
    <row r="40">
      <c r="A40" s="299"/>
      <c r="B40" s="2"/>
      <c r="C40" s="2"/>
      <c r="D40" s="2"/>
      <c r="F40" s="2"/>
      <c r="G40" s="2"/>
    </row>
    <row r="41">
      <c r="A41" s="299"/>
      <c r="B41" s="2"/>
      <c r="C41" s="2"/>
      <c r="D41" s="2"/>
      <c r="F41" s="2"/>
      <c r="G41" s="2"/>
    </row>
    <row r="42">
      <c r="A42" s="299"/>
      <c r="B42" s="2"/>
      <c r="C42" s="2"/>
      <c r="D42" s="2"/>
      <c r="F42" s="2"/>
      <c r="G42" s="2"/>
    </row>
    <row r="43">
      <c r="A43" s="299"/>
      <c r="B43" s="2"/>
      <c r="C43" s="2"/>
      <c r="D43" s="2"/>
      <c r="F43" s="2"/>
      <c r="G43" s="2"/>
    </row>
    <row r="44">
      <c r="A44" s="299"/>
      <c r="B44" s="2"/>
      <c r="C44" s="2"/>
      <c r="D44" s="2"/>
      <c r="F44" s="2"/>
      <c r="G44" s="2"/>
    </row>
    <row r="45">
      <c r="A45" s="300"/>
      <c r="B45" s="2"/>
      <c r="C45" s="2"/>
      <c r="D45" s="2"/>
      <c r="F45" s="2"/>
      <c r="G45" s="2"/>
    </row>
    <row r="46">
      <c r="A46" s="2"/>
      <c r="B46" s="2"/>
      <c r="C46" s="2"/>
      <c r="D46" s="2"/>
      <c r="F46" s="2"/>
      <c r="G46" s="2"/>
    </row>
    <row r="47">
      <c r="A47" s="2"/>
      <c r="B47" s="2"/>
      <c r="C47" s="2"/>
      <c r="D47" s="2"/>
      <c r="F47" s="2"/>
      <c r="G47" s="2"/>
    </row>
    <row r="48">
      <c r="A48" s="2"/>
      <c r="B48" s="2"/>
      <c r="C48" s="2"/>
      <c r="D48" s="2"/>
      <c r="F48" s="2"/>
      <c r="G48" s="2"/>
    </row>
    <row r="49">
      <c r="A49" s="2"/>
      <c r="B49" s="2"/>
      <c r="C49" s="2"/>
      <c r="D49" s="2"/>
      <c r="F49" s="2"/>
      <c r="G49" s="2"/>
    </row>
    <row r="50">
      <c r="A50" s="2"/>
      <c r="B50" s="2"/>
      <c r="C50" s="2"/>
      <c r="D50" s="2"/>
      <c r="F50" s="2"/>
      <c r="G50" s="2"/>
    </row>
    <row r="51">
      <c r="A51" s="2"/>
      <c r="B51" s="2"/>
      <c r="C51" s="2"/>
      <c r="D51" s="2"/>
      <c r="F51" s="2"/>
      <c r="G51" s="2"/>
    </row>
    <row r="52">
      <c r="A52" s="2"/>
      <c r="B52" s="2"/>
      <c r="C52" s="2"/>
      <c r="D52" s="2"/>
      <c r="F52" s="2"/>
      <c r="G52" s="2"/>
    </row>
    <row r="53">
      <c r="A53" s="2"/>
      <c r="B53" s="2"/>
      <c r="C53" s="2"/>
      <c r="D53" s="2"/>
      <c r="F53" s="2"/>
      <c r="G53" s="2"/>
    </row>
    <row r="54">
      <c r="A54" s="2"/>
      <c r="B54" s="2"/>
      <c r="C54" s="2"/>
      <c r="D54" s="2"/>
      <c r="F54" s="2"/>
      <c r="G54" s="2"/>
    </row>
    <row r="55">
      <c r="A55" s="2"/>
      <c r="B55" s="2"/>
      <c r="C55" s="2"/>
      <c r="D55" s="2"/>
      <c r="F55" s="2"/>
      <c r="G55" s="2"/>
    </row>
    <row r="56">
      <c r="A56" s="2"/>
      <c r="B56" s="2"/>
      <c r="C56" s="2"/>
      <c r="D56" s="2"/>
      <c r="F56" s="2"/>
      <c r="G56" s="2"/>
    </row>
    <row r="57">
      <c r="A57" s="2"/>
      <c r="B57" s="2"/>
      <c r="C57" s="2"/>
      <c r="D57" s="2"/>
      <c r="F57" s="2"/>
      <c r="G57" s="2"/>
    </row>
    <row r="58">
      <c r="A58" s="2"/>
      <c r="B58" s="2"/>
      <c r="C58" s="2"/>
      <c r="D58" s="2"/>
      <c r="F58" s="2"/>
      <c r="G58" s="2"/>
    </row>
    <row r="59">
      <c r="A59" s="2"/>
      <c r="B59" s="2"/>
      <c r="C59" s="2"/>
      <c r="D59" s="2"/>
      <c r="F59" s="2"/>
      <c r="G59" s="2"/>
    </row>
    <row r="60">
      <c r="A60" s="2"/>
      <c r="B60" s="2"/>
      <c r="C60" s="2"/>
      <c r="D60" s="2"/>
      <c r="F60" s="2"/>
      <c r="G60" s="2"/>
    </row>
    <row r="61">
      <c r="A61" s="2"/>
      <c r="B61" s="2"/>
      <c r="C61" s="2"/>
      <c r="D61" s="2"/>
      <c r="F61" s="2"/>
      <c r="G61" s="2"/>
    </row>
    <row r="62">
      <c r="A62" s="2"/>
      <c r="B62" s="2"/>
      <c r="C62" s="2"/>
      <c r="D62" s="2"/>
      <c r="F62" s="2"/>
      <c r="G62" s="2"/>
    </row>
    <row r="63">
      <c r="A63" s="2"/>
      <c r="B63" s="2"/>
      <c r="C63" s="2"/>
      <c r="D63" s="2"/>
      <c r="F63" s="2"/>
      <c r="G63" s="2"/>
    </row>
    <row r="64">
      <c r="A64" s="2"/>
      <c r="B64" s="2"/>
      <c r="C64" s="2"/>
      <c r="D64" s="2"/>
      <c r="F64" s="2"/>
      <c r="G64" s="2"/>
    </row>
    <row r="65">
      <c r="A65" s="2"/>
      <c r="B65" s="2"/>
      <c r="C65" s="2"/>
      <c r="D65" s="2"/>
      <c r="F65" s="2"/>
      <c r="G65" s="2"/>
    </row>
    <row r="66">
      <c r="A66" s="2"/>
      <c r="B66" s="2"/>
      <c r="C66" s="2"/>
      <c r="D66" s="2"/>
      <c r="F66" s="2"/>
      <c r="G66" s="2"/>
    </row>
    <row r="67">
      <c r="A67" s="2"/>
      <c r="B67" s="2"/>
      <c r="C67" s="2"/>
      <c r="D67" s="2"/>
      <c r="F67" s="2"/>
      <c r="G67" s="2"/>
    </row>
    <row r="68">
      <c r="A68" s="2"/>
      <c r="B68" s="2"/>
      <c r="C68" s="2"/>
      <c r="D68" s="2"/>
      <c r="F68" s="2"/>
      <c r="G68" s="2"/>
    </row>
    <row r="69">
      <c r="A69" s="2"/>
      <c r="B69" s="2"/>
      <c r="C69" s="2"/>
      <c r="D69" s="2"/>
      <c r="F69" s="2"/>
      <c r="G69" s="2"/>
    </row>
    <row r="70">
      <c r="A70" s="2"/>
      <c r="B70" s="2"/>
      <c r="C70" s="2"/>
      <c r="D70" s="2"/>
      <c r="F70" s="2"/>
      <c r="G70" s="2"/>
    </row>
    <row r="71">
      <c r="A71" s="2"/>
      <c r="B71" s="2"/>
      <c r="C71" s="2"/>
      <c r="D71" s="2"/>
      <c r="F71" s="2"/>
      <c r="G71" s="2"/>
    </row>
    <row r="72">
      <c r="A72" s="2"/>
      <c r="B72" s="2"/>
      <c r="C72" s="2"/>
      <c r="D72" s="2"/>
      <c r="F72" s="2"/>
      <c r="G72" s="2"/>
    </row>
    <row r="73">
      <c r="A73" s="2"/>
      <c r="B73" s="2"/>
      <c r="C73" s="2"/>
      <c r="D73" s="2"/>
      <c r="F73" s="2"/>
      <c r="G73" s="2"/>
    </row>
    <row r="74">
      <c r="A74" s="2"/>
      <c r="B74" s="2"/>
      <c r="C74" s="2"/>
      <c r="D74" s="2"/>
      <c r="F74" s="2"/>
      <c r="G74" s="2"/>
    </row>
    <row r="75">
      <c r="A75" s="2"/>
      <c r="B75" s="2"/>
      <c r="C75" s="2"/>
      <c r="D75" s="2"/>
      <c r="F75" s="2"/>
      <c r="G75" s="2"/>
    </row>
    <row r="76">
      <c r="A76" s="2"/>
      <c r="B76" s="2"/>
      <c r="C76" s="2"/>
      <c r="D76" s="2"/>
      <c r="F76" s="2"/>
      <c r="G76" s="2"/>
    </row>
    <row r="77">
      <c r="A77" s="2"/>
      <c r="B77" s="2"/>
      <c r="C77" s="2"/>
      <c r="D77" s="2"/>
      <c r="F77" s="2"/>
      <c r="G77" s="2"/>
    </row>
    <row r="78">
      <c r="A78" s="2"/>
      <c r="B78" s="2"/>
      <c r="C78" s="2"/>
      <c r="D78" s="2"/>
      <c r="F78" s="2"/>
      <c r="G78" s="2"/>
    </row>
    <row r="79">
      <c r="A79" s="2"/>
      <c r="B79" s="2"/>
      <c r="C79" s="2"/>
      <c r="D79" s="2"/>
      <c r="F79" s="2"/>
      <c r="G79" s="2"/>
    </row>
    <row r="80">
      <c r="A80" s="2"/>
      <c r="B80" s="2"/>
      <c r="C80" s="2"/>
      <c r="D80" s="2"/>
      <c r="F80" s="2"/>
      <c r="G80" s="2"/>
    </row>
    <row r="81">
      <c r="A81" s="2"/>
      <c r="B81" s="2"/>
      <c r="C81" s="2"/>
      <c r="D81" s="2"/>
      <c r="F81" s="2"/>
      <c r="G81" s="2"/>
    </row>
    <row r="82">
      <c r="A82" s="2"/>
      <c r="B82" s="2"/>
      <c r="C82" s="2"/>
      <c r="D82" s="2"/>
      <c r="F82" s="2"/>
      <c r="G82" s="2"/>
    </row>
    <row r="83">
      <c r="A83" s="2"/>
      <c r="B83" s="2"/>
      <c r="C83" s="2"/>
      <c r="D83" s="2"/>
      <c r="F83" s="2"/>
      <c r="G83" s="2"/>
    </row>
    <row r="84">
      <c r="A84" s="2"/>
      <c r="B84" s="2"/>
      <c r="C84" s="2"/>
      <c r="D84" s="2"/>
      <c r="F84" s="2"/>
      <c r="G84" s="2"/>
    </row>
    <row r="85">
      <c r="A85" s="2"/>
      <c r="B85" s="2"/>
      <c r="C85" s="2"/>
      <c r="D85" s="2"/>
      <c r="F85" s="2"/>
      <c r="G85" s="2"/>
    </row>
    <row r="86">
      <c r="A86" s="2"/>
      <c r="B86" s="2"/>
      <c r="C86" s="2"/>
      <c r="D86" s="2"/>
      <c r="F86" s="2"/>
      <c r="G86" s="2"/>
    </row>
    <row r="87">
      <c r="A87" s="2"/>
      <c r="B87" s="2"/>
      <c r="C87" s="2"/>
      <c r="D87" s="2"/>
      <c r="F87" s="2"/>
      <c r="G87" s="2"/>
    </row>
    <row r="88">
      <c r="A88" s="2"/>
      <c r="B88" s="2"/>
      <c r="C88" s="2"/>
      <c r="D88" s="2"/>
      <c r="F88" s="2"/>
      <c r="G88" s="2"/>
    </row>
    <row r="89">
      <c r="A89" s="2"/>
      <c r="B89" s="2"/>
      <c r="C89" s="2"/>
      <c r="D89" s="2"/>
      <c r="F89" s="2"/>
      <c r="G89" s="2"/>
    </row>
    <row r="90">
      <c r="A90" s="2"/>
      <c r="B90" s="2"/>
      <c r="C90" s="2"/>
      <c r="D90" s="2"/>
      <c r="F90" s="2"/>
      <c r="G90" s="2"/>
    </row>
    <row r="91">
      <c r="A91" s="2"/>
      <c r="B91" s="2"/>
      <c r="C91" s="2"/>
      <c r="D91" s="2"/>
      <c r="F91" s="2"/>
      <c r="G91" s="2"/>
    </row>
    <row r="92">
      <c r="A92" s="2"/>
      <c r="B92" s="2"/>
      <c r="C92" s="2"/>
      <c r="D92" s="2"/>
      <c r="F92" s="2"/>
      <c r="G92" s="2"/>
    </row>
    <row r="93">
      <c r="A93" s="2"/>
      <c r="B93" s="2"/>
      <c r="C93" s="2"/>
      <c r="D93" s="2"/>
      <c r="F93" s="2"/>
      <c r="G93" s="2"/>
    </row>
    <row r="94">
      <c r="A94" s="2"/>
      <c r="B94" s="2"/>
      <c r="C94" s="2"/>
      <c r="D94" s="2"/>
      <c r="F94" s="2"/>
      <c r="G94" s="2"/>
    </row>
    <row r="95">
      <c r="A95" s="2"/>
      <c r="B95" s="2"/>
      <c r="C95" s="2"/>
      <c r="D95" s="2"/>
      <c r="F95" s="2"/>
      <c r="G95" s="2"/>
    </row>
    <row r="96">
      <c r="A96" s="2"/>
      <c r="B96" s="2"/>
      <c r="C96" s="2"/>
      <c r="D96" s="2"/>
      <c r="F96" s="2"/>
      <c r="G96" s="2"/>
    </row>
    <row r="97">
      <c r="A97" s="2"/>
      <c r="B97" s="2"/>
      <c r="C97" s="2"/>
      <c r="D97" s="2"/>
      <c r="F97" s="2"/>
      <c r="G97" s="2"/>
    </row>
    <row r="98">
      <c r="A98" s="2"/>
      <c r="B98" s="2"/>
      <c r="C98" s="2"/>
      <c r="D98" s="2"/>
      <c r="F98" s="2"/>
      <c r="G98" s="2"/>
    </row>
    <row r="99">
      <c r="A99" s="2"/>
      <c r="B99" s="2"/>
      <c r="C99" s="2"/>
      <c r="D99" s="2"/>
      <c r="F99" s="2"/>
      <c r="G99" s="2"/>
    </row>
    <row r="100">
      <c r="A100" s="2"/>
      <c r="B100" s="2"/>
      <c r="C100" s="2"/>
      <c r="D100" s="2"/>
      <c r="F100" s="2"/>
      <c r="G100" s="2"/>
    </row>
    <row r="101">
      <c r="A101" s="2"/>
      <c r="B101" s="2"/>
      <c r="C101" s="2"/>
      <c r="D101" s="2"/>
      <c r="F101" s="2"/>
      <c r="G101" s="2"/>
    </row>
    <row r="102">
      <c r="A102" s="2"/>
      <c r="B102" s="2"/>
      <c r="C102" s="2"/>
      <c r="D102" s="2"/>
      <c r="F102" s="2"/>
      <c r="G102" s="2"/>
    </row>
    <row r="103">
      <c r="A103" s="2"/>
      <c r="B103" s="2"/>
      <c r="C103" s="2"/>
      <c r="D103" s="2"/>
      <c r="F103" s="2"/>
      <c r="G103" s="2"/>
    </row>
    <row r="104">
      <c r="A104" s="2"/>
      <c r="B104" s="2"/>
      <c r="C104" s="2"/>
      <c r="D104" s="2"/>
      <c r="F104" s="2"/>
      <c r="G104" s="2"/>
    </row>
    <row r="105">
      <c r="A105" s="2"/>
      <c r="B105" s="2"/>
      <c r="C105" s="2"/>
      <c r="D105" s="2"/>
      <c r="F105" s="2"/>
      <c r="G105" s="2"/>
    </row>
    <row r="106">
      <c r="A106" s="2"/>
      <c r="B106" s="2"/>
      <c r="C106" s="2"/>
      <c r="D106" s="2"/>
      <c r="F106" s="2"/>
      <c r="G106" s="2"/>
    </row>
    <row r="107">
      <c r="A107" s="2"/>
      <c r="B107" s="2"/>
      <c r="C107" s="2"/>
      <c r="D107" s="2"/>
      <c r="F107" s="2"/>
      <c r="G107" s="2"/>
    </row>
    <row r="108">
      <c r="A108" s="2"/>
      <c r="B108" s="2"/>
      <c r="C108" s="2"/>
      <c r="D108" s="2"/>
      <c r="F108" s="2"/>
      <c r="G108" s="2"/>
    </row>
    <row r="109">
      <c r="A109" s="2"/>
      <c r="B109" s="2"/>
      <c r="C109" s="2"/>
      <c r="D109" s="2"/>
      <c r="F109" s="2"/>
      <c r="G109" s="2"/>
    </row>
    <row r="110">
      <c r="A110" s="2"/>
      <c r="B110" s="2"/>
      <c r="C110" s="2"/>
      <c r="D110" s="2"/>
      <c r="F110" s="2"/>
      <c r="G110" s="2"/>
    </row>
    <row r="111">
      <c r="A111" s="2"/>
      <c r="B111" s="2"/>
      <c r="C111" s="2"/>
      <c r="D111" s="2"/>
      <c r="F111" s="2"/>
      <c r="G111" s="2"/>
    </row>
    <row r="112">
      <c r="A112" s="2"/>
      <c r="B112" s="2"/>
      <c r="C112" s="2"/>
      <c r="D112" s="2"/>
      <c r="F112" s="2"/>
      <c r="G112" s="2"/>
    </row>
    <row r="113">
      <c r="A113" s="2"/>
      <c r="B113" s="2"/>
      <c r="C113" s="2"/>
      <c r="D113" s="2"/>
      <c r="F113" s="2"/>
      <c r="G113" s="2"/>
    </row>
    <row r="114">
      <c r="A114" s="2"/>
      <c r="B114" s="2"/>
      <c r="C114" s="2"/>
      <c r="D114" s="2"/>
      <c r="F114" s="2"/>
      <c r="G114" s="2"/>
    </row>
    <row r="115">
      <c r="A115" s="2"/>
      <c r="B115" s="2"/>
      <c r="C115" s="2"/>
      <c r="D115" s="2"/>
      <c r="F115" s="2"/>
      <c r="G115" s="2"/>
    </row>
    <row r="116">
      <c r="A116" s="2"/>
      <c r="B116" s="2"/>
      <c r="C116" s="2"/>
      <c r="D116" s="2"/>
      <c r="F116" s="2"/>
      <c r="G116" s="2"/>
    </row>
    <row r="117">
      <c r="A117" s="2"/>
      <c r="B117" s="2"/>
      <c r="C117" s="2"/>
      <c r="D117" s="2"/>
      <c r="F117" s="2"/>
      <c r="G117" s="2"/>
    </row>
    <row r="118">
      <c r="A118" s="2"/>
      <c r="B118" s="2"/>
      <c r="C118" s="2"/>
      <c r="D118" s="2"/>
      <c r="F118" s="2"/>
      <c r="G118" s="2"/>
    </row>
    <row r="119">
      <c r="A119" s="2"/>
      <c r="B119" s="2"/>
      <c r="C119" s="2"/>
      <c r="D119" s="2"/>
      <c r="F119" s="2"/>
      <c r="G119" s="2"/>
    </row>
    <row r="120">
      <c r="A120" s="2"/>
      <c r="B120" s="2"/>
      <c r="C120" s="2"/>
      <c r="D120" s="2"/>
      <c r="F120" s="2"/>
      <c r="G120" s="2"/>
    </row>
    <row r="121">
      <c r="A121" s="2"/>
      <c r="B121" s="2"/>
      <c r="C121" s="2"/>
      <c r="D121" s="2"/>
      <c r="F121" s="2"/>
      <c r="G121" s="2"/>
    </row>
    <row r="122">
      <c r="A122" s="2"/>
      <c r="B122" s="2"/>
      <c r="C122" s="2"/>
      <c r="D122" s="2"/>
      <c r="F122" s="2"/>
      <c r="G122" s="2"/>
    </row>
    <row r="123">
      <c r="A123" s="2"/>
      <c r="B123" s="2"/>
      <c r="C123" s="2"/>
      <c r="D123" s="2"/>
      <c r="F123" s="2"/>
      <c r="G123" s="2"/>
    </row>
    <row r="124">
      <c r="A124" s="2"/>
      <c r="B124" s="2"/>
      <c r="C124" s="2"/>
      <c r="D124" s="2"/>
      <c r="F124" s="2"/>
      <c r="G124" s="2"/>
    </row>
    <row r="125">
      <c r="A125" s="2"/>
      <c r="B125" s="2"/>
      <c r="C125" s="2"/>
      <c r="D125" s="2"/>
      <c r="F125" s="2"/>
      <c r="G125" s="2"/>
    </row>
    <row r="126">
      <c r="A126" s="2"/>
      <c r="B126" s="2"/>
      <c r="C126" s="2"/>
      <c r="D126" s="2"/>
      <c r="F126" s="2"/>
      <c r="G126" s="2"/>
    </row>
    <row r="127">
      <c r="A127" s="2"/>
      <c r="B127" s="2"/>
      <c r="C127" s="2"/>
      <c r="D127" s="2"/>
      <c r="F127" s="2"/>
      <c r="G127" s="2"/>
    </row>
    <row r="128">
      <c r="A128" s="2"/>
      <c r="B128" s="2"/>
      <c r="C128" s="2"/>
      <c r="D128" s="2"/>
      <c r="F128" s="2"/>
      <c r="G128" s="2"/>
    </row>
    <row r="129">
      <c r="A129" s="2"/>
      <c r="B129" s="2"/>
      <c r="C129" s="2"/>
      <c r="D129" s="2"/>
      <c r="F129" s="2"/>
      <c r="G129" s="2"/>
    </row>
    <row r="130">
      <c r="A130" s="2"/>
      <c r="B130" s="2"/>
      <c r="C130" s="2"/>
      <c r="D130" s="2"/>
      <c r="F130" s="2"/>
      <c r="G130" s="2"/>
    </row>
    <row r="131">
      <c r="A131" s="2"/>
      <c r="B131" s="2"/>
      <c r="C131" s="2"/>
      <c r="D131" s="2"/>
      <c r="F131" s="2"/>
      <c r="G131" s="2"/>
    </row>
    <row r="132">
      <c r="A132" s="2"/>
      <c r="B132" s="2"/>
      <c r="C132" s="2"/>
      <c r="D132" s="2"/>
      <c r="F132" s="2"/>
      <c r="G132" s="2"/>
    </row>
    <row r="133">
      <c r="A133" s="2"/>
      <c r="B133" s="2"/>
      <c r="C133" s="2"/>
      <c r="D133" s="2"/>
      <c r="F133" s="2"/>
      <c r="G133" s="2"/>
    </row>
    <row r="134">
      <c r="A134" s="2"/>
      <c r="B134" s="2"/>
      <c r="C134" s="2"/>
      <c r="D134" s="2"/>
      <c r="F134" s="2"/>
      <c r="G134" s="2"/>
    </row>
    <row r="135">
      <c r="A135" s="2"/>
      <c r="B135" s="2"/>
      <c r="C135" s="2"/>
      <c r="D135" s="2"/>
      <c r="F135" s="2"/>
      <c r="G135" s="2"/>
    </row>
    <row r="136">
      <c r="A136" s="2"/>
      <c r="B136" s="2"/>
      <c r="C136" s="2"/>
      <c r="D136" s="2"/>
      <c r="F136" s="2"/>
      <c r="G136" s="2"/>
    </row>
    <row r="137">
      <c r="A137" s="2"/>
      <c r="B137" s="2"/>
      <c r="C137" s="2"/>
      <c r="D137" s="2"/>
      <c r="F137" s="2"/>
      <c r="G137" s="2"/>
    </row>
    <row r="138">
      <c r="A138" s="2"/>
      <c r="B138" s="2"/>
      <c r="C138" s="2"/>
      <c r="D138" s="2"/>
      <c r="F138" s="2"/>
      <c r="G138" s="2"/>
    </row>
    <row r="139">
      <c r="A139" s="2"/>
      <c r="B139" s="2"/>
      <c r="C139" s="2"/>
      <c r="D139" s="2"/>
      <c r="F139" s="2"/>
      <c r="G139" s="2"/>
    </row>
    <row r="140">
      <c r="A140" s="2"/>
      <c r="B140" s="2"/>
      <c r="C140" s="2"/>
      <c r="D140" s="2"/>
      <c r="F140" s="2"/>
      <c r="G140" s="2"/>
    </row>
    <row r="141">
      <c r="A141" s="2"/>
      <c r="B141" s="2"/>
      <c r="C141" s="2"/>
      <c r="D141" s="2"/>
      <c r="F141" s="2"/>
      <c r="G141" s="2"/>
    </row>
    <row r="142">
      <c r="A142" s="2"/>
      <c r="B142" s="2"/>
      <c r="C142" s="2"/>
      <c r="D142" s="2"/>
      <c r="F142" s="2"/>
      <c r="G142" s="2"/>
    </row>
    <row r="143">
      <c r="A143" s="2"/>
      <c r="B143" s="2"/>
      <c r="C143" s="2"/>
      <c r="D143" s="2"/>
      <c r="F143" s="2"/>
      <c r="G143" s="2"/>
    </row>
    <row r="144">
      <c r="A144" s="2"/>
      <c r="B144" s="2"/>
      <c r="C144" s="2"/>
      <c r="D144" s="2"/>
      <c r="F144" s="2"/>
      <c r="G144" s="2"/>
    </row>
    <row r="145">
      <c r="A145" s="2"/>
      <c r="B145" s="2"/>
      <c r="C145" s="2"/>
      <c r="D145" s="2"/>
      <c r="F145" s="2"/>
      <c r="G145" s="2"/>
    </row>
    <row r="146">
      <c r="A146" s="2"/>
      <c r="B146" s="2"/>
      <c r="C146" s="2"/>
      <c r="D146" s="2"/>
      <c r="F146" s="2"/>
      <c r="G146" s="2"/>
    </row>
    <row r="147">
      <c r="A147" s="2"/>
      <c r="B147" s="2"/>
      <c r="C147" s="2"/>
      <c r="D147" s="2"/>
      <c r="F147" s="2"/>
      <c r="G147" s="2"/>
    </row>
    <row r="148">
      <c r="A148" s="2"/>
      <c r="B148" s="2"/>
      <c r="C148" s="2"/>
      <c r="D148" s="2"/>
      <c r="F148" s="2"/>
      <c r="G148" s="2"/>
    </row>
    <row r="149">
      <c r="A149" s="2"/>
      <c r="B149" s="2"/>
      <c r="C149" s="2"/>
      <c r="D149" s="2"/>
      <c r="F149" s="2"/>
      <c r="G149" s="2"/>
    </row>
    <row r="150">
      <c r="A150" s="2"/>
      <c r="B150" s="2"/>
      <c r="C150" s="2"/>
      <c r="D150" s="2"/>
      <c r="F150" s="2"/>
      <c r="G150" s="2"/>
    </row>
    <row r="151">
      <c r="A151" s="2"/>
      <c r="B151" s="2"/>
      <c r="C151" s="2"/>
      <c r="D151" s="2"/>
      <c r="F151" s="2"/>
      <c r="G151" s="2"/>
    </row>
    <row r="152">
      <c r="A152" s="2"/>
      <c r="B152" s="2"/>
      <c r="C152" s="2"/>
      <c r="D152" s="2"/>
      <c r="F152" s="2"/>
      <c r="G152" s="2"/>
    </row>
    <row r="153">
      <c r="A153" s="2"/>
      <c r="B153" s="2"/>
      <c r="C153" s="2"/>
      <c r="D153" s="2"/>
      <c r="F153" s="2"/>
      <c r="G153" s="2"/>
    </row>
    <row r="154">
      <c r="A154" s="2"/>
      <c r="B154" s="2"/>
      <c r="C154" s="2"/>
      <c r="D154" s="2"/>
      <c r="F154" s="2"/>
      <c r="G154" s="2"/>
    </row>
    <row r="155">
      <c r="A155" s="2"/>
      <c r="B155" s="2"/>
      <c r="C155" s="2"/>
      <c r="D155" s="2"/>
      <c r="F155" s="2"/>
      <c r="G155" s="2"/>
    </row>
    <row r="156">
      <c r="A156" s="2"/>
      <c r="B156" s="2"/>
      <c r="C156" s="2"/>
      <c r="D156" s="2"/>
      <c r="F156" s="2"/>
      <c r="G156" s="2"/>
    </row>
    <row r="157">
      <c r="A157" s="2"/>
      <c r="B157" s="2"/>
      <c r="C157" s="2"/>
      <c r="D157" s="2"/>
      <c r="F157" s="2"/>
      <c r="G157" s="2"/>
    </row>
    <row r="158">
      <c r="A158" s="2"/>
      <c r="B158" s="2"/>
      <c r="C158" s="2"/>
      <c r="D158" s="2"/>
      <c r="F158" s="2"/>
      <c r="G158" s="2"/>
    </row>
    <row r="159">
      <c r="A159" s="2"/>
      <c r="B159" s="2"/>
      <c r="C159" s="2"/>
      <c r="D159" s="2"/>
      <c r="F159" s="2"/>
      <c r="G159" s="2"/>
    </row>
    <row r="160">
      <c r="A160" s="2"/>
      <c r="B160" s="2"/>
      <c r="C160" s="2"/>
      <c r="D160" s="2"/>
      <c r="F160" s="2"/>
      <c r="G160" s="2"/>
    </row>
    <row r="161">
      <c r="A161" s="2"/>
      <c r="B161" s="2"/>
      <c r="C161" s="2"/>
      <c r="D161" s="2"/>
      <c r="F161" s="2"/>
      <c r="G161" s="2"/>
    </row>
    <row r="162">
      <c r="A162" s="2"/>
      <c r="B162" s="2"/>
      <c r="C162" s="2"/>
      <c r="D162" s="2"/>
      <c r="F162" s="2"/>
      <c r="G162" s="2"/>
    </row>
    <row r="163">
      <c r="A163" s="2"/>
      <c r="B163" s="2"/>
      <c r="C163" s="2"/>
      <c r="D163" s="2"/>
      <c r="F163" s="2"/>
      <c r="G163" s="2"/>
    </row>
    <row r="164">
      <c r="A164" s="2"/>
      <c r="B164" s="2"/>
      <c r="C164" s="2"/>
      <c r="D164" s="2"/>
      <c r="F164" s="2"/>
      <c r="G164" s="2"/>
    </row>
    <row r="165">
      <c r="A165" s="2"/>
      <c r="B165" s="2"/>
      <c r="C165" s="2"/>
      <c r="D165" s="2"/>
      <c r="F165" s="2"/>
      <c r="G165" s="2"/>
    </row>
    <row r="166">
      <c r="A166" s="2"/>
      <c r="B166" s="2"/>
      <c r="C166" s="2"/>
      <c r="D166" s="2"/>
      <c r="F166" s="2"/>
      <c r="G166" s="2"/>
    </row>
    <row r="167">
      <c r="A167" s="2"/>
      <c r="B167" s="2"/>
      <c r="C167" s="2"/>
      <c r="D167" s="2"/>
      <c r="F167" s="2"/>
      <c r="G167" s="2"/>
    </row>
    <row r="168">
      <c r="A168" s="2"/>
      <c r="B168" s="2"/>
      <c r="C168" s="2"/>
      <c r="D168" s="2"/>
      <c r="F168" s="2"/>
      <c r="G168" s="2"/>
    </row>
    <row r="169">
      <c r="A169" s="2"/>
      <c r="B169" s="2"/>
      <c r="C169" s="2"/>
      <c r="D169" s="2"/>
      <c r="F169" s="2"/>
      <c r="G169" s="2"/>
    </row>
    <row r="170">
      <c r="A170" s="2"/>
      <c r="B170" s="2"/>
      <c r="C170" s="2"/>
      <c r="D170" s="2"/>
      <c r="F170" s="2"/>
      <c r="G170" s="2"/>
    </row>
    <row r="171">
      <c r="A171" s="2"/>
      <c r="B171" s="2"/>
      <c r="C171" s="2"/>
      <c r="D171" s="2"/>
      <c r="F171" s="2"/>
      <c r="G171" s="2"/>
    </row>
    <row r="172">
      <c r="A172" s="2"/>
      <c r="B172" s="2"/>
      <c r="C172" s="2"/>
      <c r="D172" s="2"/>
      <c r="F172" s="2"/>
      <c r="G172" s="2"/>
    </row>
    <row r="173">
      <c r="A173" s="2"/>
      <c r="B173" s="2"/>
      <c r="C173" s="2"/>
      <c r="D173" s="2"/>
      <c r="F173" s="2"/>
      <c r="G173" s="2"/>
    </row>
    <row r="174">
      <c r="A174" s="2"/>
      <c r="B174" s="2"/>
      <c r="C174" s="2"/>
      <c r="D174" s="2"/>
      <c r="F174" s="2"/>
      <c r="G174" s="2"/>
    </row>
    <row r="175">
      <c r="A175" s="2"/>
      <c r="B175" s="2"/>
      <c r="C175" s="2"/>
      <c r="D175" s="2"/>
      <c r="F175" s="2"/>
      <c r="G175" s="2"/>
    </row>
    <row r="176">
      <c r="A176" s="2"/>
      <c r="B176" s="2"/>
      <c r="C176" s="2"/>
      <c r="D176" s="2"/>
      <c r="F176" s="2"/>
      <c r="G176" s="2"/>
    </row>
    <row r="177">
      <c r="A177" s="2"/>
      <c r="B177" s="2"/>
      <c r="C177" s="2"/>
      <c r="D177" s="2"/>
      <c r="F177" s="2"/>
      <c r="G177" s="2"/>
    </row>
    <row r="178">
      <c r="A178" s="2"/>
      <c r="B178" s="2"/>
      <c r="C178" s="2"/>
      <c r="D178" s="2"/>
      <c r="F178" s="2"/>
      <c r="G178" s="2"/>
    </row>
    <row r="179">
      <c r="A179" s="2"/>
      <c r="B179" s="2"/>
      <c r="C179" s="2"/>
      <c r="D179" s="2"/>
      <c r="F179" s="2"/>
      <c r="G179" s="2"/>
    </row>
    <row r="180">
      <c r="A180" s="2"/>
      <c r="B180" s="2"/>
      <c r="C180" s="2"/>
      <c r="D180" s="2"/>
      <c r="F180" s="2"/>
      <c r="G180" s="2"/>
    </row>
    <row r="181">
      <c r="A181" s="2"/>
      <c r="B181" s="2"/>
      <c r="C181" s="2"/>
      <c r="D181" s="2"/>
      <c r="F181" s="2"/>
      <c r="G181" s="2"/>
    </row>
    <row r="182">
      <c r="A182" s="2"/>
      <c r="B182" s="2"/>
      <c r="C182" s="2"/>
      <c r="D182" s="2"/>
      <c r="F182" s="2"/>
      <c r="G182" s="2"/>
    </row>
    <row r="183">
      <c r="A183" s="2"/>
      <c r="B183" s="2"/>
      <c r="C183" s="2"/>
      <c r="D183" s="2"/>
      <c r="F183" s="2"/>
      <c r="G183" s="2"/>
    </row>
    <row r="184">
      <c r="A184" s="2"/>
      <c r="B184" s="2"/>
      <c r="C184" s="2"/>
      <c r="D184" s="2"/>
      <c r="F184" s="2"/>
      <c r="G184" s="2"/>
    </row>
    <row r="185">
      <c r="A185" s="2"/>
      <c r="B185" s="2"/>
      <c r="C185" s="2"/>
      <c r="D185" s="2"/>
      <c r="F185" s="2"/>
      <c r="G185" s="2"/>
    </row>
    <row r="186">
      <c r="A186" s="2"/>
      <c r="B186" s="2"/>
      <c r="C186" s="2"/>
      <c r="D186" s="2"/>
      <c r="F186" s="2"/>
      <c r="G186" s="2"/>
    </row>
    <row r="187">
      <c r="A187" s="2"/>
      <c r="B187" s="2"/>
      <c r="C187" s="2"/>
      <c r="D187" s="2"/>
      <c r="F187" s="2"/>
      <c r="G187" s="2"/>
    </row>
    <row r="188">
      <c r="A188" s="2"/>
      <c r="B188" s="2"/>
      <c r="C188" s="2"/>
      <c r="D188" s="2"/>
      <c r="F188" s="2"/>
      <c r="G188" s="2"/>
    </row>
    <row r="189">
      <c r="A189" s="2"/>
      <c r="B189" s="2"/>
      <c r="C189" s="2"/>
      <c r="D189" s="2"/>
      <c r="F189" s="2"/>
      <c r="G189" s="2"/>
    </row>
    <row r="190">
      <c r="A190" s="2"/>
      <c r="B190" s="2"/>
      <c r="C190" s="2"/>
      <c r="D190" s="2"/>
      <c r="F190" s="2"/>
      <c r="G190" s="2"/>
    </row>
    <row r="191">
      <c r="A191" s="2"/>
      <c r="B191" s="2"/>
      <c r="C191" s="2"/>
      <c r="D191" s="2"/>
      <c r="F191" s="2"/>
      <c r="G191" s="2"/>
    </row>
    <row r="192">
      <c r="A192" s="2"/>
      <c r="B192" s="2"/>
      <c r="C192" s="2"/>
      <c r="D192" s="2"/>
      <c r="F192" s="2"/>
      <c r="G192" s="2"/>
    </row>
    <row r="193">
      <c r="A193" s="2"/>
      <c r="B193" s="2"/>
      <c r="C193" s="2"/>
      <c r="D193" s="2"/>
      <c r="F193" s="2"/>
      <c r="G193" s="2"/>
    </row>
    <row r="194">
      <c r="A194" s="2"/>
      <c r="B194" s="2"/>
      <c r="C194" s="2"/>
      <c r="D194" s="2"/>
      <c r="F194" s="2"/>
      <c r="G194" s="2"/>
    </row>
    <row r="195">
      <c r="A195" s="2"/>
      <c r="B195" s="2"/>
      <c r="C195" s="2"/>
      <c r="D195" s="2"/>
      <c r="F195" s="2"/>
      <c r="G195" s="2"/>
    </row>
    <row r="196">
      <c r="A196" s="2"/>
      <c r="B196" s="2"/>
      <c r="C196" s="2"/>
      <c r="D196" s="2"/>
      <c r="F196" s="2"/>
      <c r="G196" s="2"/>
    </row>
    <row r="197">
      <c r="A197" s="2"/>
      <c r="B197" s="2"/>
      <c r="C197" s="2"/>
      <c r="D197" s="2"/>
      <c r="F197" s="2"/>
      <c r="G197" s="2"/>
    </row>
    <row r="198">
      <c r="A198" s="2"/>
      <c r="B198" s="2"/>
      <c r="C198" s="2"/>
      <c r="D198" s="2"/>
      <c r="F198" s="2"/>
      <c r="G198" s="2"/>
    </row>
    <row r="199">
      <c r="A199" s="2"/>
      <c r="B199" s="2"/>
      <c r="C199" s="2"/>
      <c r="D199" s="2"/>
      <c r="F199" s="2"/>
      <c r="G199" s="2"/>
    </row>
    <row r="200">
      <c r="A200" s="2"/>
      <c r="B200" s="2"/>
      <c r="C200" s="2"/>
      <c r="D200" s="2"/>
      <c r="F200" s="2"/>
      <c r="G200" s="2"/>
    </row>
    <row r="201">
      <c r="A201" s="2"/>
      <c r="B201" s="2"/>
      <c r="C201" s="2"/>
      <c r="D201" s="2"/>
      <c r="F201" s="2"/>
      <c r="G201" s="2"/>
    </row>
    <row r="202">
      <c r="A202" s="2"/>
      <c r="B202" s="2"/>
      <c r="C202" s="2"/>
      <c r="D202" s="2"/>
      <c r="F202" s="2"/>
      <c r="G202" s="2"/>
    </row>
    <row r="203">
      <c r="A203" s="2"/>
      <c r="B203" s="2"/>
      <c r="C203" s="2"/>
      <c r="D203" s="2"/>
      <c r="F203" s="2"/>
      <c r="G203" s="2"/>
    </row>
    <row r="204">
      <c r="A204" s="2"/>
      <c r="B204" s="2"/>
      <c r="C204" s="2"/>
      <c r="D204" s="2"/>
      <c r="F204" s="2"/>
      <c r="G204" s="2"/>
    </row>
    <row r="205">
      <c r="A205" s="2"/>
      <c r="B205" s="2"/>
      <c r="C205" s="2"/>
      <c r="D205" s="2"/>
      <c r="F205" s="2"/>
      <c r="G205" s="2"/>
    </row>
    <row r="206">
      <c r="A206" s="2"/>
      <c r="B206" s="2"/>
      <c r="C206" s="2"/>
      <c r="D206" s="2"/>
      <c r="F206" s="2"/>
      <c r="G206" s="2"/>
    </row>
    <row r="207">
      <c r="A207" s="2"/>
      <c r="B207" s="2"/>
      <c r="C207" s="2"/>
      <c r="D207" s="2"/>
      <c r="F207" s="2"/>
      <c r="G207" s="2"/>
    </row>
    <row r="208">
      <c r="A208" s="2"/>
      <c r="B208" s="2"/>
      <c r="C208" s="2"/>
      <c r="D208" s="2"/>
      <c r="F208" s="2"/>
      <c r="G208" s="2"/>
    </row>
    <row r="209">
      <c r="A209" s="2"/>
      <c r="B209" s="2"/>
      <c r="C209" s="2"/>
      <c r="D209" s="2"/>
      <c r="F209" s="2"/>
      <c r="G209" s="2"/>
    </row>
    <row r="210">
      <c r="A210" s="2"/>
      <c r="B210" s="2"/>
      <c r="C210" s="2"/>
      <c r="D210" s="2"/>
      <c r="F210" s="2"/>
      <c r="G210" s="2"/>
    </row>
    <row r="211">
      <c r="A211" s="2"/>
      <c r="B211" s="2"/>
      <c r="C211" s="2"/>
      <c r="D211" s="2"/>
      <c r="F211" s="2"/>
      <c r="G211" s="2"/>
    </row>
    <row r="212">
      <c r="A212" s="2"/>
      <c r="B212" s="2"/>
      <c r="C212" s="2"/>
      <c r="D212" s="2"/>
      <c r="F212" s="2"/>
      <c r="G212" s="2"/>
    </row>
    <row r="213">
      <c r="A213" s="2"/>
      <c r="B213" s="2"/>
      <c r="C213" s="2"/>
      <c r="D213" s="2"/>
      <c r="F213" s="2"/>
      <c r="G213" s="2"/>
    </row>
    <row r="214">
      <c r="A214" s="2"/>
      <c r="B214" s="2"/>
      <c r="C214" s="2"/>
      <c r="D214" s="2"/>
      <c r="F214" s="2"/>
      <c r="G214" s="2"/>
    </row>
    <row r="215">
      <c r="A215" s="2"/>
      <c r="B215" s="2"/>
      <c r="C215" s="2"/>
      <c r="D215" s="2"/>
      <c r="F215" s="2"/>
      <c r="G215" s="2"/>
    </row>
    <row r="216">
      <c r="A216" s="2"/>
      <c r="B216" s="2"/>
      <c r="C216" s="2"/>
      <c r="D216" s="2"/>
      <c r="F216" s="2"/>
      <c r="G216" s="2"/>
    </row>
    <row r="217">
      <c r="A217" s="2"/>
      <c r="B217" s="2"/>
      <c r="C217" s="2"/>
      <c r="D217" s="2"/>
      <c r="F217" s="2"/>
      <c r="G217" s="2"/>
    </row>
    <row r="218">
      <c r="A218" s="2"/>
      <c r="B218" s="2"/>
      <c r="C218" s="2"/>
      <c r="D218" s="2"/>
      <c r="F218" s="2"/>
      <c r="G218" s="2"/>
    </row>
    <row r="219">
      <c r="A219" s="2"/>
      <c r="B219" s="2"/>
      <c r="C219" s="2"/>
      <c r="D219" s="2"/>
      <c r="F219" s="2"/>
      <c r="G219" s="2"/>
    </row>
    <row r="220">
      <c r="A220" s="2"/>
      <c r="B220" s="2"/>
      <c r="C220" s="2"/>
      <c r="D220" s="2"/>
      <c r="F220" s="2"/>
      <c r="G220" s="2"/>
    </row>
    <row r="221">
      <c r="A221" s="2"/>
      <c r="B221" s="2"/>
      <c r="C221" s="2"/>
      <c r="D221" s="2"/>
      <c r="F221" s="2"/>
      <c r="G221" s="2"/>
    </row>
    <row r="222">
      <c r="A222" s="2"/>
      <c r="B222" s="2"/>
      <c r="C222" s="2"/>
      <c r="D222" s="2"/>
      <c r="F222" s="2"/>
      <c r="G222" s="2"/>
    </row>
    <row r="223">
      <c r="A223" s="2"/>
      <c r="B223" s="2"/>
      <c r="C223" s="2"/>
      <c r="D223" s="2"/>
      <c r="F223" s="2"/>
      <c r="G223" s="2"/>
    </row>
    <row r="224">
      <c r="A224" s="2"/>
      <c r="B224" s="2"/>
      <c r="C224" s="2"/>
      <c r="D224" s="2"/>
      <c r="F224" s="2"/>
      <c r="G224" s="2"/>
    </row>
    <row r="225">
      <c r="A225" s="2"/>
      <c r="B225" s="2"/>
      <c r="C225" s="2"/>
      <c r="D225" s="2"/>
      <c r="F225" s="2"/>
      <c r="G225" s="2"/>
    </row>
    <row r="226">
      <c r="A226" s="2"/>
      <c r="B226" s="2"/>
      <c r="C226" s="2"/>
      <c r="D226" s="2"/>
      <c r="F226" s="2"/>
      <c r="G226" s="2"/>
    </row>
    <row r="227">
      <c r="A227" s="2"/>
      <c r="B227" s="2"/>
      <c r="C227" s="2"/>
      <c r="D227" s="2"/>
      <c r="F227" s="2"/>
      <c r="G227" s="2"/>
    </row>
    <row r="228">
      <c r="A228" s="2"/>
      <c r="B228" s="2"/>
      <c r="C228" s="2"/>
      <c r="D228" s="2"/>
      <c r="F228" s="2"/>
      <c r="G228" s="2"/>
    </row>
    <row r="229">
      <c r="A229" s="2"/>
      <c r="B229" s="2"/>
      <c r="C229" s="2"/>
      <c r="D229" s="2"/>
      <c r="F229" s="2"/>
      <c r="G229" s="2"/>
    </row>
    <row r="230">
      <c r="A230" s="2"/>
      <c r="B230" s="2"/>
      <c r="C230" s="2"/>
      <c r="D230" s="2"/>
      <c r="F230" s="2"/>
      <c r="G230" s="2"/>
    </row>
    <row r="231">
      <c r="A231" s="2"/>
      <c r="B231" s="2"/>
      <c r="C231" s="2"/>
      <c r="D231" s="2"/>
      <c r="F231" s="2"/>
      <c r="G231" s="2"/>
    </row>
    <row r="232">
      <c r="A232" s="2"/>
      <c r="B232" s="2"/>
      <c r="C232" s="2"/>
      <c r="D232" s="2"/>
      <c r="F232" s="2"/>
      <c r="G232" s="2"/>
    </row>
    <row r="233">
      <c r="A233" s="2"/>
      <c r="B233" s="2"/>
      <c r="C233" s="2"/>
      <c r="D233" s="2"/>
      <c r="F233" s="2"/>
      <c r="G233" s="2"/>
    </row>
    <row r="234">
      <c r="A234" s="2"/>
      <c r="B234" s="2"/>
      <c r="C234" s="2"/>
      <c r="D234" s="2"/>
      <c r="F234" s="2"/>
      <c r="G234" s="2"/>
    </row>
    <row r="235">
      <c r="A235" s="2"/>
      <c r="B235" s="2"/>
      <c r="C235" s="2"/>
      <c r="D235" s="2"/>
      <c r="F235" s="2"/>
      <c r="G235" s="2"/>
    </row>
    <row r="236">
      <c r="A236" s="2"/>
      <c r="B236" s="2"/>
      <c r="C236" s="2"/>
      <c r="D236" s="2"/>
      <c r="F236" s="2"/>
      <c r="G236" s="2"/>
    </row>
    <row r="237">
      <c r="A237" s="2"/>
      <c r="B237" s="2"/>
      <c r="C237" s="2"/>
      <c r="D237" s="2"/>
      <c r="F237" s="2"/>
      <c r="G237" s="2"/>
    </row>
    <row r="238">
      <c r="A238" s="2"/>
      <c r="B238" s="2"/>
      <c r="C238" s="2"/>
      <c r="D238" s="2"/>
      <c r="F238" s="2"/>
      <c r="G238" s="2"/>
    </row>
    <row r="239">
      <c r="A239" s="2"/>
      <c r="B239" s="2"/>
      <c r="C239" s="2"/>
      <c r="D239" s="2"/>
      <c r="F239" s="2"/>
      <c r="G239" s="2"/>
    </row>
    <row r="240">
      <c r="A240" s="2"/>
      <c r="B240" s="2"/>
      <c r="C240" s="2"/>
      <c r="D240" s="2"/>
      <c r="F240" s="2"/>
      <c r="G240" s="2"/>
    </row>
    <row r="241">
      <c r="A241" s="2"/>
      <c r="B241" s="2"/>
      <c r="C241" s="2"/>
      <c r="D241" s="2"/>
      <c r="F241" s="2"/>
      <c r="G241" s="2"/>
    </row>
    <row r="242">
      <c r="A242" s="2"/>
      <c r="B242" s="2"/>
      <c r="C242" s="2"/>
      <c r="D242" s="2"/>
      <c r="F242" s="2"/>
      <c r="G242" s="2"/>
    </row>
    <row r="243">
      <c r="A243" s="2"/>
      <c r="B243" s="2"/>
      <c r="C243" s="2"/>
      <c r="D243" s="2"/>
      <c r="F243" s="2"/>
      <c r="G243" s="2"/>
    </row>
    <row r="244">
      <c r="A244" s="2"/>
      <c r="B244" s="2"/>
      <c r="C244" s="2"/>
      <c r="D244" s="2"/>
      <c r="F244" s="2"/>
      <c r="G244" s="2"/>
    </row>
    <row r="245">
      <c r="A245" s="2"/>
      <c r="B245" s="2"/>
      <c r="C245" s="2"/>
      <c r="D245" s="2"/>
      <c r="F245" s="2"/>
      <c r="G245" s="2"/>
    </row>
    <row r="246">
      <c r="A246" s="2"/>
      <c r="B246" s="2"/>
      <c r="C246" s="2"/>
      <c r="D246" s="2"/>
      <c r="F246" s="2"/>
      <c r="G246" s="2"/>
    </row>
    <row r="247">
      <c r="A247" s="2"/>
      <c r="B247" s="2"/>
      <c r="C247" s="2"/>
      <c r="D247" s="2"/>
      <c r="F247" s="2"/>
      <c r="G247" s="2"/>
    </row>
    <row r="248">
      <c r="A248" s="2"/>
      <c r="B248" s="2"/>
      <c r="C248" s="2"/>
      <c r="D248" s="2"/>
      <c r="F248" s="2"/>
      <c r="G248" s="2"/>
    </row>
    <row r="249">
      <c r="A249" s="2"/>
      <c r="B249" s="2"/>
      <c r="C249" s="2"/>
      <c r="D249" s="2"/>
      <c r="F249" s="2"/>
      <c r="G249" s="2"/>
    </row>
    <row r="250">
      <c r="A250" s="2"/>
      <c r="B250" s="2"/>
      <c r="C250" s="2"/>
      <c r="D250" s="2"/>
      <c r="F250" s="2"/>
      <c r="G250" s="2"/>
    </row>
    <row r="251">
      <c r="A251" s="2"/>
      <c r="B251" s="2"/>
      <c r="C251" s="2"/>
      <c r="D251" s="2"/>
      <c r="F251" s="2"/>
      <c r="G251" s="2"/>
    </row>
    <row r="252">
      <c r="A252" s="2"/>
      <c r="B252" s="2"/>
      <c r="C252" s="2"/>
      <c r="D252" s="2"/>
      <c r="F252" s="2"/>
      <c r="G252" s="2"/>
    </row>
    <row r="253">
      <c r="A253" s="2"/>
      <c r="B253" s="2"/>
      <c r="C253" s="2"/>
      <c r="D253" s="2"/>
      <c r="F253" s="2"/>
      <c r="G253" s="2"/>
    </row>
    <row r="254">
      <c r="A254" s="2"/>
      <c r="B254" s="2"/>
      <c r="C254" s="2"/>
      <c r="D254" s="2"/>
      <c r="F254" s="2"/>
      <c r="G254" s="2"/>
    </row>
    <row r="255">
      <c r="A255" s="2"/>
      <c r="B255" s="2"/>
      <c r="C255" s="2"/>
      <c r="D255" s="2"/>
      <c r="F255" s="2"/>
      <c r="G255" s="2"/>
    </row>
    <row r="256">
      <c r="A256" s="2"/>
      <c r="B256" s="2"/>
      <c r="C256" s="2"/>
      <c r="D256" s="2"/>
      <c r="F256" s="2"/>
      <c r="G256" s="2"/>
    </row>
    <row r="257">
      <c r="A257" s="2"/>
      <c r="B257" s="2"/>
      <c r="C257" s="2"/>
      <c r="D257" s="2"/>
      <c r="F257" s="2"/>
      <c r="G257" s="2"/>
    </row>
    <row r="258">
      <c r="A258" s="2"/>
      <c r="B258" s="2"/>
      <c r="C258" s="2"/>
      <c r="D258" s="2"/>
      <c r="F258" s="2"/>
      <c r="G258" s="2"/>
    </row>
    <row r="259">
      <c r="A259" s="2"/>
      <c r="B259" s="2"/>
      <c r="C259" s="2"/>
      <c r="D259" s="2"/>
      <c r="F259" s="2"/>
      <c r="G259" s="2"/>
    </row>
    <row r="260">
      <c r="A260" s="2"/>
      <c r="B260" s="2"/>
      <c r="C260" s="2"/>
      <c r="D260" s="2"/>
      <c r="F260" s="2"/>
      <c r="G260" s="2"/>
    </row>
    <row r="261">
      <c r="A261" s="2"/>
      <c r="B261" s="2"/>
      <c r="C261" s="2"/>
      <c r="D261" s="2"/>
      <c r="F261" s="2"/>
      <c r="G261" s="2"/>
    </row>
    <row r="262">
      <c r="A262" s="2"/>
      <c r="B262" s="2"/>
      <c r="C262" s="2"/>
      <c r="D262" s="2"/>
      <c r="F262" s="2"/>
      <c r="G262" s="2"/>
    </row>
    <row r="263">
      <c r="A263" s="2"/>
      <c r="B263" s="2"/>
      <c r="C263" s="2"/>
      <c r="D263" s="2"/>
      <c r="F263" s="2"/>
      <c r="G263" s="2"/>
    </row>
    <row r="264">
      <c r="A264" s="2"/>
      <c r="B264" s="2"/>
      <c r="C264" s="2"/>
      <c r="D264" s="2"/>
      <c r="F264" s="2"/>
      <c r="G264" s="2"/>
    </row>
    <row r="265">
      <c r="A265" s="2"/>
      <c r="B265" s="2"/>
      <c r="C265" s="2"/>
      <c r="D265" s="2"/>
      <c r="F265" s="2"/>
      <c r="G265" s="2"/>
    </row>
    <row r="266">
      <c r="A266" s="2"/>
      <c r="B266" s="2"/>
      <c r="C266" s="2"/>
      <c r="D266" s="2"/>
      <c r="F266" s="2"/>
      <c r="G266" s="2"/>
    </row>
    <row r="267">
      <c r="A267" s="2"/>
      <c r="B267" s="2"/>
      <c r="C267" s="2"/>
      <c r="D267" s="2"/>
      <c r="F267" s="2"/>
      <c r="G267" s="2"/>
    </row>
    <row r="268">
      <c r="A268" s="2"/>
      <c r="B268" s="2"/>
      <c r="C268" s="2"/>
      <c r="D268" s="2"/>
      <c r="F268" s="2"/>
      <c r="G268" s="2"/>
    </row>
    <row r="269">
      <c r="A269" s="2"/>
      <c r="B269" s="2"/>
      <c r="C269" s="2"/>
      <c r="D269" s="2"/>
      <c r="F269" s="2"/>
      <c r="G269" s="2"/>
    </row>
    <row r="270">
      <c r="A270" s="2"/>
      <c r="B270" s="2"/>
      <c r="C270" s="2"/>
      <c r="D270" s="2"/>
      <c r="F270" s="2"/>
      <c r="G270" s="2"/>
    </row>
    <row r="271">
      <c r="A271" s="2"/>
      <c r="B271" s="2"/>
      <c r="C271" s="2"/>
      <c r="D271" s="2"/>
      <c r="F271" s="2"/>
      <c r="G271" s="2"/>
    </row>
    <row r="272">
      <c r="A272" s="2"/>
      <c r="B272" s="2"/>
      <c r="C272" s="2"/>
      <c r="D272" s="2"/>
      <c r="F272" s="2"/>
      <c r="G272" s="2"/>
    </row>
    <row r="273">
      <c r="A273" s="2"/>
      <c r="B273" s="2"/>
      <c r="C273" s="2"/>
      <c r="D273" s="2"/>
      <c r="F273" s="2"/>
      <c r="G273" s="2"/>
    </row>
    <row r="274">
      <c r="A274" s="2"/>
      <c r="B274" s="2"/>
      <c r="C274" s="2"/>
      <c r="D274" s="2"/>
      <c r="F274" s="2"/>
      <c r="G274" s="2"/>
    </row>
    <row r="275">
      <c r="A275" s="2"/>
      <c r="B275" s="2"/>
      <c r="C275" s="2"/>
      <c r="D275" s="2"/>
      <c r="F275" s="2"/>
      <c r="G275" s="2"/>
    </row>
    <row r="276">
      <c r="A276" s="2"/>
      <c r="B276" s="2"/>
      <c r="C276" s="2"/>
      <c r="D276" s="2"/>
      <c r="F276" s="2"/>
      <c r="G276" s="2"/>
    </row>
    <row r="277">
      <c r="A277" s="2"/>
      <c r="B277" s="2"/>
      <c r="C277" s="2"/>
      <c r="D277" s="2"/>
      <c r="F277" s="2"/>
      <c r="G277" s="2"/>
    </row>
    <row r="278">
      <c r="A278" s="2"/>
      <c r="B278" s="2"/>
      <c r="C278" s="2"/>
      <c r="D278" s="2"/>
      <c r="F278" s="2"/>
      <c r="G278" s="2"/>
    </row>
    <row r="279">
      <c r="A279" s="2"/>
      <c r="B279" s="2"/>
      <c r="C279" s="2"/>
      <c r="D279" s="2"/>
      <c r="F279" s="2"/>
      <c r="G279" s="2"/>
    </row>
    <row r="280">
      <c r="A280" s="2"/>
      <c r="B280" s="2"/>
      <c r="C280" s="2"/>
      <c r="D280" s="2"/>
      <c r="F280" s="2"/>
      <c r="G280" s="2"/>
    </row>
    <row r="281">
      <c r="A281" s="2"/>
      <c r="B281" s="2"/>
      <c r="C281" s="2"/>
      <c r="D281" s="2"/>
      <c r="F281" s="2"/>
      <c r="G281" s="2"/>
    </row>
    <row r="282">
      <c r="A282" s="2"/>
      <c r="B282" s="2"/>
      <c r="C282" s="2"/>
      <c r="D282" s="2"/>
      <c r="F282" s="2"/>
      <c r="G282" s="2"/>
    </row>
    <row r="283">
      <c r="A283" s="2"/>
      <c r="B283" s="2"/>
      <c r="C283" s="2"/>
      <c r="D283" s="2"/>
      <c r="F283" s="2"/>
      <c r="G283" s="2"/>
    </row>
    <row r="284">
      <c r="A284" s="2"/>
      <c r="B284" s="2"/>
      <c r="C284" s="2"/>
      <c r="D284" s="2"/>
      <c r="F284" s="2"/>
      <c r="G284" s="2"/>
    </row>
    <row r="285">
      <c r="A285" s="2"/>
      <c r="B285" s="2"/>
      <c r="C285" s="2"/>
      <c r="D285" s="2"/>
      <c r="F285" s="2"/>
      <c r="G285" s="2"/>
    </row>
    <row r="286">
      <c r="A286" s="2"/>
      <c r="B286" s="2"/>
      <c r="C286" s="2"/>
      <c r="D286" s="2"/>
      <c r="F286" s="2"/>
      <c r="G286" s="2"/>
    </row>
    <row r="287">
      <c r="A287" s="2"/>
      <c r="B287" s="2"/>
      <c r="C287" s="2"/>
      <c r="D287" s="2"/>
      <c r="F287" s="2"/>
      <c r="G287" s="2"/>
    </row>
    <row r="288">
      <c r="A288" s="2"/>
      <c r="B288" s="2"/>
      <c r="C288" s="2"/>
      <c r="D288" s="2"/>
      <c r="F288" s="2"/>
      <c r="G288" s="2"/>
    </row>
    <row r="289">
      <c r="A289" s="2"/>
      <c r="B289" s="2"/>
      <c r="C289" s="2"/>
      <c r="D289" s="2"/>
      <c r="F289" s="2"/>
      <c r="G289" s="2"/>
    </row>
    <row r="290">
      <c r="A290" s="2"/>
      <c r="B290" s="2"/>
      <c r="C290" s="2"/>
      <c r="D290" s="2"/>
      <c r="F290" s="2"/>
      <c r="G290" s="2"/>
    </row>
    <row r="291">
      <c r="A291" s="2"/>
      <c r="B291" s="2"/>
      <c r="C291" s="2"/>
      <c r="D291" s="2"/>
      <c r="F291" s="2"/>
      <c r="G291" s="2"/>
    </row>
    <row r="292">
      <c r="A292" s="2"/>
      <c r="B292" s="2"/>
      <c r="C292" s="2"/>
      <c r="D292" s="2"/>
      <c r="F292" s="2"/>
      <c r="G292" s="2"/>
    </row>
    <row r="293">
      <c r="A293" s="2"/>
      <c r="B293" s="2"/>
      <c r="C293" s="2"/>
      <c r="D293" s="2"/>
      <c r="F293" s="2"/>
      <c r="G293" s="2"/>
    </row>
    <row r="294">
      <c r="A294" s="2"/>
      <c r="B294" s="2"/>
      <c r="C294" s="2"/>
      <c r="D294" s="2"/>
      <c r="F294" s="2"/>
      <c r="G294" s="2"/>
    </row>
    <row r="295">
      <c r="A295" s="2"/>
      <c r="B295" s="2"/>
      <c r="C295" s="2"/>
      <c r="D295" s="2"/>
      <c r="F295" s="2"/>
      <c r="G295" s="2"/>
    </row>
    <row r="296">
      <c r="A296" s="2"/>
      <c r="B296" s="2"/>
      <c r="C296" s="2"/>
      <c r="D296" s="2"/>
      <c r="F296" s="2"/>
      <c r="G296" s="2"/>
    </row>
    <row r="297">
      <c r="A297" s="2"/>
      <c r="B297" s="2"/>
      <c r="C297" s="2"/>
      <c r="D297" s="2"/>
      <c r="F297" s="2"/>
      <c r="G297" s="2"/>
    </row>
    <row r="298">
      <c r="A298" s="2"/>
      <c r="B298" s="2"/>
      <c r="C298" s="2"/>
      <c r="D298" s="2"/>
      <c r="F298" s="2"/>
      <c r="G298" s="2"/>
    </row>
    <row r="299">
      <c r="A299" s="2"/>
      <c r="B299" s="2"/>
      <c r="C299" s="2"/>
      <c r="D299" s="2"/>
      <c r="F299" s="2"/>
      <c r="G299" s="2"/>
    </row>
    <row r="300">
      <c r="A300" s="2"/>
      <c r="B300" s="2"/>
      <c r="C300" s="2"/>
      <c r="D300" s="2"/>
      <c r="F300" s="2"/>
      <c r="G300" s="2"/>
    </row>
    <row r="301">
      <c r="A301" s="2"/>
      <c r="B301" s="2"/>
      <c r="C301" s="2"/>
      <c r="D301" s="2"/>
      <c r="F301" s="2"/>
      <c r="G301" s="2"/>
    </row>
    <row r="302">
      <c r="A302" s="2"/>
      <c r="B302" s="2"/>
      <c r="C302" s="2"/>
      <c r="D302" s="2"/>
      <c r="F302" s="2"/>
      <c r="G302" s="2"/>
    </row>
    <row r="303">
      <c r="A303" s="2"/>
      <c r="B303" s="2"/>
      <c r="C303" s="2"/>
      <c r="D303" s="2"/>
      <c r="F303" s="2"/>
      <c r="G303" s="2"/>
    </row>
    <row r="304">
      <c r="A304" s="2"/>
      <c r="B304" s="2"/>
      <c r="C304" s="2"/>
      <c r="D304" s="2"/>
      <c r="F304" s="2"/>
      <c r="G304" s="2"/>
    </row>
    <row r="305">
      <c r="A305" s="2"/>
      <c r="B305" s="2"/>
      <c r="C305" s="2"/>
      <c r="D305" s="2"/>
      <c r="F305" s="2"/>
      <c r="G305" s="2"/>
    </row>
    <row r="306">
      <c r="A306" s="2"/>
      <c r="B306" s="2"/>
      <c r="C306" s="2"/>
      <c r="D306" s="2"/>
      <c r="F306" s="2"/>
      <c r="G306" s="2"/>
    </row>
    <row r="307">
      <c r="A307" s="2"/>
      <c r="B307" s="2"/>
      <c r="C307" s="2"/>
      <c r="D307" s="2"/>
      <c r="F307" s="2"/>
      <c r="G307" s="2"/>
    </row>
    <row r="308">
      <c r="A308" s="2"/>
      <c r="B308" s="2"/>
      <c r="C308" s="2"/>
      <c r="D308" s="2"/>
      <c r="F308" s="2"/>
      <c r="G308" s="2"/>
    </row>
    <row r="309">
      <c r="A309" s="2"/>
      <c r="B309" s="2"/>
      <c r="C309" s="2"/>
      <c r="D309" s="2"/>
      <c r="F309" s="2"/>
      <c r="G309" s="2"/>
    </row>
    <row r="310">
      <c r="A310" s="2"/>
      <c r="B310" s="2"/>
      <c r="C310" s="2"/>
      <c r="D310" s="2"/>
      <c r="F310" s="2"/>
      <c r="G310" s="2"/>
    </row>
    <row r="311">
      <c r="A311" s="2"/>
      <c r="B311" s="2"/>
      <c r="C311" s="2"/>
      <c r="D311" s="2"/>
      <c r="F311" s="2"/>
      <c r="G311" s="2"/>
    </row>
    <row r="312">
      <c r="A312" s="2"/>
      <c r="B312" s="2"/>
      <c r="C312" s="2"/>
      <c r="D312" s="2"/>
      <c r="F312" s="2"/>
      <c r="G312" s="2"/>
    </row>
    <row r="313">
      <c r="A313" s="2"/>
      <c r="B313" s="2"/>
      <c r="C313" s="2"/>
      <c r="D313" s="2"/>
      <c r="F313" s="2"/>
      <c r="G313" s="2"/>
    </row>
    <row r="314">
      <c r="A314" s="2"/>
      <c r="B314" s="2"/>
      <c r="C314" s="2"/>
      <c r="D314" s="2"/>
      <c r="F314" s="2"/>
      <c r="G314" s="2"/>
    </row>
    <row r="315">
      <c r="A315" s="2"/>
      <c r="B315" s="2"/>
      <c r="C315" s="2"/>
      <c r="D315" s="2"/>
      <c r="F315" s="2"/>
      <c r="G315" s="2"/>
    </row>
    <row r="316">
      <c r="A316" s="2"/>
      <c r="B316" s="2"/>
      <c r="C316" s="2"/>
      <c r="D316" s="2"/>
      <c r="F316" s="2"/>
      <c r="G316" s="2"/>
    </row>
    <row r="317">
      <c r="A317" s="2"/>
      <c r="B317" s="2"/>
      <c r="C317" s="2"/>
      <c r="D317" s="2"/>
      <c r="F317" s="2"/>
      <c r="G317" s="2"/>
    </row>
    <row r="318">
      <c r="A318" s="2"/>
      <c r="B318" s="2"/>
      <c r="C318" s="2"/>
      <c r="D318" s="2"/>
      <c r="F318" s="2"/>
      <c r="G318" s="2"/>
    </row>
    <row r="319">
      <c r="A319" s="2"/>
      <c r="B319" s="2"/>
      <c r="C319" s="2"/>
      <c r="D319" s="2"/>
      <c r="F319" s="2"/>
      <c r="G319" s="2"/>
    </row>
    <row r="320">
      <c r="A320" s="2"/>
      <c r="B320" s="2"/>
      <c r="C320" s="2"/>
      <c r="D320" s="2"/>
      <c r="F320" s="2"/>
      <c r="G320" s="2"/>
    </row>
    <row r="321">
      <c r="A321" s="2"/>
      <c r="B321" s="2"/>
      <c r="C321" s="2"/>
      <c r="D321" s="2"/>
      <c r="F321" s="2"/>
      <c r="G321" s="2"/>
    </row>
    <row r="322">
      <c r="A322" s="2"/>
      <c r="B322" s="2"/>
      <c r="C322" s="2"/>
      <c r="D322" s="2"/>
      <c r="F322" s="2"/>
      <c r="G322" s="2"/>
    </row>
    <row r="323">
      <c r="A323" s="2"/>
      <c r="B323" s="2"/>
      <c r="C323" s="2"/>
      <c r="D323" s="2"/>
      <c r="F323" s="2"/>
      <c r="G323" s="2"/>
    </row>
    <row r="324">
      <c r="A324" s="2"/>
      <c r="B324" s="2"/>
      <c r="C324" s="2"/>
      <c r="D324" s="2"/>
      <c r="F324" s="2"/>
      <c r="G324" s="2"/>
    </row>
    <row r="325">
      <c r="A325" s="2"/>
      <c r="B325" s="2"/>
      <c r="C325" s="2"/>
      <c r="D325" s="2"/>
      <c r="F325" s="2"/>
      <c r="G325" s="2"/>
    </row>
    <row r="326">
      <c r="A326" s="2"/>
      <c r="B326" s="2"/>
      <c r="C326" s="2"/>
      <c r="D326" s="2"/>
      <c r="F326" s="2"/>
      <c r="G326" s="2"/>
    </row>
    <row r="327">
      <c r="A327" s="2"/>
      <c r="B327" s="2"/>
      <c r="C327" s="2"/>
      <c r="D327" s="2"/>
      <c r="F327" s="2"/>
      <c r="G327" s="2"/>
    </row>
    <row r="328">
      <c r="A328" s="2"/>
      <c r="B328" s="2"/>
      <c r="C328" s="2"/>
      <c r="D328" s="2"/>
      <c r="F328" s="2"/>
      <c r="G328" s="2"/>
    </row>
    <row r="329">
      <c r="A329" s="2"/>
      <c r="B329" s="2"/>
      <c r="C329" s="2"/>
      <c r="D329" s="2"/>
      <c r="F329" s="2"/>
      <c r="G329" s="2"/>
    </row>
    <row r="330">
      <c r="A330" s="2"/>
      <c r="B330" s="2"/>
      <c r="C330" s="2"/>
      <c r="D330" s="2"/>
      <c r="F330" s="2"/>
      <c r="G330" s="2"/>
    </row>
    <row r="331">
      <c r="A331" s="2"/>
      <c r="B331" s="2"/>
      <c r="C331" s="2"/>
      <c r="D331" s="2"/>
      <c r="F331" s="2"/>
      <c r="G331" s="2"/>
    </row>
    <row r="332">
      <c r="A332" s="2"/>
      <c r="B332" s="2"/>
      <c r="C332" s="2"/>
      <c r="D332" s="2"/>
      <c r="F332" s="2"/>
      <c r="G332" s="2"/>
    </row>
    <row r="333">
      <c r="A333" s="2"/>
      <c r="B333" s="2"/>
      <c r="C333" s="2"/>
      <c r="D333" s="2"/>
      <c r="F333" s="2"/>
      <c r="G333" s="2"/>
    </row>
    <row r="334">
      <c r="A334" s="2"/>
      <c r="B334" s="2"/>
      <c r="C334" s="2"/>
      <c r="D334" s="2"/>
      <c r="F334" s="2"/>
      <c r="G334" s="2"/>
    </row>
    <row r="335">
      <c r="A335" s="2"/>
      <c r="B335" s="2"/>
      <c r="C335" s="2"/>
      <c r="D335" s="2"/>
      <c r="F335" s="2"/>
      <c r="G335" s="2"/>
    </row>
    <row r="336">
      <c r="A336" s="2"/>
      <c r="B336" s="2"/>
      <c r="C336" s="2"/>
      <c r="D336" s="2"/>
      <c r="F336" s="2"/>
      <c r="G336" s="2"/>
    </row>
    <row r="337">
      <c r="A337" s="2"/>
      <c r="B337" s="2"/>
      <c r="C337" s="2"/>
      <c r="D337" s="2"/>
      <c r="F337" s="2"/>
      <c r="G337" s="2"/>
    </row>
    <row r="338">
      <c r="A338" s="2"/>
      <c r="B338" s="2"/>
      <c r="C338" s="2"/>
      <c r="D338" s="2"/>
      <c r="F338" s="2"/>
      <c r="G338" s="2"/>
    </row>
    <row r="339">
      <c r="A339" s="2"/>
      <c r="B339" s="2"/>
      <c r="C339" s="2"/>
      <c r="D339" s="2"/>
      <c r="F339" s="2"/>
      <c r="G339" s="2"/>
    </row>
    <row r="340">
      <c r="A340" s="2"/>
      <c r="B340" s="2"/>
      <c r="C340" s="2"/>
      <c r="D340" s="2"/>
      <c r="F340" s="2"/>
      <c r="G340" s="2"/>
    </row>
    <row r="341">
      <c r="A341" s="2"/>
      <c r="B341" s="2"/>
      <c r="C341" s="2"/>
      <c r="D341" s="2"/>
      <c r="F341" s="2"/>
      <c r="G341" s="2"/>
    </row>
    <row r="342">
      <c r="A342" s="2"/>
      <c r="B342" s="2"/>
      <c r="C342" s="2"/>
      <c r="D342" s="2"/>
      <c r="F342" s="2"/>
      <c r="G342" s="2"/>
    </row>
    <row r="343">
      <c r="A343" s="2"/>
      <c r="B343" s="2"/>
      <c r="C343" s="2"/>
      <c r="D343" s="2"/>
      <c r="F343" s="2"/>
      <c r="G343" s="2"/>
    </row>
    <row r="344">
      <c r="A344" s="2"/>
      <c r="B344" s="2"/>
      <c r="C344" s="2"/>
      <c r="D344" s="2"/>
      <c r="F344" s="2"/>
      <c r="G344" s="2"/>
    </row>
    <row r="345">
      <c r="A345" s="2"/>
      <c r="B345" s="2"/>
      <c r="C345" s="2"/>
      <c r="D345" s="2"/>
      <c r="F345" s="2"/>
      <c r="G345" s="2"/>
    </row>
    <row r="346">
      <c r="A346" s="2"/>
      <c r="B346" s="2"/>
      <c r="C346" s="2"/>
      <c r="D346" s="2"/>
      <c r="F346" s="2"/>
      <c r="G346" s="2"/>
    </row>
    <row r="347">
      <c r="A347" s="2"/>
      <c r="B347" s="2"/>
      <c r="C347" s="2"/>
      <c r="D347" s="2"/>
      <c r="F347" s="2"/>
      <c r="G347" s="2"/>
    </row>
    <row r="348">
      <c r="A348" s="2"/>
      <c r="B348" s="2"/>
      <c r="C348" s="2"/>
      <c r="D348" s="2"/>
      <c r="F348" s="2"/>
      <c r="G348" s="2"/>
    </row>
    <row r="349">
      <c r="A349" s="2"/>
      <c r="B349" s="2"/>
      <c r="C349" s="2"/>
      <c r="D349" s="2"/>
      <c r="F349" s="2"/>
      <c r="G349" s="2"/>
    </row>
    <row r="350">
      <c r="A350" s="2"/>
      <c r="B350" s="2"/>
      <c r="C350" s="2"/>
      <c r="D350" s="2"/>
      <c r="F350" s="2"/>
      <c r="G350" s="2"/>
    </row>
    <row r="351">
      <c r="A351" s="2"/>
      <c r="B351" s="2"/>
      <c r="C351" s="2"/>
      <c r="D351" s="2"/>
      <c r="F351" s="2"/>
      <c r="G351" s="2"/>
    </row>
    <row r="352">
      <c r="A352" s="2"/>
      <c r="B352" s="2"/>
      <c r="C352" s="2"/>
      <c r="D352" s="2"/>
      <c r="F352" s="2"/>
      <c r="G352" s="2"/>
    </row>
    <row r="353">
      <c r="A353" s="2"/>
      <c r="B353" s="2"/>
      <c r="C353" s="2"/>
      <c r="D353" s="2"/>
      <c r="F353" s="2"/>
      <c r="G353" s="2"/>
    </row>
    <row r="354">
      <c r="A354" s="2"/>
      <c r="B354" s="2"/>
      <c r="C354" s="2"/>
      <c r="D354" s="2"/>
      <c r="F354" s="2"/>
      <c r="G354" s="2"/>
    </row>
    <row r="355">
      <c r="A355" s="2"/>
      <c r="B355" s="2"/>
      <c r="C355" s="2"/>
      <c r="D355" s="2"/>
      <c r="F355" s="2"/>
      <c r="G355" s="2"/>
    </row>
    <row r="356">
      <c r="A356" s="2"/>
      <c r="B356" s="2"/>
      <c r="C356" s="2"/>
      <c r="D356" s="2"/>
      <c r="F356" s="2"/>
      <c r="G356" s="2"/>
    </row>
    <row r="357">
      <c r="A357" s="2"/>
      <c r="B357" s="2"/>
      <c r="C357" s="2"/>
      <c r="D357" s="2"/>
      <c r="F357" s="2"/>
      <c r="G357" s="2"/>
    </row>
    <row r="358">
      <c r="A358" s="2"/>
      <c r="B358" s="2"/>
      <c r="C358" s="2"/>
      <c r="D358" s="2"/>
      <c r="F358" s="2"/>
      <c r="G358" s="2"/>
    </row>
    <row r="359">
      <c r="A359" s="2"/>
      <c r="B359" s="2"/>
      <c r="C359" s="2"/>
      <c r="D359" s="2"/>
      <c r="F359" s="2"/>
      <c r="G359" s="2"/>
    </row>
    <row r="360">
      <c r="A360" s="2"/>
      <c r="B360" s="2"/>
      <c r="C360" s="2"/>
      <c r="D360" s="2"/>
      <c r="F360" s="2"/>
      <c r="G360" s="2"/>
    </row>
    <row r="361">
      <c r="A361" s="2"/>
      <c r="B361" s="2"/>
      <c r="C361" s="2"/>
      <c r="D361" s="2"/>
      <c r="F361" s="2"/>
      <c r="G361" s="2"/>
    </row>
    <row r="362">
      <c r="A362" s="2"/>
      <c r="B362" s="2"/>
      <c r="C362" s="2"/>
      <c r="D362" s="2"/>
      <c r="F362" s="2"/>
      <c r="G362" s="2"/>
    </row>
    <row r="363">
      <c r="A363" s="2"/>
      <c r="B363" s="2"/>
      <c r="C363" s="2"/>
      <c r="D363" s="2"/>
      <c r="F363" s="2"/>
      <c r="G363" s="2"/>
    </row>
    <row r="364">
      <c r="A364" s="2"/>
      <c r="B364" s="2"/>
      <c r="C364" s="2"/>
      <c r="D364" s="2"/>
      <c r="F364" s="2"/>
      <c r="G364" s="2"/>
    </row>
    <row r="365">
      <c r="A365" s="2"/>
      <c r="B365" s="2"/>
      <c r="C365" s="2"/>
      <c r="D365" s="2"/>
      <c r="F365" s="2"/>
      <c r="G365" s="2"/>
    </row>
    <row r="366">
      <c r="A366" s="2"/>
      <c r="B366" s="2"/>
      <c r="C366" s="2"/>
      <c r="D366" s="2"/>
      <c r="F366" s="2"/>
      <c r="G366" s="2"/>
    </row>
    <row r="367">
      <c r="A367" s="2"/>
      <c r="B367" s="2"/>
      <c r="C367" s="2"/>
      <c r="D367" s="2"/>
      <c r="F367" s="2"/>
      <c r="G367" s="2"/>
    </row>
    <row r="368">
      <c r="A368" s="2"/>
      <c r="B368" s="2"/>
      <c r="C368" s="2"/>
      <c r="D368" s="2"/>
      <c r="F368" s="2"/>
      <c r="G368" s="2"/>
    </row>
    <row r="369">
      <c r="A369" s="2"/>
      <c r="B369" s="2"/>
      <c r="C369" s="2"/>
      <c r="D369" s="2"/>
      <c r="F369" s="2"/>
      <c r="G369" s="2"/>
    </row>
    <row r="370">
      <c r="A370" s="2"/>
      <c r="B370" s="2"/>
      <c r="C370" s="2"/>
      <c r="D370" s="2"/>
      <c r="F370" s="2"/>
      <c r="G370" s="2"/>
    </row>
    <row r="371">
      <c r="A371" s="2"/>
      <c r="B371" s="2"/>
      <c r="C371" s="2"/>
      <c r="D371" s="2"/>
      <c r="F371" s="2"/>
      <c r="G371" s="2"/>
    </row>
    <row r="372">
      <c r="A372" s="2"/>
      <c r="B372" s="2"/>
      <c r="C372" s="2"/>
      <c r="D372" s="2"/>
      <c r="F372" s="2"/>
      <c r="G372" s="2"/>
    </row>
    <row r="373">
      <c r="A373" s="2"/>
      <c r="B373" s="2"/>
      <c r="C373" s="2"/>
      <c r="D373" s="2"/>
      <c r="F373" s="2"/>
      <c r="G373" s="2"/>
    </row>
    <row r="374">
      <c r="A374" s="2"/>
      <c r="B374" s="2"/>
      <c r="C374" s="2"/>
      <c r="D374" s="2"/>
      <c r="F374" s="2"/>
      <c r="G374" s="2"/>
    </row>
    <row r="375">
      <c r="A375" s="2"/>
      <c r="B375" s="2"/>
      <c r="C375" s="2"/>
      <c r="D375" s="2"/>
      <c r="F375" s="2"/>
      <c r="G375" s="2"/>
    </row>
    <row r="376">
      <c r="A376" s="2"/>
      <c r="B376" s="2"/>
      <c r="C376" s="2"/>
      <c r="D376" s="2"/>
      <c r="F376" s="2"/>
      <c r="G376" s="2"/>
    </row>
    <row r="377">
      <c r="A377" s="2"/>
      <c r="B377" s="2"/>
      <c r="C377" s="2"/>
      <c r="D377" s="2"/>
      <c r="F377" s="2"/>
      <c r="G377" s="2"/>
    </row>
    <row r="378">
      <c r="A378" s="2"/>
      <c r="B378" s="2"/>
      <c r="C378" s="2"/>
      <c r="D378" s="2"/>
      <c r="F378" s="2"/>
      <c r="G378" s="2"/>
    </row>
    <row r="379">
      <c r="A379" s="2"/>
      <c r="B379" s="2"/>
      <c r="C379" s="2"/>
      <c r="D379" s="2"/>
      <c r="F379" s="2"/>
      <c r="G379" s="2"/>
    </row>
    <row r="380">
      <c r="A380" s="2"/>
      <c r="B380" s="2"/>
      <c r="C380" s="2"/>
      <c r="D380" s="2"/>
      <c r="F380" s="2"/>
      <c r="G380" s="2"/>
    </row>
    <row r="381">
      <c r="A381" s="2"/>
      <c r="B381" s="2"/>
      <c r="C381" s="2"/>
      <c r="D381" s="2"/>
      <c r="F381" s="2"/>
      <c r="G381" s="2"/>
    </row>
    <row r="382">
      <c r="A382" s="2"/>
      <c r="B382" s="2"/>
      <c r="C382" s="2"/>
      <c r="D382" s="2"/>
      <c r="F382" s="2"/>
      <c r="G382" s="2"/>
    </row>
    <row r="383">
      <c r="A383" s="2"/>
      <c r="B383" s="2"/>
      <c r="C383" s="2"/>
      <c r="D383" s="2"/>
      <c r="F383" s="2"/>
      <c r="G383" s="2"/>
    </row>
    <row r="384">
      <c r="A384" s="2"/>
      <c r="B384" s="2"/>
      <c r="C384" s="2"/>
      <c r="D384" s="2"/>
      <c r="F384" s="2"/>
      <c r="G384" s="2"/>
    </row>
    <row r="385">
      <c r="A385" s="2"/>
      <c r="B385" s="2"/>
      <c r="C385" s="2"/>
      <c r="D385" s="2"/>
      <c r="F385" s="2"/>
      <c r="G385" s="2"/>
    </row>
    <row r="386">
      <c r="A386" s="2"/>
      <c r="B386" s="2"/>
      <c r="C386" s="2"/>
      <c r="D386" s="2"/>
      <c r="F386" s="2"/>
      <c r="G386" s="2"/>
    </row>
    <row r="387">
      <c r="A387" s="2"/>
      <c r="B387" s="2"/>
      <c r="C387" s="2"/>
      <c r="D387" s="2"/>
      <c r="F387" s="2"/>
      <c r="G387" s="2"/>
    </row>
    <row r="388">
      <c r="A388" s="2"/>
      <c r="B388" s="2"/>
      <c r="C388" s="2"/>
      <c r="D388" s="2"/>
      <c r="F388" s="2"/>
      <c r="G388" s="2"/>
    </row>
    <row r="389">
      <c r="A389" s="2"/>
      <c r="B389" s="2"/>
      <c r="C389" s="2"/>
      <c r="D389" s="2"/>
      <c r="F389" s="2"/>
      <c r="G389" s="2"/>
    </row>
    <row r="390">
      <c r="A390" s="2"/>
      <c r="B390" s="2"/>
      <c r="C390" s="2"/>
      <c r="D390" s="2"/>
      <c r="F390" s="2"/>
      <c r="G390" s="2"/>
    </row>
    <row r="391">
      <c r="A391" s="2"/>
      <c r="B391" s="2"/>
      <c r="C391" s="2"/>
      <c r="D391" s="2"/>
      <c r="F391" s="2"/>
      <c r="G391" s="2"/>
    </row>
    <row r="392">
      <c r="A392" s="2"/>
      <c r="B392" s="2"/>
      <c r="C392" s="2"/>
      <c r="D392" s="2"/>
      <c r="F392" s="2"/>
      <c r="G392" s="2"/>
    </row>
    <row r="393">
      <c r="A393" s="2"/>
      <c r="B393" s="2"/>
      <c r="C393" s="2"/>
      <c r="D393" s="2"/>
      <c r="F393" s="2"/>
      <c r="G393" s="2"/>
    </row>
    <row r="394">
      <c r="A394" s="2"/>
      <c r="B394" s="2"/>
      <c r="C394" s="2"/>
      <c r="D394" s="2"/>
      <c r="F394" s="2"/>
      <c r="G394" s="2"/>
    </row>
    <row r="395">
      <c r="A395" s="2"/>
      <c r="B395" s="2"/>
      <c r="C395" s="2"/>
      <c r="D395" s="2"/>
      <c r="F395" s="2"/>
      <c r="G395" s="2"/>
    </row>
    <row r="396">
      <c r="A396" s="2"/>
      <c r="B396" s="2"/>
      <c r="C396" s="2"/>
      <c r="D396" s="2"/>
      <c r="F396" s="2"/>
      <c r="G396" s="2"/>
    </row>
    <row r="397">
      <c r="A397" s="2"/>
      <c r="B397" s="2"/>
      <c r="C397" s="2"/>
      <c r="D397" s="2"/>
      <c r="F397" s="2"/>
      <c r="G397" s="2"/>
    </row>
    <row r="398">
      <c r="A398" s="2"/>
      <c r="B398" s="2"/>
      <c r="C398" s="2"/>
      <c r="D398" s="2"/>
      <c r="F398" s="2"/>
      <c r="G398" s="2"/>
    </row>
    <row r="399">
      <c r="A399" s="2"/>
      <c r="B399" s="2"/>
      <c r="C399" s="2"/>
      <c r="D399" s="2"/>
      <c r="F399" s="2"/>
      <c r="G399" s="2"/>
    </row>
    <row r="400">
      <c r="A400" s="2"/>
      <c r="B400" s="2"/>
      <c r="C400" s="2"/>
      <c r="D400" s="2"/>
      <c r="F400" s="2"/>
      <c r="G400" s="2"/>
    </row>
    <row r="401">
      <c r="A401" s="2"/>
      <c r="B401" s="2"/>
      <c r="C401" s="2"/>
      <c r="D401" s="2"/>
      <c r="F401" s="2"/>
      <c r="G401" s="2"/>
    </row>
    <row r="402">
      <c r="A402" s="2"/>
      <c r="B402" s="2"/>
      <c r="C402" s="2"/>
      <c r="D402" s="2"/>
      <c r="F402" s="2"/>
      <c r="G402" s="2"/>
    </row>
    <row r="403">
      <c r="A403" s="2"/>
      <c r="B403" s="2"/>
      <c r="C403" s="2"/>
      <c r="D403" s="2"/>
      <c r="F403" s="2"/>
      <c r="G403" s="2"/>
    </row>
    <row r="404">
      <c r="A404" s="2"/>
      <c r="B404" s="2"/>
      <c r="C404" s="2"/>
      <c r="D404" s="2"/>
      <c r="F404" s="2"/>
      <c r="G404" s="2"/>
    </row>
    <row r="405">
      <c r="A405" s="2"/>
      <c r="B405" s="2"/>
      <c r="C405" s="2"/>
      <c r="D405" s="2"/>
      <c r="F405" s="2"/>
      <c r="G405" s="2"/>
    </row>
    <row r="406">
      <c r="A406" s="2"/>
      <c r="B406" s="2"/>
      <c r="C406" s="2"/>
      <c r="D406" s="2"/>
      <c r="F406" s="2"/>
      <c r="G406" s="2"/>
    </row>
    <row r="407">
      <c r="A407" s="2"/>
      <c r="B407" s="2"/>
      <c r="C407" s="2"/>
      <c r="D407" s="2"/>
      <c r="F407" s="2"/>
      <c r="G407" s="2"/>
    </row>
    <row r="408">
      <c r="A408" s="2"/>
      <c r="B408" s="2"/>
      <c r="C408" s="2"/>
      <c r="D408" s="2"/>
      <c r="F408" s="2"/>
      <c r="G408" s="2"/>
    </row>
    <row r="409">
      <c r="A409" s="2"/>
      <c r="B409" s="2"/>
      <c r="C409" s="2"/>
      <c r="D409" s="2"/>
      <c r="F409" s="2"/>
      <c r="G409" s="2"/>
    </row>
    <row r="410">
      <c r="A410" s="2"/>
      <c r="B410" s="2"/>
      <c r="C410" s="2"/>
      <c r="D410" s="2"/>
      <c r="F410" s="2"/>
      <c r="G410" s="2"/>
    </row>
    <row r="411">
      <c r="A411" s="2"/>
      <c r="B411" s="2"/>
      <c r="C411" s="2"/>
      <c r="D411" s="2"/>
      <c r="F411" s="2"/>
      <c r="G411" s="2"/>
    </row>
    <row r="412">
      <c r="A412" s="2"/>
      <c r="B412" s="2"/>
      <c r="C412" s="2"/>
      <c r="D412" s="2"/>
      <c r="F412" s="2"/>
      <c r="G412" s="2"/>
    </row>
    <row r="413">
      <c r="A413" s="2"/>
      <c r="B413" s="2"/>
      <c r="C413" s="2"/>
      <c r="D413" s="2"/>
      <c r="F413" s="2"/>
      <c r="G413" s="2"/>
    </row>
    <row r="414">
      <c r="A414" s="2"/>
      <c r="B414" s="2"/>
      <c r="C414" s="2"/>
      <c r="D414" s="2"/>
      <c r="F414" s="2"/>
      <c r="G414" s="2"/>
    </row>
    <row r="415">
      <c r="A415" s="2"/>
      <c r="B415" s="2"/>
      <c r="C415" s="2"/>
      <c r="D415" s="2"/>
      <c r="F415" s="2"/>
      <c r="G415" s="2"/>
    </row>
    <row r="416">
      <c r="A416" s="2"/>
      <c r="B416" s="2"/>
      <c r="C416" s="2"/>
      <c r="D416" s="2"/>
      <c r="F416" s="2"/>
      <c r="G416" s="2"/>
    </row>
    <row r="417">
      <c r="A417" s="2"/>
      <c r="B417" s="2"/>
      <c r="C417" s="2"/>
      <c r="D417" s="2"/>
      <c r="F417" s="2"/>
      <c r="G417" s="2"/>
    </row>
    <row r="418">
      <c r="A418" s="2"/>
      <c r="B418" s="2"/>
      <c r="C418" s="2"/>
      <c r="D418" s="2"/>
      <c r="F418" s="2"/>
      <c r="G418" s="2"/>
    </row>
    <row r="419">
      <c r="A419" s="2"/>
      <c r="B419" s="2"/>
      <c r="C419" s="2"/>
      <c r="D419" s="2"/>
      <c r="F419" s="2"/>
      <c r="G419" s="2"/>
    </row>
    <row r="420">
      <c r="A420" s="2"/>
      <c r="B420" s="2"/>
      <c r="C420" s="2"/>
      <c r="D420" s="2"/>
      <c r="F420" s="2"/>
      <c r="G420" s="2"/>
    </row>
    <row r="421">
      <c r="A421" s="2"/>
      <c r="B421" s="2"/>
      <c r="C421" s="2"/>
      <c r="D421" s="2"/>
      <c r="F421" s="2"/>
      <c r="G421" s="2"/>
    </row>
    <row r="422">
      <c r="A422" s="2"/>
      <c r="B422" s="2"/>
      <c r="C422" s="2"/>
      <c r="D422" s="2"/>
      <c r="F422" s="2"/>
      <c r="G422" s="2"/>
    </row>
    <row r="423">
      <c r="A423" s="2"/>
      <c r="B423" s="2"/>
      <c r="C423" s="2"/>
      <c r="D423" s="2"/>
      <c r="F423" s="2"/>
      <c r="G423" s="2"/>
    </row>
    <row r="424">
      <c r="A424" s="2"/>
      <c r="B424" s="2"/>
      <c r="C424" s="2"/>
      <c r="D424" s="2"/>
      <c r="F424" s="2"/>
      <c r="G424" s="2"/>
    </row>
    <row r="425">
      <c r="A425" s="2"/>
      <c r="B425" s="2"/>
      <c r="C425" s="2"/>
      <c r="D425" s="2"/>
      <c r="F425" s="2"/>
      <c r="G425" s="2"/>
    </row>
    <row r="426">
      <c r="A426" s="2"/>
      <c r="B426" s="2"/>
      <c r="C426" s="2"/>
      <c r="D426" s="2"/>
      <c r="F426" s="2"/>
      <c r="G426" s="2"/>
    </row>
    <row r="427">
      <c r="A427" s="2"/>
      <c r="B427" s="2"/>
      <c r="C427" s="2"/>
      <c r="D427" s="2"/>
      <c r="F427" s="2"/>
      <c r="G427" s="2"/>
    </row>
    <row r="428">
      <c r="A428" s="2"/>
      <c r="B428" s="2"/>
      <c r="C428" s="2"/>
      <c r="D428" s="2"/>
      <c r="F428" s="2"/>
      <c r="G428" s="2"/>
    </row>
    <row r="429">
      <c r="A429" s="2"/>
      <c r="B429" s="2"/>
      <c r="C429" s="2"/>
      <c r="D429" s="2"/>
      <c r="F429" s="2"/>
      <c r="G429" s="2"/>
    </row>
    <row r="430">
      <c r="A430" s="2"/>
      <c r="B430" s="2"/>
      <c r="C430" s="2"/>
      <c r="D430" s="2"/>
      <c r="F430" s="2"/>
      <c r="G430" s="2"/>
    </row>
    <row r="431">
      <c r="A431" s="2"/>
      <c r="B431" s="2"/>
      <c r="C431" s="2"/>
      <c r="D431" s="2"/>
      <c r="F431" s="2"/>
      <c r="G431" s="2"/>
    </row>
    <row r="432">
      <c r="A432" s="2"/>
      <c r="B432" s="2"/>
      <c r="C432" s="2"/>
      <c r="D432" s="2"/>
      <c r="F432" s="2"/>
      <c r="G432" s="2"/>
    </row>
    <row r="433">
      <c r="A433" s="2"/>
      <c r="B433" s="2"/>
      <c r="C433" s="2"/>
      <c r="D433" s="2"/>
      <c r="F433" s="2"/>
      <c r="G433" s="2"/>
    </row>
    <row r="434">
      <c r="A434" s="2"/>
      <c r="B434" s="2"/>
      <c r="C434" s="2"/>
      <c r="D434" s="2"/>
      <c r="F434" s="2"/>
      <c r="G434" s="2"/>
    </row>
    <row r="435">
      <c r="A435" s="2"/>
      <c r="B435" s="2"/>
      <c r="C435" s="2"/>
      <c r="D435" s="2"/>
      <c r="F435" s="2"/>
      <c r="G435" s="2"/>
    </row>
    <row r="436">
      <c r="A436" s="2"/>
      <c r="B436" s="2"/>
      <c r="C436" s="2"/>
      <c r="D436" s="2"/>
      <c r="F436" s="2"/>
      <c r="G436" s="2"/>
    </row>
    <row r="437">
      <c r="A437" s="2"/>
      <c r="B437" s="2"/>
      <c r="C437" s="2"/>
      <c r="D437" s="2"/>
      <c r="F437" s="2"/>
      <c r="G437" s="2"/>
    </row>
    <row r="438">
      <c r="A438" s="2"/>
      <c r="B438" s="2"/>
      <c r="C438" s="2"/>
      <c r="D438" s="2"/>
      <c r="F438" s="2"/>
      <c r="G438" s="2"/>
    </row>
    <row r="439">
      <c r="A439" s="2"/>
      <c r="B439" s="2"/>
      <c r="C439" s="2"/>
      <c r="D439" s="2"/>
      <c r="F439" s="2"/>
      <c r="G439" s="2"/>
    </row>
    <row r="440">
      <c r="A440" s="2"/>
      <c r="B440" s="2"/>
      <c r="C440" s="2"/>
      <c r="D440" s="2"/>
      <c r="F440" s="2"/>
      <c r="G440" s="2"/>
    </row>
    <row r="441">
      <c r="A441" s="2"/>
      <c r="B441" s="2"/>
      <c r="C441" s="2"/>
      <c r="D441" s="2"/>
      <c r="F441" s="2"/>
      <c r="G441" s="2"/>
    </row>
    <row r="442">
      <c r="A442" s="2"/>
      <c r="B442" s="2"/>
      <c r="C442" s="2"/>
      <c r="D442" s="2"/>
      <c r="F442" s="2"/>
      <c r="G442" s="2"/>
    </row>
    <row r="443">
      <c r="A443" s="2"/>
      <c r="B443" s="2"/>
      <c r="C443" s="2"/>
      <c r="D443" s="2"/>
      <c r="F443" s="2"/>
      <c r="G443" s="2"/>
    </row>
    <row r="444">
      <c r="A444" s="2"/>
      <c r="B444" s="2"/>
      <c r="C444" s="2"/>
      <c r="D444" s="2"/>
      <c r="F444" s="2"/>
      <c r="G444" s="2"/>
    </row>
    <row r="445">
      <c r="A445" s="2"/>
      <c r="B445" s="2"/>
      <c r="C445" s="2"/>
      <c r="D445" s="2"/>
      <c r="F445" s="2"/>
      <c r="G445" s="2"/>
    </row>
    <row r="446">
      <c r="A446" s="2"/>
      <c r="B446" s="2"/>
      <c r="C446" s="2"/>
      <c r="D446" s="2"/>
      <c r="F446" s="2"/>
      <c r="G446" s="2"/>
    </row>
    <row r="447">
      <c r="A447" s="2"/>
      <c r="B447" s="2"/>
      <c r="C447" s="2"/>
      <c r="D447" s="2"/>
      <c r="F447" s="2"/>
      <c r="G447" s="2"/>
    </row>
    <row r="448">
      <c r="A448" s="2"/>
      <c r="B448" s="2"/>
      <c r="C448" s="2"/>
      <c r="D448" s="2"/>
      <c r="F448" s="2"/>
      <c r="G448" s="2"/>
    </row>
    <row r="449">
      <c r="A449" s="2"/>
      <c r="B449" s="2"/>
      <c r="C449" s="2"/>
      <c r="D449" s="2"/>
      <c r="F449" s="2"/>
      <c r="G449" s="2"/>
    </row>
    <row r="450">
      <c r="A450" s="2"/>
      <c r="B450" s="2"/>
      <c r="C450" s="2"/>
      <c r="D450" s="2"/>
      <c r="F450" s="2"/>
      <c r="G450" s="2"/>
    </row>
    <row r="451">
      <c r="A451" s="2"/>
      <c r="B451" s="2"/>
      <c r="C451" s="2"/>
      <c r="D451" s="2"/>
      <c r="F451" s="2"/>
      <c r="G451" s="2"/>
    </row>
    <row r="452">
      <c r="A452" s="2"/>
      <c r="B452" s="2"/>
      <c r="C452" s="2"/>
      <c r="D452" s="2"/>
      <c r="F452" s="2"/>
      <c r="G452" s="2"/>
    </row>
    <row r="453">
      <c r="A453" s="2"/>
      <c r="B453" s="2"/>
      <c r="C453" s="2"/>
      <c r="D453" s="2"/>
      <c r="F453" s="2"/>
      <c r="G453" s="2"/>
    </row>
    <row r="454">
      <c r="A454" s="2"/>
      <c r="B454" s="2"/>
      <c r="C454" s="2"/>
      <c r="D454" s="2"/>
      <c r="F454" s="2"/>
      <c r="G454" s="2"/>
    </row>
    <row r="455">
      <c r="A455" s="2"/>
      <c r="B455" s="2"/>
      <c r="C455" s="2"/>
      <c r="D455" s="2"/>
      <c r="F455" s="2"/>
      <c r="G455" s="2"/>
    </row>
    <row r="456">
      <c r="A456" s="2"/>
      <c r="B456" s="2"/>
      <c r="C456" s="2"/>
      <c r="D456" s="2"/>
      <c r="F456" s="2"/>
      <c r="G456" s="2"/>
    </row>
    <row r="457">
      <c r="A457" s="2"/>
      <c r="B457" s="2"/>
      <c r="C457" s="2"/>
      <c r="D457" s="2"/>
      <c r="F457" s="2"/>
      <c r="G457" s="2"/>
    </row>
    <row r="458">
      <c r="A458" s="2"/>
      <c r="B458" s="2"/>
      <c r="C458" s="2"/>
      <c r="D458" s="2"/>
      <c r="F458" s="2"/>
      <c r="G458" s="2"/>
    </row>
    <row r="459">
      <c r="A459" s="2"/>
      <c r="B459" s="2"/>
      <c r="C459" s="2"/>
      <c r="D459" s="2"/>
      <c r="F459" s="2"/>
      <c r="G459" s="2"/>
    </row>
    <row r="460">
      <c r="A460" s="2"/>
      <c r="B460" s="2"/>
      <c r="C460" s="2"/>
      <c r="D460" s="2"/>
      <c r="F460" s="2"/>
      <c r="G460" s="2"/>
    </row>
    <row r="461">
      <c r="A461" s="2"/>
      <c r="B461" s="2"/>
      <c r="C461" s="2"/>
      <c r="D461" s="2"/>
      <c r="F461" s="2"/>
      <c r="G461" s="2"/>
    </row>
    <row r="462">
      <c r="A462" s="2"/>
      <c r="B462" s="2"/>
      <c r="C462" s="2"/>
      <c r="D462" s="2"/>
      <c r="F462" s="2"/>
      <c r="G462" s="2"/>
    </row>
    <row r="463">
      <c r="A463" s="2"/>
      <c r="B463" s="2"/>
      <c r="C463" s="2"/>
      <c r="D463" s="2"/>
      <c r="F463" s="2"/>
      <c r="G463" s="2"/>
    </row>
    <row r="464">
      <c r="A464" s="2"/>
      <c r="B464" s="2"/>
      <c r="C464" s="2"/>
      <c r="D464" s="2"/>
      <c r="F464" s="2"/>
      <c r="G464" s="2"/>
    </row>
    <row r="465">
      <c r="A465" s="2"/>
      <c r="B465" s="2"/>
      <c r="C465" s="2"/>
      <c r="D465" s="2"/>
      <c r="F465" s="2"/>
      <c r="G465" s="2"/>
    </row>
    <row r="466">
      <c r="A466" s="2"/>
      <c r="B466" s="2"/>
      <c r="C466" s="2"/>
      <c r="D466" s="2"/>
      <c r="F466" s="2"/>
      <c r="G466" s="2"/>
    </row>
    <row r="467">
      <c r="A467" s="2"/>
      <c r="B467" s="2"/>
      <c r="C467" s="2"/>
      <c r="D467" s="2"/>
      <c r="F467" s="2"/>
      <c r="G467" s="2"/>
    </row>
    <row r="468">
      <c r="A468" s="2"/>
      <c r="B468" s="2"/>
      <c r="C468" s="2"/>
      <c r="D468" s="2"/>
      <c r="F468" s="2"/>
      <c r="G468" s="2"/>
    </row>
    <row r="469">
      <c r="A469" s="2"/>
      <c r="B469" s="2"/>
      <c r="C469" s="2"/>
      <c r="D469" s="2"/>
      <c r="F469" s="2"/>
      <c r="G469" s="2"/>
    </row>
    <row r="470">
      <c r="A470" s="2"/>
      <c r="B470" s="2"/>
      <c r="C470" s="2"/>
      <c r="D470" s="2"/>
      <c r="F470" s="2"/>
      <c r="G470" s="2"/>
    </row>
    <row r="471">
      <c r="A471" s="2"/>
      <c r="B471" s="2"/>
      <c r="C471" s="2"/>
      <c r="D471" s="2"/>
      <c r="F471" s="2"/>
      <c r="G471" s="2"/>
    </row>
    <row r="472">
      <c r="A472" s="2"/>
      <c r="B472" s="2"/>
      <c r="C472" s="2"/>
      <c r="D472" s="2"/>
      <c r="F472" s="2"/>
      <c r="G472" s="2"/>
    </row>
    <row r="473">
      <c r="A473" s="2"/>
      <c r="B473" s="2"/>
      <c r="C473" s="2"/>
      <c r="D473" s="2"/>
      <c r="F473" s="2"/>
      <c r="G473" s="2"/>
    </row>
    <row r="474">
      <c r="A474" s="2"/>
      <c r="B474" s="2"/>
      <c r="C474" s="2"/>
      <c r="D474" s="2"/>
      <c r="F474" s="2"/>
      <c r="G474" s="2"/>
    </row>
    <row r="475">
      <c r="A475" s="2"/>
      <c r="B475" s="2"/>
      <c r="C475" s="2"/>
      <c r="D475" s="2"/>
      <c r="F475" s="2"/>
      <c r="G475" s="2"/>
    </row>
    <row r="476">
      <c r="A476" s="2"/>
      <c r="B476" s="2"/>
      <c r="C476" s="2"/>
      <c r="D476" s="2"/>
      <c r="F476" s="2"/>
      <c r="G476" s="2"/>
    </row>
    <row r="477">
      <c r="A477" s="2"/>
      <c r="B477" s="2"/>
      <c r="C477" s="2"/>
      <c r="D477" s="2"/>
      <c r="F477" s="2"/>
      <c r="G477" s="2"/>
    </row>
    <row r="478">
      <c r="A478" s="2"/>
      <c r="B478" s="2"/>
      <c r="C478" s="2"/>
      <c r="D478" s="2"/>
      <c r="F478" s="2"/>
      <c r="G478" s="2"/>
    </row>
    <row r="479">
      <c r="A479" s="2"/>
      <c r="B479" s="2"/>
      <c r="C479" s="2"/>
      <c r="D479" s="2"/>
      <c r="F479" s="2"/>
      <c r="G479" s="2"/>
    </row>
    <row r="480">
      <c r="A480" s="2"/>
      <c r="B480" s="2"/>
      <c r="C480" s="2"/>
      <c r="D480" s="2"/>
      <c r="F480" s="2"/>
      <c r="G480" s="2"/>
    </row>
    <row r="481">
      <c r="A481" s="2"/>
      <c r="B481" s="2"/>
      <c r="C481" s="2"/>
      <c r="D481" s="2"/>
      <c r="F481" s="2"/>
      <c r="G481" s="2"/>
    </row>
    <row r="482">
      <c r="A482" s="2"/>
      <c r="B482" s="2"/>
      <c r="C482" s="2"/>
      <c r="D482" s="2"/>
      <c r="F482" s="2"/>
      <c r="G482" s="2"/>
    </row>
    <row r="483">
      <c r="A483" s="2"/>
      <c r="B483" s="2"/>
      <c r="C483" s="2"/>
      <c r="D483" s="2"/>
      <c r="F483" s="2"/>
      <c r="G483" s="2"/>
    </row>
    <row r="484">
      <c r="A484" s="2"/>
      <c r="B484" s="2"/>
      <c r="C484" s="2"/>
      <c r="D484" s="2"/>
      <c r="F484" s="2"/>
      <c r="G484" s="2"/>
    </row>
    <row r="485">
      <c r="A485" s="2"/>
      <c r="B485" s="2"/>
      <c r="C485" s="2"/>
      <c r="D485" s="2"/>
      <c r="F485" s="2"/>
      <c r="G485" s="2"/>
    </row>
    <row r="486">
      <c r="A486" s="2"/>
      <c r="B486" s="2"/>
      <c r="C486" s="2"/>
      <c r="D486" s="2"/>
      <c r="F486" s="2"/>
      <c r="G486" s="2"/>
    </row>
    <row r="487">
      <c r="A487" s="2"/>
      <c r="B487" s="2"/>
      <c r="C487" s="2"/>
      <c r="D487" s="2"/>
      <c r="F487" s="2"/>
      <c r="G487" s="2"/>
    </row>
    <row r="488">
      <c r="A488" s="2"/>
      <c r="B488" s="2"/>
      <c r="C488" s="2"/>
      <c r="D488" s="2"/>
      <c r="F488" s="2"/>
      <c r="G488" s="2"/>
    </row>
    <row r="489">
      <c r="A489" s="2"/>
      <c r="B489" s="2"/>
      <c r="C489" s="2"/>
      <c r="D489" s="2"/>
      <c r="F489" s="2"/>
      <c r="G489" s="2"/>
    </row>
    <row r="490">
      <c r="A490" s="2"/>
      <c r="B490" s="2"/>
      <c r="C490" s="2"/>
      <c r="D490" s="2"/>
      <c r="F490" s="2"/>
      <c r="G490" s="2"/>
    </row>
    <row r="491">
      <c r="A491" s="2"/>
      <c r="B491" s="2"/>
      <c r="C491" s="2"/>
      <c r="D491" s="2"/>
      <c r="F491" s="2"/>
      <c r="G491" s="2"/>
    </row>
    <row r="492">
      <c r="A492" s="2"/>
      <c r="B492" s="2"/>
      <c r="C492" s="2"/>
      <c r="D492" s="2"/>
      <c r="F492" s="2"/>
      <c r="G492" s="2"/>
    </row>
    <row r="493">
      <c r="A493" s="2"/>
      <c r="B493" s="2"/>
      <c r="C493" s="2"/>
      <c r="D493" s="2"/>
      <c r="F493" s="2"/>
      <c r="G493" s="2"/>
    </row>
    <row r="494">
      <c r="A494" s="2"/>
      <c r="B494" s="2"/>
      <c r="C494" s="2"/>
      <c r="D494" s="2"/>
      <c r="F494" s="2"/>
      <c r="G494" s="2"/>
    </row>
    <row r="495">
      <c r="A495" s="2"/>
      <c r="B495" s="2"/>
      <c r="C495" s="2"/>
      <c r="D495" s="2"/>
      <c r="F495" s="2"/>
      <c r="G495" s="2"/>
    </row>
    <row r="496">
      <c r="A496" s="2"/>
      <c r="B496" s="2"/>
      <c r="C496" s="2"/>
      <c r="D496" s="2"/>
      <c r="F496" s="2"/>
      <c r="G496" s="2"/>
    </row>
    <row r="497">
      <c r="A497" s="2"/>
      <c r="B497" s="2"/>
      <c r="C497" s="2"/>
      <c r="D497" s="2"/>
      <c r="F497" s="2"/>
      <c r="G497" s="2"/>
    </row>
    <row r="498">
      <c r="A498" s="2"/>
      <c r="B498" s="2"/>
      <c r="C498" s="2"/>
      <c r="D498" s="2"/>
      <c r="F498" s="2"/>
      <c r="G498" s="2"/>
    </row>
    <row r="499">
      <c r="A499" s="2"/>
      <c r="B499" s="2"/>
      <c r="C499" s="2"/>
      <c r="D499" s="2"/>
      <c r="F499" s="2"/>
      <c r="G499" s="2"/>
    </row>
    <row r="500">
      <c r="A500" s="2"/>
      <c r="B500" s="2"/>
      <c r="C500" s="2"/>
      <c r="D500" s="2"/>
      <c r="F500" s="2"/>
      <c r="G500" s="2"/>
    </row>
    <row r="501">
      <c r="A501" s="2"/>
      <c r="B501" s="2"/>
      <c r="C501" s="2"/>
      <c r="D501" s="2"/>
      <c r="F501" s="2"/>
      <c r="G501" s="2"/>
    </row>
    <row r="502">
      <c r="A502" s="2"/>
      <c r="B502" s="2"/>
      <c r="C502" s="2"/>
      <c r="D502" s="2"/>
      <c r="F502" s="2"/>
      <c r="G502" s="2"/>
    </row>
    <row r="503">
      <c r="A503" s="2"/>
      <c r="B503" s="2"/>
      <c r="C503" s="2"/>
      <c r="D503" s="2"/>
      <c r="F503" s="2"/>
      <c r="G503" s="2"/>
    </row>
    <row r="504">
      <c r="A504" s="2"/>
      <c r="B504" s="2"/>
      <c r="C504" s="2"/>
      <c r="D504" s="2"/>
      <c r="F504" s="2"/>
      <c r="G504" s="2"/>
    </row>
    <row r="505">
      <c r="A505" s="2"/>
      <c r="B505" s="2"/>
      <c r="C505" s="2"/>
      <c r="D505" s="2"/>
      <c r="F505" s="2"/>
      <c r="G505" s="2"/>
    </row>
    <row r="506">
      <c r="A506" s="2"/>
      <c r="B506" s="2"/>
      <c r="C506" s="2"/>
      <c r="D506" s="2"/>
      <c r="F506" s="2"/>
      <c r="G506" s="2"/>
    </row>
    <row r="507">
      <c r="A507" s="2"/>
      <c r="B507" s="2"/>
      <c r="C507" s="2"/>
      <c r="D507" s="2"/>
      <c r="F507" s="2"/>
      <c r="G507" s="2"/>
    </row>
    <row r="508">
      <c r="A508" s="2"/>
      <c r="B508" s="2"/>
      <c r="C508" s="2"/>
      <c r="D508" s="2"/>
      <c r="F508" s="2"/>
      <c r="G508" s="2"/>
    </row>
    <row r="509">
      <c r="A509" s="2"/>
      <c r="B509" s="2"/>
      <c r="C509" s="2"/>
      <c r="D509" s="2"/>
      <c r="F509" s="2"/>
      <c r="G509" s="2"/>
    </row>
    <row r="510">
      <c r="A510" s="2"/>
      <c r="B510" s="2"/>
      <c r="C510" s="2"/>
      <c r="D510" s="2"/>
      <c r="F510" s="2"/>
      <c r="G510" s="2"/>
    </row>
    <row r="511">
      <c r="A511" s="2"/>
      <c r="B511" s="2"/>
      <c r="C511" s="2"/>
      <c r="D511" s="2"/>
      <c r="F511" s="2"/>
      <c r="G511" s="2"/>
    </row>
    <row r="512">
      <c r="A512" s="2"/>
      <c r="B512" s="2"/>
      <c r="C512" s="2"/>
      <c r="D512" s="2"/>
      <c r="F512" s="2"/>
      <c r="G512" s="2"/>
    </row>
    <row r="513">
      <c r="A513" s="2"/>
      <c r="B513" s="2"/>
      <c r="C513" s="2"/>
      <c r="D513" s="2"/>
      <c r="F513" s="2"/>
      <c r="G513" s="2"/>
    </row>
    <row r="514">
      <c r="A514" s="2"/>
      <c r="B514" s="2"/>
      <c r="C514" s="2"/>
      <c r="D514" s="2"/>
      <c r="F514" s="2"/>
      <c r="G514" s="2"/>
    </row>
    <row r="515">
      <c r="A515" s="2"/>
      <c r="B515" s="2"/>
      <c r="C515" s="2"/>
      <c r="D515" s="2"/>
      <c r="F515" s="2"/>
      <c r="G515" s="2"/>
    </row>
    <row r="516">
      <c r="A516" s="2"/>
      <c r="B516" s="2"/>
      <c r="C516" s="2"/>
      <c r="D516" s="2"/>
      <c r="F516" s="2"/>
      <c r="G516" s="2"/>
    </row>
    <row r="517">
      <c r="A517" s="2"/>
      <c r="B517" s="2"/>
      <c r="C517" s="2"/>
      <c r="D517" s="2"/>
      <c r="F517" s="2"/>
      <c r="G517" s="2"/>
    </row>
    <row r="518">
      <c r="A518" s="2"/>
      <c r="B518" s="2"/>
      <c r="C518" s="2"/>
      <c r="D518" s="2"/>
      <c r="F518" s="2"/>
      <c r="G518" s="2"/>
    </row>
    <row r="519">
      <c r="A519" s="2"/>
      <c r="B519" s="2"/>
      <c r="C519" s="2"/>
      <c r="D519" s="2"/>
      <c r="F519" s="2"/>
      <c r="G519" s="2"/>
    </row>
    <row r="520">
      <c r="A520" s="2"/>
      <c r="B520" s="2"/>
      <c r="C520" s="2"/>
      <c r="D520" s="2"/>
      <c r="F520" s="2"/>
      <c r="G520" s="2"/>
    </row>
    <row r="521">
      <c r="A521" s="2"/>
      <c r="B521" s="2"/>
      <c r="C521" s="2"/>
      <c r="D521" s="2"/>
      <c r="F521" s="2"/>
      <c r="G521" s="2"/>
    </row>
    <row r="522">
      <c r="A522" s="2"/>
      <c r="B522" s="2"/>
      <c r="C522" s="2"/>
      <c r="D522" s="2"/>
      <c r="F522" s="2"/>
      <c r="G522" s="2"/>
    </row>
    <row r="523">
      <c r="A523" s="2"/>
      <c r="B523" s="2"/>
      <c r="C523" s="2"/>
      <c r="D523" s="2"/>
      <c r="F523" s="2"/>
      <c r="G523" s="2"/>
    </row>
    <row r="524">
      <c r="A524" s="2"/>
      <c r="B524" s="2"/>
      <c r="C524" s="2"/>
      <c r="D524" s="2"/>
      <c r="F524" s="2"/>
      <c r="G524" s="2"/>
    </row>
    <row r="525">
      <c r="A525" s="2"/>
      <c r="B525" s="2"/>
      <c r="C525" s="2"/>
      <c r="D525" s="2"/>
      <c r="F525" s="2"/>
      <c r="G525" s="2"/>
    </row>
    <row r="526">
      <c r="A526" s="2"/>
      <c r="B526" s="2"/>
      <c r="C526" s="2"/>
      <c r="D526" s="2"/>
      <c r="F526" s="2"/>
      <c r="G526" s="2"/>
    </row>
    <row r="527">
      <c r="A527" s="2"/>
      <c r="B527" s="2"/>
      <c r="C527" s="2"/>
      <c r="D527" s="2"/>
      <c r="F527" s="2"/>
      <c r="G527" s="2"/>
    </row>
    <row r="528">
      <c r="A528" s="2"/>
      <c r="B528" s="2"/>
      <c r="C528" s="2"/>
      <c r="D528" s="2"/>
      <c r="F528" s="2"/>
      <c r="G528" s="2"/>
    </row>
    <row r="529">
      <c r="A529" s="2"/>
      <c r="B529" s="2"/>
      <c r="C529" s="2"/>
      <c r="D529" s="2"/>
      <c r="F529" s="2"/>
      <c r="G529" s="2"/>
    </row>
    <row r="530">
      <c r="A530" s="2"/>
      <c r="B530" s="2"/>
      <c r="C530" s="2"/>
      <c r="D530" s="2"/>
      <c r="F530" s="2"/>
      <c r="G530" s="2"/>
    </row>
    <row r="531">
      <c r="A531" s="2"/>
      <c r="B531" s="2"/>
      <c r="C531" s="2"/>
      <c r="D531" s="2"/>
      <c r="F531" s="2"/>
      <c r="G531" s="2"/>
    </row>
    <row r="532">
      <c r="A532" s="2"/>
      <c r="B532" s="2"/>
      <c r="C532" s="2"/>
      <c r="D532" s="2"/>
      <c r="F532" s="2"/>
      <c r="G532" s="2"/>
    </row>
    <row r="533">
      <c r="A533" s="2"/>
      <c r="B533" s="2"/>
      <c r="C533" s="2"/>
      <c r="D533" s="2"/>
      <c r="F533" s="2"/>
      <c r="G533" s="2"/>
    </row>
    <row r="534">
      <c r="A534" s="2"/>
      <c r="B534" s="2"/>
      <c r="C534" s="2"/>
      <c r="D534" s="2"/>
      <c r="F534" s="2"/>
      <c r="G534" s="2"/>
    </row>
    <row r="535">
      <c r="A535" s="2"/>
      <c r="B535" s="2"/>
      <c r="C535" s="2"/>
      <c r="D535" s="2"/>
      <c r="F535" s="2"/>
      <c r="G535" s="2"/>
    </row>
    <row r="536">
      <c r="A536" s="2"/>
      <c r="B536" s="2"/>
      <c r="C536" s="2"/>
      <c r="D536" s="2"/>
      <c r="F536" s="2"/>
      <c r="G536" s="2"/>
    </row>
    <row r="537">
      <c r="A537" s="2"/>
      <c r="B537" s="2"/>
      <c r="C537" s="2"/>
      <c r="D537" s="2"/>
      <c r="F537" s="2"/>
      <c r="G537" s="2"/>
    </row>
    <row r="538">
      <c r="A538" s="2"/>
      <c r="B538" s="2"/>
      <c r="C538" s="2"/>
      <c r="D538" s="2"/>
      <c r="F538" s="2"/>
      <c r="G538" s="2"/>
    </row>
    <row r="539">
      <c r="A539" s="2"/>
      <c r="B539" s="2"/>
      <c r="C539" s="2"/>
      <c r="D539" s="2"/>
      <c r="F539" s="2"/>
      <c r="G539" s="2"/>
    </row>
    <row r="540">
      <c r="A540" s="2"/>
      <c r="B540" s="2"/>
      <c r="C540" s="2"/>
      <c r="D540" s="2"/>
      <c r="F540" s="2"/>
      <c r="G540" s="2"/>
    </row>
    <row r="541">
      <c r="A541" s="2"/>
      <c r="B541" s="2"/>
      <c r="C541" s="2"/>
      <c r="D541" s="2"/>
      <c r="F541" s="2"/>
      <c r="G541" s="2"/>
    </row>
    <row r="542">
      <c r="A542" s="2"/>
      <c r="B542" s="2"/>
      <c r="C542" s="2"/>
      <c r="D542" s="2"/>
      <c r="F542" s="2"/>
      <c r="G542" s="2"/>
    </row>
    <row r="543">
      <c r="A543" s="2"/>
      <c r="B543" s="2"/>
      <c r="C543" s="2"/>
      <c r="D543" s="2"/>
      <c r="F543" s="2"/>
      <c r="G543" s="2"/>
    </row>
    <row r="544">
      <c r="A544" s="2"/>
      <c r="B544" s="2"/>
      <c r="C544" s="2"/>
      <c r="D544" s="2"/>
      <c r="F544" s="2"/>
      <c r="G544" s="2"/>
    </row>
    <row r="545">
      <c r="A545" s="2"/>
      <c r="B545" s="2"/>
      <c r="C545" s="2"/>
      <c r="D545" s="2"/>
      <c r="F545" s="2"/>
      <c r="G545" s="2"/>
    </row>
    <row r="546">
      <c r="A546" s="2"/>
      <c r="B546" s="2"/>
      <c r="C546" s="2"/>
      <c r="D546" s="2"/>
      <c r="F546" s="2"/>
      <c r="G546" s="2"/>
    </row>
    <row r="547">
      <c r="A547" s="2"/>
      <c r="B547" s="2"/>
      <c r="C547" s="2"/>
      <c r="D547" s="2"/>
      <c r="F547" s="2"/>
      <c r="G547" s="2"/>
    </row>
    <row r="548">
      <c r="A548" s="2"/>
      <c r="B548" s="2"/>
      <c r="C548" s="2"/>
      <c r="D548" s="2"/>
      <c r="F548" s="2"/>
      <c r="G548" s="2"/>
    </row>
    <row r="549">
      <c r="A549" s="2"/>
      <c r="B549" s="2"/>
      <c r="C549" s="2"/>
      <c r="D549" s="2"/>
      <c r="F549" s="2"/>
      <c r="G549" s="2"/>
    </row>
    <row r="550">
      <c r="A550" s="2"/>
      <c r="B550" s="2"/>
      <c r="C550" s="2"/>
      <c r="D550" s="2"/>
      <c r="F550" s="2"/>
      <c r="G550" s="2"/>
    </row>
    <row r="551">
      <c r="A551" s="2"/>
      <c r="B551" s="2"/>
      <c r="C551" s="2"/>
      <c r="D551" s="2"/>
      <c r="F551" s="2"/>
      <c r="G551" s="2"/>
    </row>
    <row r="552">
      <c r="A552" s="2"/>
      <c r="B552" s="2"/>
      <c r="C552" s="2"/>
      <c r="D552" s="2"/>
      <c r="F552" s="2"/>
      <c r="G552" s="2"/>
    </row>
    <row r="553">
      <c r="A553" s="2"/>
      <c r="B553" s="2"/>
      <c r="C553" s="2"/>
      <c r="D553" s="2"/>
      <c r="F553" s="2"/>
      <c r="G553" s="2"/>
    </row>
    <row r="554">
      <c r="A554" s="2"/>
      <c r="B554" s="2"/>
      <c r="C554" s="2"/>
      <c r="D554" s="2"/>
      <c r="F554" s="2"/>
      <c r="G554" s="2"/>
    </row>
    <row r="555">
      <c r="A555" s="2"/>
      <c r="B555" s="2"/>
      <c r="C555" s="2"/>
      <c r="D555" s="2"/>
      <c r="F555" s="2"/>
      <c r="G555" s="2"/>
    </row>
    <row r="556">
      <c r="A556" s="2"/>
      <c r="B556" s="2"/>
      <c r="C556" s="2"/>
      <c r="D556" s="2"/>
      <c r="F556" s="2"/>
      <c r="G556" s="2"/>
    </row>
    <row r="557">
      <c r="A557" s="2"/>
      <c r="B557" s="2"/>
      <c r="C557" s="2"/>
      <c r="D557" s="2"/>
      <c r="F557" s="2"/>
      <c r="G557" s="2"/>
    </row>
    <row r="558">
      <c r="A558" s="2"/>
      <c r="B558" s="2"/>
      <c r="C558" s="2"/>
      <c r="D558" s="2"/>
      <c r="F558" s="2"/>
      <c r="G558" s="2"/>
    </row>
    <row r="559">
      <c r="A559" s="2"/>
      <c r="B559" s="2"/>
      <c r="C559" s="2"/>
      <c r="D559" s="2"/>
      <c r="F559" s="2"/>
      <c r="G559" s="2"/>
    </row>
    <row r="560">
      <c r="A560" s="2"/>
      <c r="B560" s="2"/>
      <c r="C560" s="2"/>
      <c r="D560" s="2"/>
      <c r="F560" s="2"/>
      <c r="G560" s="2"/>
    </row>
    <row r="561">
      <c r="A561" s="2"/>
      <c r="B561" s="2"/>
      <c r="C561" s="2"/>
      <c r="D561" s="2"/>
      <c r="F561" s="2"/>
      <c r="G561" s="2"/>
    </row>
    <row r="562">
      <c r="A562" s="2"/>
      <c r="B562" s="2"/>
      <c r="C562" s="2"/>
      <c r="D562" s="2"/>
      <c r="F562" s="2"/>
      <c r="G562" s="2"/>
    </row>
    <row r="563">
      <c r="A563" s="2"/>
      <c r="B563" s="2"/>
      <c r="C563" s="2"/>
      <c r="D563" s="2"/>
      <c r="F563" s="2"/>
      <c r="G563" s="2"/>
    </row>
    <row r="564">
      <c r="A564" s="2"/>
      <c r="B564" s="2"/>
      <c r="C564" s="2"/>
      <c r="D564" s="2"/>
      <c r="F564" s="2"/>
      <c r="G564" s="2"/>
    </row>
    <row r="565">
      <c r="A565" s="2"/>
      <c r="B565" s="2"/>
      <c r="C565" s="2"/>
      <c r="D565" s="2"/>
      <c r="F565" s="2"/>
      <c r="G565" s="2"/>
    </row>
    <row r="566">
      <c r="A566" s="2"/>
      <c r="B566" s="2"/>
      <c r="C566" s="2"/>
      <c r="D566" s="2"/>
      <c r="F566" s="2"/>
      <c r="G566" s="2"/>
    </row>
    <row r="567">
      <c r="A567" s="2"/>
      <c r="B567" s="2"/>
      <c r="C567" s="2"/>
      <c r="D567" s="2"/>
      <c r="F567" s="2"/>
      <c r="G567" s="2"/>
    </row>
    <row r="568">
      <c r="A568" s="2"/>
      <c r="B568" s="2"/>
      <c r="C568" s="2"/>
      <c r="D568" s="2"/>
      <c r="F568" s="2"/>
      <c r="G568" s="2"/>
    </row>
    <row r="569">
      <c r="A569" s="2"/>
      <c r="B569" s="2"/>
      <c r="C569" s="2"/>
      <c r="D569" s="2"/>
      <c r="F569" s="2"/>
      <c r="G569" s="2"/>
    </row>
    <row r="570">
      <c r="A570" s="2"/>
      <c r="B570" s="2"/>
      <c r="C570" s="2"/>
      <c r="D570" s="2"/>
      <c r="F570" s="2"/>
      <c r="G570" s="2"/>
    </row>
    <row r="571">
      <c r="A571" s="2"/>
      <c r="B571" s="2"/>
      <c r="C571" s="2"/>
      <c r="D571" s="2"/>
      <c r="F571" s="2"/>
      <c r="G571" s="2"/>
    </row>
    <row r="572">
      <c r="A572" s="2"/>
      <c r="B572" s="2"/>
      <c r="C572" s="2"/>
      <c r="D572" s="2"/>
      <c r="F572" s="2"/>
      <c r="G572" s="2"/>
    </row>
    <row r="573">
      <c r="A573" s="2"/>
      <c r="B573" s="2"/>
      <c r="C573" s="2"/>
      <c r="D573" s="2"/>
      <c r="F573" s="2"/>
      <c r="G573" s="2"/>
    </row>
    <row r="574">
      <c r="A574" s="2"/>
      <c r="B574" s="2"/>
      <c r="C574" s="2"/>
      <c r="D574" s="2"/>
      <c r="F574" s="2"/>
      <c r="G574" s="2"/>
    </row>
    <row r="575">
      <c r="A575" s="2"/>
      <c r="B575" s="2"/>
      <c r="C575" s="2"/>
      <c r="D575" s="2"/>
      <c r="F575" s="2"/>
      <c r="G575" s="2"/>
    </row>
    <row r="576">
      <c r="A576" s="2"/>
      <c r="B576" s="2"/>
      <c r="C576" s="2"/>
      <c r="D576" s="2"/>
      <c r="F576" s="2"/>
      <c r="G576" s="2"/>
    </row>
    <row r="577">
      <c r="A577" s="2"/>
      <c r="B577" s="2"/>
      <c r="C577" s="2"/>
      <c r="D577" s="2"/>
      <c r="F577" s="2"/>
      <c r="G577" s="2"/>
    </row>
    <row r="578">
      <c r="A578" s="2"/>
      <c r="B578" s="2"/>
      <c r="C578" s="2"/>
      <c r="D578" s="2"/>
      <c r="F578" s="2"/>
      <c r="G578" s="2"/>
    </row>
    <row r="579">
      <c r="A579" s="2"/>
      <c r="B579" s="2"/>
      <c r="C579" s="2"/>
      <c r="D579" s="2"/>
      <c r="F579" s="2"/>
      <c r="G579" s="2"/>
    </row>
    <row r="580">
      <c r="A580" s="2"/>
      <c r="B580" s="2"/>
      <c r="C580" s="2"/>
      <c r="D580" s="2"/>
      <c r="F580" s="2"/>
      <c r="G580" s="2"/>
    </row>
    <row r="581">
      <c r="A581" s="2"/>
      <c r="B581" s="2"/>
      <c r="C581" s="2"/>
      <c r="D581" s="2"/>
      <c r="F581" s="2"/>
      <c r="G581" s="2"/>
    </row>
    <row r="582">
      <c r="A582" s="2"/>
      <c r="B582" s="2"/>
      <c r="C582" s="2"/>
      <c r="D582" s="2"/>
      <c r="F582" s="2"/>
      <c r="G582" s="2"/>
    </row>
    <row r="583">
      <c r="A583" s="2"/>
      <c r="B583" s="2"/>
      <c r="C583" s="2"/>
      <c r="D583" s="2"/>
      <c r="F583" s="2"/>
      <c r="G583" s="2"/>
    </row>
    <row r="584">
      <c r="A584" s="2"/>
      <c r="B584" s="2"/>
      <c r="C584" s="2"/>
      <c r="D584" s="2"/>
      <c r="F584" s="2"/>
      <c r="G584" s="2"/>
    </row>
    <row r="585">
      <c r="A585" s="2"/>
      <c r="B585" s="2"/>
      <c r="C585" s="2"/>
      <c r="D585" s="2"/>
      <c r="F585" s="2"/>
      <c r="G585" s="2"/>
    </row>
    <row r="586">
      <c r="A586" s="2"/>
      <c r="B586" s="2"/>
      <c r="C586" s="2"/>
      <c r="D586" s="2"/>
      <c r="F586" s="2"/>
      <c r="G586" s="2"/>
    </row>
    <row r="587">
      <c r="A587" s="2"/>
      <c r="B587" s="2"/>
      <c r="C587" s="2"/>
      <c r="D587" s="2"/>
      <c r="F587" s="2"/>
      <c r="G587" s="2"/>
    </row>
    <row r="588">
      <c r="A588" s="2"/>
      <c r="B588" s="2"/>
      <c r="C588" s="2"/>
      <c r="D588" s="2"/>
      <c r="F588" s="2"/>
      <c r="G588" s="2"/>
    </row>
    <row r="589">
      <c r="A589" s="2"/>
      <c r="B589" s="2"/>
      <c r="C589" s="2"/>
      <c r="D589" s="2"/>
      <c r="F589" s="2"/>
      <c r="G589" s="2"/>
    </row>
    <row r="590">
      <c r="A590" s="2"/>
      <c r="B590" s="2"/>
      <c r="C590" s="2"/>
      <c r="D590" s="2"/>
      <c r="F590" s="2"/>
      <c r="G590" s="2"/>
    </row>
    <row r="591">
      <c r="A591" s="2"/>
      <c r="B591" s="2"/>
      <c r="C591" s="2"/>
      <c r="D591" s="2"/>
      <c r="F591" s="2"/>
      <c r="G591" s="2"/>
    </row>
    <row r="592">
      <c r="A592" s="2"/>
      <c r="B592" s="2"/>
      <c r="C592" s="2"/>
      <c r="D592" s="2"/>
      <c r="F592" s="2"/>
      <c r="G592" s="2"/>
    </row>
    <row r="593">
      <c r="A593" s="2"/>
      <c r="B593" s="2"/>
      <c r="C593" s="2"/>
      <c r="D593" s="2"/>
      <c r="F593" s="2"/>
      <c r="G593" s="2"/>
    </row>
    <row r="594">
      <c r="A594" s="2"/>
      <c r="B594" s="2"/>
      <c r="C594" s="2"/>
      <c r="D594" s="2"/>
      <c r="F594" s="2"/>
      <c r="G594" s="2"/>
    </row>
    <row r="595">
      <c r="A595" s="2"/>
      <c r="B595" s="2"/>
      <c r="C595" s="2"/>
      <c r="D595" s="2"/>
      <c r="F595" s="2"/>
      <c r="G595" s="2"/>
    </row>
    <row r="596">
      <c r="A596" s="2"/>
      <c r="B596" s="2"/>
      <c r="C596" s="2"/>
      <c r="D596" s="2"/>
      <c r="F596" s="2"/>
      <c r="G596" s="2"/>
    </row>
    <row r="597">
      <c r="A597" s="2"/>
      <c r="B597" s="2"/>
      <c r="C597" s="2"/>
      <c r="D597" s="2"/>
      <c r="F597" s="2"/>
      <c r="G597" s="2"/>
    </row>
    <row r="598">
      <c r="A598" s="2"/>
      <c r="B598" s="2"/>
      <c r="C598" s="2"/>
      <c r="D598" s="2"/>
      <c r="F598" s="2"/>
      <c r="G598" s="2"/>
    </row>
    <row r="599">
      <c r="A599" s="2"/>
      <c r="B599" s="2"/>
      <c r="C599" s="2"/>
      <c r="D599" s="2"/>
      <c r="F599" s="2"/>
      <c r="G599" s="2"/>
    </row>
    <row r="600">
      <c r="A600" s="2"/>
      <c r="B600" s="2"/>
      <c r="C600" s="2"/>
      <c r="D600" s="2"/>
      <c r="F600" s="2"/>
      <c r="G600" s="2"/>
    </row>
    <row r="601">
      <c r="A601" s="2"/>
      <c r="B601" s="2"/>
      <c r="C601" s="2"/>
      <c r="D601" s="2"/>
      <c r="F601" s="2"/>
      <c r="G601" s="2"/>
    </row>
    <row r="602">
      <c r="A602" s="2"/>
      <c r="B602" s="2"/>
      <c r="C602" s="2"/>
      <c r="D602" s="2"/>
      <c r="F602" s="2"/>
      <c r="G602" s="2"/>
    </row>
    <row r="603">
      <c r="A603" s="2"/>
      <c r="B603" s="2"/>
      <c r="C603" s="2"/>
      <c r="D603" s="2"/>
      <c r="F603" s="2"/>
      <c r="G603" s="2"/>
    </row>
    <row r="604">
      <c r="A604" s="2"/>
      <c r="B604" s="2"/>
      <c r="C604" s="2"/>
      <c r="D604" s="2"/>
      <c r="F604" s="2"/>
      <c r="G604" s="2"/>
    </row>
    <row r="605">
      <c r="A605" s="2"/>
      <c r="B605" s="2"/>
      <c r="C605" s="2"/>
      <c r="D605" s="2"/>
      <c r="F605" s="2"/>
      <c r="G605" s="2"/>
    </row>
    <row r="606">
      <c r="A606" s="2"/>
      <c r="B606" s="2"/>
      <c r="C606" s="2"/>
      <c r="D606" s="2"/>
      <c r="F606" s="2"/>
      <c r="G606" s="2"/>
    </row>
    <row r="607">
      <c r="A607" s="2"/>
      <c r="B607" s="2"/>
      <c r="C607" s="2"/>
      <c r="D607" s="2"/>
      <c r="F607" s="2"/>
      <c r="G607" s="2"/>
    </row>
    <row r="608">
      <c r="A608" s="2"/>
      <c r="B608" s="2"/>
      <c r="C608" s="2"/>
      <c r="D608" s="2"/>
      <c r="F608" s="2"/>
      <c r="G608" s="2"/>
    </row>
    <row r="609">
      <c r="A609" s="2"/>
      <c r="B609" s="2"/>
      <c r="C609" s="2"/>
      <c r="D609" s="2"/>
      <c r="F609" s="2"/>
      <c r="G609" s="2"/>
    </row>
    <row r="610">
      <c r="A610" s="2"/>
      <c r="B610" s="2"/>
      <c r="C610" s="2"/>
      <c r="D610" s="2"/>
      <c r="F610" s="2"/>
      <c r="G610" s="2"/>
    </row>
    <row r="611">
      <c r="A611" s="2"/>
      <c r="B611" s="2"/>
      <c r="C611" s="2"/>
      <c r="D611" s="2"/>
      <c r="F611" s="2"/>
      <c r="G611" s="2"/>
    </row>
    <row r="612">
      <c r="A612" s="2"/>
      <c r="B612" s="2"/>
      <c r="C612" s="2"/>
      <c r="D612" s="2"/>
      <c r="F612" s="2"/>
      <c r="G612" s="2"/>
    </row>
    <row r="613">
      <c r="A613" s="2"/>
      <c r="B613" s="2"/>
      <c r="C613" s="2"/>
      <c r="D613" s="2"/>
      <c r="F613" s="2"/>
      <c r="G613" s="2"/>
    </row>
    <row r="614">
      <c r="A614" s="2"/>
      <c r="B614" s="2"/>
      <c r="C614" s="2"/>
      <c r="D614" s="2"/>
      <c r="F614" s="2"/>
      <c r="G614" s="2"/>
    </row>
    <row r="615">
      <c r="A615" s="2"/>
      <c r="B615" s="2"/>
      <c r="C615" s="2"/>
      <c r="D615" s="2"/>
      <c r="F615" s="2"/>
      <c r="G615" s="2"/>
    </row>
    <row r="616">
      <c r="A616" s="2"/>
      <c r="B616" s="2"/>
      <c r="C616" s="2"/>
      <c r="D616" s="2"/>
      <c r="F616" s="2"/>
      <c r="G616" s="2"/>
    </row>
    <row r="617">
      <c r="A617" s="2"/>
      <c r="B617" s="2"/>
      <c r="C617" s="2"/>
      <c r="D617" s="2"/>
      <c r="F617" s="2"/>
      <c r="G617" s="2"/>
    </row>
    <row r="618">
      <c r="A618" s="2"/>
      <c r="B618" s="2"/>
      <c r="C618" s="2"/>
      <c r="D618" s="2"/>
      <c r="F618" s="2"/>
      <c r="G618" s="2"/>
    </row>
    <row r="619">
      <c r="A619" s="2"/>
      <c r="B619" s="2"/>
      <c r="C619" s="2"/>
      <c r="D619" s="2"/>
      <c r="F619" s="2"/>
      <c r="G619" s="2"/>
    </row>
    <row r="620">
      <c r="A620" s="2"/>
      <c r="B620" s="2"/>
      <c r="C620" s="2"/>
      <c r="D620" s="2"/>
      <c r="F620" s="2"/>
      <c r="G620" s="2"/>
    </row>
    <row r="621">
      <c r="A621" s="2"/>
      <c r="B621" s="2"/>
      <c r="C621" s="2"/>
      <c r="D621" s="2"/>
      <c r="F621" s="2"/>
      <c r="G621" s="2"/>
    </row>
    <row r="622">
      <c r="A622" s="2"/>
      <c r="B622" s="2"/>
      <c r="C622" s="2"/>
      <c r="D622" s="2"/>
      <c r="F622" s="2"/>
      <c r="G622" s="2"/>
    </row>
    <row r="623">
      <c r="A623" s="2"/>
      <c r="B623" s="2"/>
      <c r="C623" s="2"/>
      <c r="D623" s="2"/>
      <c r="F623" s="2"/>
      <c r="G623" s="2"/>
    </row>
    <row r="624">
      <c r="A624" s="2"/>
      <c r="B624" s="2"/>
      <c r="C624" s="2"/>
      <c r="D624" s="2"/>
      <c r="F624" s="2"/>
      <c r="G624" s="2"/>
    </row>
    <row r="625">
      <c r="A625" s="2"/>
      <c r="B625" s="2"/>
      <c r="C625" s="2"/>
      <c r="D625" s="2"/>
      <c r="F625" s="2"/>
      <c r="G625" s="2"/>
    </row>
    <row r="626">
      <c r="A626" s="2"/>
      <c r="B626" s="2"/>
      <c r="C626" s="2"/>
      <c r="D626" s="2"/>
      <c r="F626" s="2"/>
      <c r="G626" s="2"/>
    </row>
    <row r="627">
      <c r="A627" s="2"/>
      <c r="B627" s="2"/>
      <c r="C627" s="2"/>
      <c r="D627" s="2"/>
      <c r="F627" s="2"/>
      <c r="G627" s="2"/>
    </row>
    <row r="628">
      <c r="A628" s="2"/>
      <c r="B628" s="2"/>
      <c r="C628" s="2"/>
      <c r="D628" s="2"/>
      <c r="F628" s="2"/>
      <c r="G628" s="2"/>
    </row>
    <row r="629">
      <c r="A629" s="2"/>
      <c r="B629" s="2"/>
      <c r="C629" s="2"/>
      <c r="D629" s="2"/>
      <c r="F629" s="2"/>
      <c r="G629" s="2"/>
    </row>
    <row r="630">
      <c r="A630" s="2"/>
      <c r="B630" s="2"/>
      <c r="C630" s="2"/>
      <c r="D630" s="2"/>
      <c r="F630" s="2"/>
      <c r="G630" s="2"/>
    </row>
    <row r="631">
      <c r="A631" s="2"/>
      <c r="B631" s="2"/>
      <c r="C631" s="2"/>
      <c r="D631" s="2"/>
      <c r="F631" s="2"/>
      <c r="G631" s="2"/>
    </row>
    <row r="632">
      <c r="A632" s="2"/>
      <c r="B632" s="2"/>
      <c r="C632" s="2"/>
      <c r="D632" s="2"/>
      <c r="F632" s="2"/>
      <c r="G632" s="2"/>
    </row>
    <row r="633">
      <c r="A633" s="2"/>
      <c r="B633" s="2"/>
      <c r="C633" s="2"/>
      <c r="D633" s="2"/>
      <c r="F633" s="2"/>
      <c r="G633" s="2"/>
    </row>
    <row r="634">
      <c r="A634" s="2"/>
      <c r="B634" s="2"/>
      <c r="C634" s="2"/>
      <c r="D634" s="2"/>
      <c r="F634" s="2"/>
      <c r="G634" s="2"/>
    </row>
    <row r="635">
      <c r="A635" s="2"/>
      <c r="B635" s="2"/>
      <c r="C635" s="2"/>
      <c r="D635" s="2"/>
      <c r="F635" s="2"/>
      <c r="G635" s="2"/>
    </row>
    <row r="636">
      <c r="A636" s="2"/>
      <c r="B636" s="2"/>
      <c r="C636" s="2"/>
      <c r="D636" s="2"/>
      <c r="F636" s="2"/>
      <c r="G636" s="2"/>
    </row>
    <row r="637">
      <c r="A637" s="2"/>
      <c r="B637" s="2"/>
      <c r="C637" s="2"/>
      <c r="D637" s="2"/>
      <c r="F637" s="2"/>
      <c r="G637" s="2"/>
    </row>
    <row r="638">
      <c r="A638" s="2"/>
      <c r="B638" s="2"/>
      <c r="C638" s="2"/>
      <c r="D638" s="2"/>
      <c r="F638" s="2"/>
      <c r="G638" s="2"/>
    </row>
    <row r="639">
      <c r="A639" s="2"/>
      <c r="B639" s="2"/>
      <c r="C639" s="2"/>
      <c r="D639" s="2"/>
      <c r="F639" s="2"/>
      <c r="G639" s="2"/>
    </row>
    <row r="640">
      <c r="A640" s="2"/>
      <c r="B640" s="2"/>
      <c r="C640" s="2"/>
      <c r="D640" s="2"/>
      <c r="F640" s="2"/>
      <c r="G640" s="2"/>
    </row>
    <row r="641">
      <c r="A641" s="2"/>
      <c r="B641" s="2"/>
      <c r="C641" s="2"/>
      <c r="D641" s="2"/>
      <c r="F641" s="2"/>
      <c r="G641" s="2"/>
    </row>
    <row r="642">
      <c r="A642" s="2"/>
      <c r="B642" s="2"/>
      <c r="C642" s="2"/>
      <c r="D642" s="2"/>
      <c r="F642" s="2"/>
      <c r="G642" s="2"/>
    </row>
    <row r="643">
      <c r="A643" s="2"/>
      <c r="B643" s="2"/>
      <c r="C643" s="2"/>
      <c r="D643" s="2"/>
      <c r="F643" s="2"/>
      <c r="G643" s="2"/>
    </row>
    <row r="644">
      <c r="A644" s="2"/>
      <c r="B644" s="2"/>
      <c r="C644" s="2"/>
      <c r="D644" s="2"/>
      <c r="F644" s="2"/>
      <c r="G644" s="2"/>
    </row>
    <row r="645">
      <c r="A645" s="2"/>
      <c r="B645" s="2"/>
      <c r="C645" s="2"/>
      <c r="D645" s="2"/>
      <c r="F645" s="2"/>
      <c r="G645" s="2"/>
    </row>
    <row r="646">
      <c r="A646" s="2"/>
      <c r="B646" s="2"/>
      <c r="C646" s="2"/>
      <c r="D646" s="2"/>
      <c r="F646" s="2"/>
      <c r="G646" s="2"/>
    </row>
    <row r="647">
      <c r="A647" s="2"/>
      <c r="B647" s="2"/>
      <c r="C647" s="2"/>
      <c r="D647" s="2"/>
      <c r="F647" s="2"/>
      <c r="G647" s="2"/>
    </row>
    <row r="648">
      <c r="A648" s="2"/>
      <c r="B648" s="2"/>
      <c r="C648" s="2"/>
      <c r="D648" s="2"/>
      <c r="F648" s="2"/>
      <c r="G648" s="2"/>
    </row>
    <row r="649">
      <c r="A649" s="2"/>
      <c r="B649" s="2"/>
      <c r="C649" s="2"/>
      <c r="D649" s="2"/>
      <c r="F649" s="2"/>
      <c r="G649" s="2"/>
    </row>
    <row r="650">
      <c r="A650" s="2"/>
      <c r="B650" s="2"/>
      <c r="C650" s="2"/>
      <c r="D650" s="2"/>
      <c r="F650" s="2"/>
      <c r="G650" s="2"/>
    </row>
    <row r="651">
      <c r="A651" s="2"/>
      <c r="B651" s="2"/>
      <c r="C651" s="2"/>
      <c r="D651" s="2"/>
      <c r="F651" s="2"/>
      <c r="G651" s="2"/>
    </row>
    <row r="652">
      <c r="A652" s="2"/>
      <c r="B652" s="2"/>
      <c r="C652" s="2"/>
      <c r="D652" s="2"/>
      <c r="F652" s="2"/>
      <c r="G652" s="2"/>
    </row>
    <row r="653">
      <c r="A653" s="2"/>
      <c r="B653" s="2"/>
      <c r="C653" s="2"/>
      <c r="D653" s="2"/>
      <c r="F653" s="2"/>
      <c r="G653" s="2"/>
    </row>
    <row r="654">
      <c r="A654" s="2"/>
      <c r="B654" s="2"/>
      <c r="C654" s="2"/>
      <c r="D654" s="2"/>
      <c r="F654" s="2"/>
      <c r="G654" s="2"/>
    </row>
    <row r="655">
      <c r="A655" s="2"/>
      <c r="B655" s="2"/>
      <c r="C655" s="2"/>
      <c r="D655" s="2"/>
      <c r="F655" s="2"/>
      <c r="G655" s="2"/>
    </row>
    <row r="656">
      <c r="A656" s="2"/>
      <c r="B656" s="2"/>
      <c r="C656" s="2"/>
      <c r="D656" s="2"/>
      <c r="F656" s="2"/>
      <c r="G656" s="2"/>
    </row>
    <row r="657">
      <c r="A657" s="2"/>
      <c r="B657" s="2"/>
      <c r="C657" s="2"/>
      <c r="D657" s="2"/>
      <c r="F657" s="2"/>
      <c r="G657" s="2"/>
    </row>
    <row r="658">
      <c r="A658" s="2"/>
      <c r="B658" s="2"/>
      <c r="C658" s="2"/>
      <c r="D658" s="2"/>
      <c r="F658" s="2"/>
      <c r="G658" s="2"/>
    </row>
    <row r="659">
      <c r="A659" s="2"/>
      <c r="B659" s="2"/>
      <c r="C659" s="2"/>
      <c r="D659" s="2"/>
      <c r="F659" s="2"/>
      <c r="G659" s="2"/>
    </row>
    <row r="660">
      <c r="A660" s="2"/>
      <c r="B660" s="2"/>
      <c r="C660" s="2"/>
      <c r="D660" s="2"/>
      <c r="F660" s="2"/>
      <c r="G660" s="2"/>
    </row>
    <row r="661">
      <c r="A661" s="2"/>
      <c r="B661" s="2"/>
      <c r="C661" s="2"/>
      <c r="D661" s="2"/>
      <c r="F661" s="2"/>
      <c r="G661" s="2"/>
    </row>
    <row r="662">
      <c r="A662" s="2"/>
      <c r="B662" s="2"/>
      <c r="C662" s="2"/>
      <c r="D662" s="2"/>
      <c r="F662" s="2"/>
      <c r="G662" s="2"/>
    </row>
    <row r="663">
      <c r="A663" s="2"/>
      <c r="B663" s="2"/>
      <c r="C663" s="2"/>
      <c r="D663" s="2"/>
      <c r="F663" s="2"/>
      <c r="G663" s="2"/>
    </row>
    <row r="664">
      <c r="A664" s="2"/>
      <c r="B664" s="2"/>
      <c r="C664" s="2"/>
      <c r="D664" s="2"/>
      <c r="F664" s="2"/>
      <c r="G664" s="2"/>
    </row>
    <row r="665">
      <c r="A665" s="2"/>
      <c r="B665" s="2"/>
      <c r="C665" s="2"/>
      <c r="D665" s="2"/>
      <c r="F665" s="2"/>
      <c r="G665" s="2"/>
    </row>
    <row r="666">
      <c r="A666" s="2"/>
      <c r="B666" s="2"/>
      <c r="C666" s="2"/>
      <c r="D666" s="2"/>
      <c r="F666" s="2"/>
      <c r="G666" s="2"/>
    </row>
    <row r="667">
      <c r="A667" s="2"/>
      <c r="B667" s="2"/>
      <c r="C667" s="2"/>
      <c r="D667" s="2"/>
      <c r="F667" s="2"/>
      <c r="G667" s="2"/>
    </row>
    <row r="668">
      <c r="A668" s="2"/>
      <c r="B668" s="2"/>
      <c r="C668" s="2"/>
      <c r="D668" s="2"/>
      <c r="F668" s="2"/>
      <c r="G668" s="2"/>
    </row>
    <row r="669">
      <c r="A669" s="2"/>
      <c r="B669" s="2"/>
      <c r="C669" s="2"/>
      <c r="D669" s="2"/>
      <c r="F669" s="2"/>
      <c r="G669" s="2"/>
    </row>
    <row r="670">
      <c r="A670" s="2"/>
      <c r="B670" s="2"/>
      <c r="C670" s="2"/>
      <c r="D670" s="2"/>
      <c r="F670" s="2"/>
      <c r="G670" s="2"/>
    </row>
    <row r="671">
      <c r="A671" s="2"/>
      <c r="B671" s="2"/>
      <c r="C671" s="2"/>
      <c r="D671" s="2"/>
      <c r="F671" s="2"/>
      <c r="G671" s="2"/>
    </row>
    <row r="672">
      <c r="A672" s="2"/>
      <c r="B672" s="2"/>
      <c r="C672" s="2"/>
      <c r="D672" s="2"/>
      <c r="F672" s="2"/>
      <c r="G672" s="2"/>
    </row>
    <row r="673">
      <c r="A673" s="2"/>
      <c r="B673" s="2"/>
      <c r="C673" s="2"/>
      <c r="D673" s="2"/>
      <c r="F673" s="2"/>
      <c r="G673" s="2"/>
    </row>
    <row r="674">
      <c r="A674" s="2"/>
      <c r="B674" s="2"/>
      <c r="C674" s="2"/>
      <c r="D674" s="2"/>
      <c r="F674" s="2"/>
      <c r="G674" s="2"/>
    </row>
    <row r="675">
      <c r="A675" s="2"/>
      <c r="B675" s="2"/>
      <c r="C675" s="2"/>
      <c r="D675" s="2"/>
      <c r="F675" s="2"/>
      <c r="G675" s="2"/>
    </row>
    <row r="676">
      <c r="A676" s="2"/>
      <c r="B676" s="2"/>
      <c r="C676" s="2"/>
      <c r="D676" s="2"/>
      <c r="F676" s="2"/>
      <c r="G676" s="2"/>
    </row>
    <row r="677">
      <c r="A677" s="2"/>
      <c r="B677" s="2"/>
      <c r="C677" s="2"/>
      <c r="D677" s="2"/>
      <c r="F677" s="2"/>
      <c r="G677" s="2"/>
    </row>
    <row r="678">
      <c r="A678" s="2"/>
      <c r="B678" s="2"/>
      <c r="C678" s="2"/>
      <c r="D678" s="2"/>
      <c r="F678" s="2"/>
      <c r="G678" s="2"/>
    </row>
    <row r="679">
      <c r="A679" s="2"/>
      <c r="B679" s="2"/>
      <c r="C679" s="2"/>
      <c r="D679" s="2"/>
      <c r="F679" s="2"/>
      <c r="G679" s="2"/>
    </row>
    <row r="680">
      <c r="A680" s="2"/>
      <c r="B680" s="2"/>
      <c r="C680" s="2"/>
      <c r="D680" s="2"/>
      <c r="F680" s="2"/>
      <c r="G680" s="2"/>
    </row>
    <row r="681">
      <c r="A681" s="2"/>
      <c r="B681" s="2"/>
      <c r="C681" s="2"/>
      <c r="D681" s="2"/>
      <c r="F681" s="2"/>
      <c r="G681" s="2"/>
    </row>
    <row r="682">
      <c r="A682" s="2"/>
      <c r="B682" s="2"/>
      <c r="C682" s="2"/>
      <c r="D682" s="2"/>
      <c r="F682" s="2"/>
      <c r="G682" s="2"/>
    </row>
    <row r="683">
      <c r="A683" s="2"/>
      <c r="B683" s="2"/>
      <c r="C683" s="2"/>
      <c r="D683" s="2"/>
      <c r="F683" s="2"/>
      <c r="G683" s="2"/>
    </row>
    <row r="684">
      <c r="A684" s="2"/>
      <c r="B684" s="2"/>
      <c r="C684" s="2"/>
      <c r="D684" s="2"/>
      <c r="F684" s="2"/>
      <c r="G684" s="2"/>
    </row>
    <row r="685">
      <c r="A685" s="2"/>
      <c r="B685" s="2"/>
      <c r="C685" s="2"/>
      <c r="D685" s="2"/>
      <c r="F685" s="2"/>
      <c r="G685" s="2"/>
    </row>
    <row r="686">
      <c r="A686" s="2"/>
      <c r="B686" s="2"/>
      <c r="C686" s="2"/>
      <c r="D686" s="2"/>
      <c r="F686" s="2"/>
      <c r="G686" s="2"/>
    </row>
    <row r="687">
      <c r="A687" s="2"/>
      <c r="B687" s="2"/>
      <c r="C687" s="2"/>
      <c r="D687" s="2"/>
      <c r="F687" s="2"/>
      <c r="G687" s="2"/>
    </row>
    <row r="688">
      <c r="A688" s="2"/>
      <c r="B688" s="2"/>
      <c r="C688" s="2"/>
      <c r="D688" s="2"/>
      <c r="F688" s="2"/>
      <c r="G688" s="2"/>
    </row>
    <row r="689">
      <c r="A689" s="2"/>
      <c r="B689" s="2"/>
      <c r="C689" s="2"/>
      <c r="D689" s="2"/>
      <c r="F689" s="2"/>
      <c r="G689" s="2"/>
    </row>
    <row r="690">
      <c r="A690" s="2"/>
      <c r="B690" s="2"/>
      <c r="C690" s="2"/>
      <c r="D690" s="2"/>
      <c r="F690" s="2"/>
      <c r="G690" s="2"/>
    </row>
    <row r="691">
      <c r="A691" s="2"/>
      <c r="B691" s="2"/>
      <c r="C691" s="2"/>
      <c r="D691" s="2"/>
      <c r="F691" s="2"/>
      <c r="G691" s="2"/>
    </row>
    <row r="692">
      <c r="A692" s="2"/>
      <c r="B692" s="2"/>
      <c r="C692" s="2"/>
      <c r="D692" s="2"/>
      <c r="F692" s="2"/>
      <c r="G692" s="2"/>
    </row>
    <row r="693">
      <c r="A693" s="2"/>
      <c r="B693" s="2"/>
      <c r="C693" s="2"/>
      <c r="D693" s="2"/>
      <c r="F693" s="2"/>
      <c r="G693" s="2"/>
    </row>
    <row r="694">
      <c r="A694" s="2"/>
      <c r="B694" s="2"/>
      <c r="C694" s="2"/>
      <c r="D694" s="2"/>
      <c r="F694" s="2"/>
      <c r="G694" s="2"/>
    </row>
    <row r="695">
      <c r="A695" s="2"/>
      <c r="B695" s="2"/>
      <c r="C695" s="2"/>
      <c r="D695" s="2"/>
      <c r="F695" s="2"/>
      <c r="G695" s="2"/>
    </row>
    <row r="696">
      <c r="A696" s="2"/>
      <c r="B696" s="2"/>
      <c r="C696" s="2"/>
      <c r="D696" s="2"/>
      <c r="F696" s="2"/>
      <c r="G696" s="2"/>
    </row>
    <row r="697">
      <c r="A697" s="2"/>
      <c r="B697" s="2"/>
      <c r="C697" s="2"/>
      <c r="D697" s="2"/>
      <c r="F697" s="2"/>
      <c r="G697" s="2"/>
    </row>
    <row r="698">
      <c r="A698" s="2"/>
      <c r="B698" s="2"/>
      <c r="C698" s="2"/>
      <c r="D698" s="2"/>
      <c r="F698" s="2"/>
      <c r="G698" s="2"/>
    </row>
    <row r="699">
      <c r="A699" s="2"/>
      <c r="B699" s="2"/>
      <c r="C699" s="2"/>
      <c r="D699" s="2"/>
      <c r="F699" s="2"/>
      <c r="G699" s="2"/>
    </row>
    <row r="700">
      <c r="A700" s="2"/>
      <c r="B700" s="2"/>
      <c r="C700" s="2"/>
      <c r="D700" s="2"/>
      <c r="F700" s="2"/>
      <c r="G700" s="2"/>
    </row>
    <row r="701">
      <c r="A701" s="2"/>
      <c r="B701" s="2"/>
      <c r="C701" s="2"/>
      <c r="D701" s="2"/>
      <c r="F701" s="2"/>
      <c r="G701" s="2"/>
    </row>
    <row r="702">
      <c r="A702" s="2"/>
      <c r="B702" s="2"/>
      <c r="C702" s="2"/>
      <c r="D702" s="2"/>
      <c r="F702" s="2"/>
      <c r="G702" s="2"/>
    </row>
    <row r="703">
      <c r="A703" s="2"/>
      <c r="B703" s="2"/>
      <c r="C703" s="2"/>
      <c r="D703" s="2"/>
      <c r="F703" s="2"/>
      <c r="G703" s="2"/>
    </row>
    <row r="704">
      <c r="A704" s="2"/>
      <c r="B704" s="2"/>
      <c r="C704" s="2"/>
      <c r="D704" s="2"/>
      <c r="F704" s="2"/>
      <c r="G704" s="2"/>
    </row>
    <row r="705">
      <c r="A705" s="2"/>
      <c r="B705" s="2"/>
      <c r="C705" s="2"/>
      <c r="D705" s="2"/>
      <c r="F705" s="2"/>
      <c r="G705" s="2"/>
    </row>
    <row r="706">
      <c r="A706" s="2"/>
      <c r="B706" s="2"/>
      <c r="C706" s="2"/>
      <c r="D706" s="2"/>
      <c r="F706" s="2"/>
      <c r="G706" s="2"/>
    </row>
    <row r="707">
      <c r="A707" s="2"/>
      <c r="B707" s="2"/>
      <c r="C707" s="2"/>
      <c r="D707" s="2"/>
      <c r="F707" s="2"/>
      <c r="G707" s="2"/>
    </row>
    <row r="708">
      <c r="A708" s="2"/>
      <c r="B708" s="2"/>
      <c r="C708" s="2"/>
      <c r="D708" s="2"/>
      <c r="F708" s="2"/>
      <c r="G708" s="2"/>
    </row>
    <row r="709">
      <c r="A709" s="2"/>
      <c r="B709" s="2"/>
      <c r="C709" s="2"/>
      <c r="D709" s="2"/>
      <c r="F709" s="2"/>
      <c r="G709" s="2"/>
    </row>
    <row r="710">
      <c r="A710" s="2"/>
      <c r="B710" s="2"/>
      <c r="C710" s="2"/>
      <c r="D710" s="2"/>
      <c r="F710" s="2"/>
      <c r="G710" s="2"/>
    </row>
    <row r="711">
      <c r="A711" s="2"/>
      <c r="B711" s="2"/>
      <c r="C711" s="2"/>
      <c r="D711" s="2"/>
      <c r="F711" s="2"/>
      <c r="G711" s="2"/>
    </row>
    <row r="712">
      <c r="A712" s="2"/>
      <c r="B712" s="2"/>
      <c r="C712" s="2"/>
      <c r="D712" s="2"/>
      <c r="F712" s="2"/>
      <c r="G712" s="2"/>
    </row>
    <row r="713">
      <c r="A713" s="2"/>
      <c r="B713" s="2"/>
      <c r="C713" s="2"/>
      <c r="D713" s="2"/>
      <c r="F713" s="2"/>
      <c r="G713" s="2"/>
    </row>
    <row r="714">
      <c r="A714" s="2"/>
      <c r="B714" s="2"/>
      <c r="C714" s="2"/>
      <c r="D714" s="2"/>
      <c r="F714" s="2"/>
      <c r="G714" s="2"/>
    </row>
    <row r="715">
      <c r="A715" s="2"/>
      <c r="B715" s="2"/>
      <c r="C715" s="2"/>
      <c r="D715" s="2"/>
      <c r="F715" s="2"/>
      <c r="G715" s="2"/>
    </row>
    <row r="716">
      <c r="A716" s="2"/>
      <c r="B716" s="2"/>
      <c r="C716" s="2"/>
      <c r="D716" s="2"/>
      <c r="F716" s="2"/>
      <c r="G716" s="2"/>
    </row>
    <row r="717">
      <c r="A717" s="2"/>
      <c r="B717" s="2"/>
      <c r="C717" s="2"/>
      <c r="D717" s="2"/>
      <c r="F717" s="2"/>
      <c r="G717" s="2"/>
    </row>
    <row r="718">
      <c r="A718" s="2"/>
      <c r="B718" s="2"/>
      <c r="C718" s="2"/>
      <c r="D718" s="2"/>
      <c r="F718" s="2"/>
      <c r="G718" s="2"/>
    </row>
    <row r="719">
      <c r="A719" s="2"/>
      <c r="B719" s="2"/>
      <c r="C719" s="2"/>
      <c r="D719" s="2"/>
      <c r="F719" s="2"/>
      <c r="G719" s="2"/>
    </row>
    <row r="720">
      <c r="A720" s="2"/>
      <c r="B720" s="2"/>
      <c r="C720" s="2"/>
      <c r="D720" s="2"/>
      <c r="F720" s="2"/>
      <c r="G720" s="2"/>
    </row>
    <row r="721">
      <c r="A721" s="2"/>
      <c r="B721" s="2"/>
      <c r="C721" s="2"/>
      <c r="D721" s="2"/>
      <c r="F721" s="2"/>
      <c r="G721" s="2"/>
    </row>
    <row r="722">
      <c r="A722" s="2"/>
      <c r="B722" s="2"/>
      <c r="C722" s="2"/>
      <c r="D722" s="2"/>
      <c r="F722" s="2"/>
      <c r="G722" s="2"/>
    </row>
    <row r="723">
      <c r="A723" s="2"/>
      <c r="B723" s="2"/>
      <c r="C723" s="2"/>
      <c r="D723" s="2"/>
      <c r="F723" s="2"/>
      <c r="G723" s="2"/>
    </row>
    <row r="724">
      <c r="A724" s="2"/>
      <c r="B724" s="2"/>
      <c r="C724" s="2"/>
      <c r="D724" s="2"/>
      <c r="F724" s="2"/>
      <c r="G724" s="2"/>
    </row>
    <row r="725">
      <c r="A725" s="2"/>
      <c r="B725" s="2"/>
      <c r="C725" s="2"/>
      <c r="D725" s="2"/>
      <c r="F725" s="2"/>
      <c r="G725" s="2"/>
    </row>
    <row r="726">
      <c r="A726" s="2"/>
      <c r="B726" s="2"/>
      <c r="C726" s="2"/>
      <c r="D726" s="2"/>
      <c r="F726" s="2"/>
      <c r="G726" s="2"/>
    </row>
    <row r="727">
      <c r="A727" s="2"/>
      <c r="B727" s="2"/>
      <c r="C727" s="2"/>
      <c r="D727" s="2"/>
      <c r="F727" s="2"/>
      <c r="G727" s="2"/>
    </row>
    <row r="728">
      <c r="A728" s="2"/>
      <c r="B728" s="2"/>
      <c r="C728" s="2"/>
      <c r="D728" s="2"/>
      <c r="F728" s="2"/>
      <c r="G728" s="2"/>
    </row>
    <row r="729">
      <c r="A729" s="2"/>
      <c r="B729" s="2"/>
      <c r="C729" s="2"/>
      <c r="D729" s="2"/>
      <c r="F729" s="2"/>
      <c r="G729" s="2"/>
    </row>
    <row r="730">
      <c r="A730" s="2"/>
      <c r="B730" s="2"/>
      <c r="C730" s="2"/>
      <c r="D730" s="2"/>
      <c r="F730" s="2"/>
      <c r="G730" s="2"/>
    </row>
    <row r="731">
      <c r="A731" s="2"/>
      <c r="B731" s="2"/>
      <c r="C731" s="2"/>
      <c r="D731" s="2"/>
      <c r="F731" s="2"/>
      <c r="G731" s="2"/>
    </row>
    <row r="732">
      <c r="A732" s="2"/>
      <c r="B732" s="2"/>
      <c r="C732" s="2"/>
      <c r="D732" s="2"/>
      <c r="F732" s="2"/>
      <c r="G732" s="2"/>
    </row>
    <row r="733">
      <c r="A733" s="2"/>
      <c r="B733" s="2"/>
      <c r="C733" s="2"/>
      <c r="D733" s="2"/>
      <c r="F733" s="2"/>
      <c r="G733" s="2"/>
    </row>
    <row r="734">
      <c r="A734" s="2"/>
      <c r="B734" s="2"/>
      <c r="C734" s="2"/>
      <c r="D734" s="2"/>
      <c r="F734" s="2"/>
      <c r="G734" s="2"/>
    </row>
    <row r="735">
      <c r="A735" s="2"/>
      <c r="B735" s="2"/>
      <c r="C735" s="2"/>
      <c r="D735" s="2"/>
      <c r="F735" s="2"/>
      <c r="G735" s="2"/>
    </row>
    <row r="736">
      <c r="A736" s="2"/>
      <c r="B736" s="2"/>
      <c r="C736" s="2"/>
      <c r="D736" s="2"/>
      <c r="F736" s="2"/>
      <c r="G736" s="2"/>
    </row>
    <row r="737">
      <c r="A737" s="2"/>
      <c r="B737" s="2"/>
      <c r="C737" s="2"/>
      <c r="D737" s="2"/>
      <c r="F737" s="2"/>
      <c r="G737" s="2"/>
    </row>
    <row r="738">
      <c r="A738" s="2"/>
      <c r="B738" s="2"/>
      <c r="C738" s="2"/>
      <c r="D738" s="2"/>
      <c r="F738" s="2"/>
      <c r="G738" s="2"/>
    </row>
    <row r="739">
      <c r="A739" s="2"/>
      <c r="B739" s="2"/>
      <c r="C739" s="2"/>
      <c r="D739" s="2"/>
      <c r="F739" s="2"/>
      <c r="G739" s="2"/>
    </row>
    <row r="740">
      <c r="A740" s="2"/>
      <c r="B740" s="2"/>
      <c r="C740" s="2"/>
      <c r="D740" s="2"/>
      <c r="F740" s="2"/>
      <c r="G740" s="2"/>
    </row>
    <row r="741">
      <c r="A741" s="2"/>
      <c r="B741" s="2"/>
      <c r="C741" s="2"/>
      <c r="D741" s="2"/>
      <c r="F741" s="2"/>
      <c r="G741" s="2"/>
    </row>
    <row r="742">
      <c r="A742" s="2"/>
      <c r="B742" s="2"/>
      <c r="C742" s="2"/>
      <c r="D742" s="2"/>
      <c r="F742" s="2"/>
      <c r="G742" s="2"/>
    </row>
    <row r="743">
      <c r="A743" s="2"/>
      <c r="B743" s="2"/>
      <c r="C743" s="2"/>
      <c r="D743" s="2"/>
      <c r="F743" s="2"/>
      <c r="G743" s="2"/>
    </row>
    <row r="744">
      <c r="A744" s="2"/>
      <c r="B744" s="2"/>
      <c r="C744" s="2"/>
      <c r="D744" s="2"/>
      <c r="F744" s="2"/>
      <c r="G744" s="2"/>
    </row>
    <row r="745">
      <c r="A745" s="2"/>
      <c r="B745" s="2"/>
      <c r="C745" s="2"/>
      <c r="D745" s="2"/>
      <c r="F745" s="2"/>
      <c r="G745" s="2"/>
    </row>
    <row r="746">
      <c r="A746" s="2"/>
      <c r="B746" s="2"/>
      <c r="C746" s="2"/>
      <c r="D746" s="2"/>
      <c r="F746" s="2"/>
      <c r="G746" s="2"/>
    </row>
    <row r="747">
      <c r="A747" s="2"/>
      <c r="B747" s="2"/>
      <c r="C747" s="2"/>
      <c r="D747" s="2"/>
      <c r="F747" s="2"/>
      <c r="G747" s="2"/>
    </row>
    <row r="748">
      <c r="A748" s="2"/>
      <c r="B748" s="2"/>
      <c r="C748" s="2"/>
      <c r="D748" s="2"/>
      <c r="F748" s="2"/>
      <c r="G748" s="2"/>
    </row>
    <row r="749">
      <c r="A749" s="2"/>
      <c r="B749" s="2"/>
      <c r="C749" s="2"/>
      <c r="D749" s="2"/>
      <c r="F749" s="2"/>
      <c r="G749" s="2"/>
    </row>
    <row r="750">
      <c r="A750" s="2"/>
      <c r="B750" s="2"/>
      <c r="C750" s="2"/>
      <c r="D750" s="2"/>
      <c r="F750" s="2"/>
      <c r="G750" s="2"/>
    </row>
    <row r="751">
      <c r="A751" s="2"/>
      <c r="B751" s="2"/>
      <c r="C751" s="2"/>
      <c r="D751" s="2"/>
      <c r="F751" s="2"/>
      <c r="G751" s="2"/>
    </row>
    <row r="752">
      <c r="A752" s="2"/>
      <c r="B752" s="2"/>
      <c r="C752" s="2"/>
      <c r="D752" s="2"/>
      <c r="F752" s="2"/>
      <c r="G752" s="2"/>
    </row>
    <row r="753">
      <c r="A753" s="2"/>
      <c r="B753" s="2"/>
      <c r="C753" s="2"/>
      <c r="D753" s="2"/>
      <c r="F753" s="2"/>
      <c r="G753" s="2"/>
    </row>
    <row r="754">
      <c r="A754" s="2"/>
      <c r="B754" s="2"/>
      <c r="C754" s="2"/>
      <c r="D754" s="2"/>
      <c r="F754" s="2"/>
      <c r="G754" s="2"/>
    </row>
    <row r="755">
      <c r="A755" s="2"/>
      <c r="B755" s="2"/>
      <c r="C755" s="2"/>
      <c r="D755" s="2"/>
      <c r="F755" s="2"/>
      <c r="G755" s="2"/>
    </row>
    <row r="756">
      <c r="A756" s="2"/>
      <c r="B756" s="2"/>
      <c r="C756" s="2"/>
      <c r="D756" s="2"/>
      <c r="F756" s="2"/>
      <c r="G756" s="2"/>
    </row>
    <row r="757">
      <c r="A757" s="2"/>
      <c r="B757" s="2"/>
      <c r="C757" s="2"/>
      <c r="D757" s="2"/>
      <c r="F757" s="2"/>
      <c r="G757" s="2"/>
    </row>
    <row r="758">
      <c r="A758" s="2"/>
      <c r="B758" s="2"/>
      <c r="C758" s="2"/>
      <c r="D758" s="2"/>
      <c r="F758" s="2"/>
      <c r="G758" s="2"/>
    </row>
    <row r="759">
      <c r="A759" s="2"/>
      <c r="B759" s="2"/>
      <c r="C759" s="2"/>
      <c r="D759" s="2"/>
      <c r="F759" s="2"/>
      <c r="G759" s="2"/>
    </row>
    <row r="760">
      <c r="A760" s="2"/>
      <c r="B760" s="2"/>
      <c r="C760" s="2"/>
      <c r="D760" s="2"/>
      <c r="F760" s="2"/>
      <c r="G760" s="2"/>
    </row>
    <row r="761">
      <c r="A761" s="2"/>
      <c r="B761" s="2"/>
      <c r="C761" s="2"/>
      <c r="D761" s="2"/>
      <c r="F761" s="2"/>
      <c r="G761" s="2"/>
    </row>
    <row r="762">
      <c r="A762" s="2"/>
      <c r="B762" s="2"/>
      <c r="C762" s="2"/>
      <c r="D762" s="2"/>
      <c r="F762" s="2"/>
      <c r="G762" s="2"/>
    </row>
    <row r="763">
      <c r="A763" s="2"/>
      <c r="B763" s="2"/>
      <c r="C763" s="2"/>
      <c r="D763" s="2"/>
      <c r="F763" s="2"/>
      <c r="G763" s="2"/>
    </row>
    <row r="764">
      <c r="A764" s="2"/>
      <c r="B764" s="2"/>
      <c r="C764" s="2"/>
      <c r="D764" s="2"/>
      <c r="F764" s="2"/>
      <c r="G764" s="2"/>
    </row>
    <row r="765">
      <c r="A765" s="2"/>
      <c r="B765" s="2"/>
      <c r="C765" s="2"/>
      <c r="D765" s="2"/>
      <c r="F765" s="2"/>
      <c r="G765" s="2"/>
    </row>
    <row r="766">
      <c r="A766" s="2"/>
      <c r="B766" s="2"/>
      <c r="C766" s="2"/>
      <c r="D766" s="2"/>
      <c r="F766" s="2"/>
      <c r="G766" s="2"/>
    </row>
    <row r="767">
      <c r="A767" s="2"/>
      <c r="B767" s="2"/>
      <c r="C767" s="2"/>
      <c r="D767" s="2"/>
      <c r="F767" s="2"/>
      <c r="G767" s="2"/>
    </row>
    <row r="768">
      <c r="A768" s="2"/>
      <c r="B768" s="2"/>
      <c r="C768" s="2"/>
      <c r="D768" s="2"/>
      <c r="F768" s="2"/>
      <c r="G768" s="2"/>
    </row>
    <row r="769">
      <c r="A769" s="2"/>
      <c r="B769" s="2"/>
      <c r="C769" s="2"/>
      <c r="D769" s="2"/>
      <c r="F769" s="2"/>
      <c r="G769" s="2"/>
    </row>
    <row r="770">
      <c r="A770" s="2"/>
      <c r="B770" s="2"/>
      <c r="C770" s="2"/>
      <c r="D770" s="2"/>
      <c r="F770" s="2"/>
      <c r="G770" s="2"/>
    </row>
    <row r="771">
      <c r="A771" s="2"/>
      <c r="B771" s="2"/>
      <c r="C771" s="2"/>
      <c r="D771" s="2"/>
      <c r="F771" s="2"/>
      <c r="G771" s="2"/>
    </row>
    <row r="772">
      <c r="A772" s="2"/>
      <c r="B772" s="2"/>
      <c r="C772" s="2"/>
      <c r="D772" s="2"/>
      <c r="F772" s="2"/>
      <c r="G772" s="2"/>
    </row>
    <row r="773">
      <c r="A773" s="2"/>
      <c r="B773" s="2"/>
      <c r="C773" s="2"/>
      <c r="D773" s="2"/>
      <c r="F773" s="2"/>
      <c r="G773" s="2"/>
    </row>
    <row r="774">
      <c r="A774" s="2"/>
      <c r="B774" s="2"/>
      <c r="C774" s="2"/>
      <c r="D774" s="2"/>
      <c r="F774" s="2"/>
      <c r="G774" s="2"/>
    </row>
    <row r="775">
      <c r="A775" s="2"/>
      <c r="B775" s="2"/>
      <c r="C775" s="2"/>
      <c r="D775" s="2"/>
      <c r="F775" s="2"/>
      <c r="G775" s="2"/>
    </row>
    <row r="776">
      <c r="A776" s="2"/>
      <c r="B776" s="2"/>
      <c r="C776" s="2"/>
      <c r="D776" s="2"/>
      <c r="F776" s="2"/>
      <c r="G776" s="2"/>
    </row>
    <row r="777">
      <c r="A777" s="2"/>
      <c r="B777" s="2"/>
      <c r="C777" s="2"/>
      <c r="D777" s="2"/>
      <c r="F777" s="2"/>
      <c r="G777" s="2"/>
    </row>
    <row r="778">
      <c r="A778" s="2"/>
      <c r="B778" s="2"/>
      <c r="C778" s="2"/>
      <c r="D778" s="2"/>
      <c r="F778" s="2"/>
      <c r="G778" s="2"/>
    </row>
    <row r="779">
      <c r="A779" s="2"/>
      <c r="B779" s="2"/>
      <c r="C779" s="2"/>
      <c r="D779" s="2"/>
      <c r="F779" s="2"/>
      <c r="G779" s="2"/>
    </row>
    <row r="780">
      <c r="A780" s="2"/>
      <c r="B780" s="2"/>
      <c r="C780" s="2"/>
      <c r="D780" s="2"/>
      <c r="F780" s="2"/>
      <c r="G780" s="2"/>
    </row>
    <row r="781">
      <c r="A781" s="2"/>
      <c r="B781" s="2"/>
      <c r="C781" s="2"/>
      <c r="D781" s="2"/>
      <c r="F781" s="2"/>
      <c r="G781" s="2"/>
    </row>
    <row r="782">
      <c r="A782" s="2"/>
      <c r="B782" s="2"/>
      <c r="C782" s="2"/>
      <c r="D782" s="2"/>
      <c r="F782" s="2"/>
      <c r="G782" s="2"/>
    </row>
    <row r="783">
      <c r="A783" s="2"/>
      <c r="B783" s="2"/>
      <c r="C783" s="2"/>
      <c r="D783" s="2"/>
      <c r="F783" s="2"/>
      <c r="G783" s="2"/>
    </row>
    <row r="784">
      <c r="A784" s="2"/>
      <c r="B784" s="2"/>
      <c r="C784" s="2"/>
      <c r="D784" s="2"/>
      <c r="F784" s="2"/>
      <c r="G784" s="2"/>
    </row>
    <row r="785">
      <c r="A785" s="2"/>
      <c r="B785" s="2"/>
      <c r="C785" s="2"/>
      <c r="D785" s="2"/>
      <c r="F785" s="2"/>
      <c r="G785" s="2"/>
    </row>
    <row r="786">
      <c r="A786" s="2"/>
      <c r="B786" s="2"/>
      <c r="C786" s="2"/>
      <c r="D786" s="2"/>
      <c r="F786" s="2"/>
      <c r="G786" s="2"/>
    </row>
    <row r="787">
      <c r="A787" s="2"/>
      <c r="B787" s="2"/>
      <c r="C787" s="2"/>
      <c r="D787" s="2"/>
      <c r="F787" s="2"/>
      <c r="G787" s="2"/>
    </row>
    <row r="788">
      <c r="A788" s="2"/>
      <c r="B788" s="2"/>
      <c r="C788" s="2"/>
      <c r="D788" s="2"/>
      <c r="F788" s="2"/>
      <c r="G788" s="2"/>
    </row>
    <row r="789">
      <c r="A789" s="2"/>
      <c r="B789" s="2"/>
      <c r="C789" s="2"/>
      <c r="D789" s="2"/>
      <c r="F789" s="2"/>
      <c r="G789" s="2"/>
    </row>
    <row r="790">
      <c r="A790" s="2"/>
      <c r="B790" s="2"/>
      <c r="C790" s="2"/>
      <c r="D790" s="2"/>
      <c r="F790" s="2"/>
      <c r="G790" s="2"/>
    </row>
    <row r="791">
      <c r="A791" s="2"/>
      <c r="B791" s="2"/>
      <c r="C791" s="2"/>
      <c r="D791" s="2"/>
      <c r="F791" s="2"/>
      <c r="G791" s="2"/>
    </row>
    <row r="792">
      <c r="A792" s="2"/>
      <c r="B792" s="2"/>
      <c r="C792" s="2"/>
      <c r="D792" s="2"/>
      <c r="F792" s="2"/>
      <c r="G792" s="2"/>
    </row>
    <row r="793">
      <c r="A793" s="2"/>
      <c r="B793" s="2"/>
      <c r="C793" s="2"/>
      <c r="D793" s="2"/>
      <c r="F793" s="2"/>
      <c r="G793" s="2"/>
    </row>
    <row r="794">
      <c r="A794" s="2"/>
      <c r="B794" s="2"/>
      <c r="C794" s="2"/>
      <c r="D794" s="2"/>
      <c r="F794" s="2"/>
      <c r="G794" s="2"/>
    </row>
    <row r="795">
      <c r="A795" s="2"/>
      <c r="B795" s="2"/>
      <c r="C795" s="2"/>
      <c r="D795" s="2"/>
      <c r="F795" s="2"/>
      <c r="G795" s="2"/>
    </row>
    <row r="796">
      <c r="A796" s="2"/>
      <c r="B796" s="2"/>
      <c r="C796" s="2"/>
      <c r="D796" s="2"/>
      <c r="F796" s="2"/>
      <c r="G796" s="2"/>
    </row>
    <row r="797">
      <c r="A797" s="2"/>
      <c r="B797" s="2"/>
      <c r="C797" s="2"/>
      <c r="D797" s="2"/>
      <c r="F797" s="2"/>
      <c r="G797" s="2"/>
    </row>
    <row r="798">
      <c r="A798" s="2"/>
      <c r="B798" s="2"/>
      <c r="C798" s="2"/>
      <c r="D798" s="2"/>
      <c r="F798" s="2"/>
      <c r="G798" s="2"/>
    </row>
    <row r="799">
      <c r="A799" s="2"/>
      <c r="B799" s="2"/>
      <c r="C799" s="2"/>
      <c r="D799" s="2"/>
      <c r="F799" s="2"/>
      <c r="G799" s="2"/>
    </row>
    <row r="800">
      <c r="A800" s="2"/>
      <c r="B800" s="2"/>
      <c r="C800" s="2"/>
      <c r="D800" s="2"/>
      <c r="F800" s="2"/>
      <c r="G800" s="2"/>
    </row>
    <row r="801">
      <c r="A801" s="2"/>
      <c r="B801" s="2"/>
      <c r="C801" s="2"/>
      <c r="D801" s="2"/>
      <c r="F801" s="2"/>
      <c r="G801" s="2"/>
    </row>
    <row r="802">
      <c r="A802" s="2"/>
      <c r="B802" s="2"/>
      <c r="C802" s="2"/>
      <c r="D802" s="2"/>
      <c r="F802" s="2"/>
      <c r="G802" s="2"/>
    </row>
    <row r="803">
      <c r="A803" s="2"/>
      <c r="B803" s="2"/>
      <c r="C803" s="2"/>
      <c r="D803" s="2"/>
      <c r="F803" s="2"/>
      <c r="G803" s="2"/>
    </row>
    <row r="804">
      <c r="A804" s="2"/>
      <c r="B804" s="2"/>
      <c r="C804" s="2"/>
      <c r="D804" s="2"/>
      <c r="F804" s="2"/>
      <c r="G804" s="2"/>
    </row>
    <row r="805">
      <c r="A805" s="2"/>
      <c r="B805" s="2"/>
      <c r="C805" s="2"/>
      <c r="D805" s="2"/>
      <c r="F805" s="2"/>
      <c r="G805" s="2"/>
    </row>
    <row r="806">
      <c r="A806" s="2"/>
      <c r="B806" s="2"/>
      <c r="C806" s="2"/>
      <c r="D806" s="2"/>
      <c r="F806" s="2"/>
      <c r="G806" s="2"/>
    </row>
    <row r="807">
      <c r="A807" s="2"/>
      <c r="B807" s="2"/>
      <c r="C807" s="2"/>
      <c r="D807" s="2"/>
      <c r="F807" s="2"/>
      <c r="G807" s="2"/>
    </row>
    <row r="808">
      <c r="A808" s="2"/>
      <c r="B808" s="2"/>
      <c r="C808" s="2"/>
      <c r="D808" s="2"/>
      <c r="F808" s="2"/>
      <c r="G808" s="2"/>
    </row>
    <row r="809">
      <c r="A809" s="2"/>
      <c r="B809" s="2"/>
      <c r="C809" s="2"/>
      <c r="D809" s="2"/>
      <c r="F809" s="2"/>
      <c r="G809" s="2"/>
    </row>
    <row r="810">
      <c r="A810" s="2"/>
      <c r="B810" s="2"/>
      <c r="C810" s="2"/>
      <c r="D810" s="2"/>
      <c r="F810" s="2"/>
      <c r="G810" s="2"/>
    </row>
    <row r="811">
      <c r="A811" s="2"/>
      <c r="B811" s="2"/>
      <c r="C811" s="2"/>
      <c r="D811" s="2"/>
      <c r="F811" s="2"/>
      <c r="G811" s="2"/>
    </row>
    <row r="812">
      <c r="A812" s="2"/>
      <c r="B812" s="2"/>
      <c r="C812" s="2"/>
      <c r="D812" s="2"/>
      <c r="F812" s="2"/>
      <c r="G812" s="2"/>
    </row>
    <row r="813">
      <c r="A813" s="2"/>
      <c r="B813" s="2"/>
      <c r="C813" s="2"/>
      <c r="D813" s="2"/>
      <c r="F813" s="2"/>
      <c r="G813" s="2"/>
    </row>
    <row r="814">
      <c r="A814" s="2"/>
      <c r="B814" s="2"/>
      <c r="C814" s="2"/>
      <c r="D814" s="2"/>
      <c r="F814" s="2"/>
      <c r="G814" s="2"/>
    </row>
    <row r="815">
      <c r="A815" s="2"/>
      <c r="B815" s="2"/>
      <c r="C815" s="2"/>
      <c r="D815" s="2"/>
      <c r="F815" s="2"/>
      <c r="G815" s="2"/>
    </row>
    <row r="816">
      <c r="A816" s="2"/>
      <c r="B816" s="2"/>
      <c r="C816" s="2"/>
      <c r="D816" s="2"/>
      <c r="F816" s="2"/>
      <c r="G816" s="2"/>
    </row>
    <row r="817">
      <c r="A817" s="2"/>
      <c r="B817" s="2"/>
      <c r="C817" s="2"/>
      <c r="D817" s="2"/>
      <c r="F817" s="2"/>
      <c r="G817" s="2"/>
    </row>
    <row r="818">
      <c r="A818" s="2"/>
      <c r="B818" s="2"/>
      <c r="C818" s="2"/>
      <c r="D818" s="2"/>
      <c r="F818" s="2"/>
      <c r="G818" s="2"/>
    </row>
    <row r="819">
      <c r="A819" s="2"/>
      <c r="B819" s="2"/>
      <c r="C819" s="2"/>
      <c r="D819" s="2"/>
      <c r="F819" s="2"/>
      <c r="G819" s="2"/>
    </row>
    <row r="820">
      <c r="A820" s="2"/>
      <c r="B820" s="2"/>
      <c r="C820" s="2"/>
      <c r="D820" s="2"/>
      <c r="F820" s="2"/>
      <c r="G820" s="2"/>
    </row>
    <row r="821">
      <c r="A821" s="2"/>
      <c r="B821" s="2"/>
      <c r="C821" s="2"/>
      <c r="D821" s="2"/>
      <c r="F821" s="2"/>
      <c r="G821" s="2"/>
    </row>
    <row r="822">
      <c r="A822" s="2"/>
      <c r="B822" s="2"/>
      <c r="C822" s="2"/>
      <c r="D822" s="2"/>
      <c r="F822" s="2"/>
      <c r="G822" s="2"/>
    </row>
    <row r="823">
      <c r="A823" s="2"/>
      <c r="B823" s="2"/>
      <c r="C823" s="2"/>
      <c r="D823" s="2"/>
      <c r="F823" s="2"/>
      <c r="G823" s="2"/>
    </row>
    <row r="824">
      <c r="A824" s="2"/>
      <c r="B824" s="2"/>
      <c r="C824" s="2"/>
      <c r="D824" s="2"/>
      <c r="F824" s="2"/>
      <c r="G824" s="2"/>
    </row>
    <row r="825">
      <c r="A825" s="2"/>
      <c r="B825" s="2"/>
      <c r="C825" s="2"/>
      <c r="D825" s="2"/>
      <c r="F825" s="2"/>
      <c r="G825" s="2"/>
    </row>
    <row r="826">
      <c r="A826" s="2"/>
      <c r="B826" s="2"/>
      <c r="C826" s="2"/>
      <c r="D826" s="2"/>
      <c r="F826" s="2"/>
      <c r="G826" s="2"/>
    </row>
    <row r="827">
      <c r="A827" s="2"/>
      <c r="B827" s="2"/>
      <c r="C827" s="2"/>
      <c r="D827" s="2"/>
      <c r="F827" s="2"/>
      <c r="G827" s="2"/>
    </row>
    <row r="828">
      <c r="A828" s="2"/>
      <c r="B828" s="2"/>
      <c r="C828" s="2"/>
      <c r="D828" s="2"/>
      <c r="F828" s="2"/>
      <c r="G828" s="2"/>
    </row>
    <row r="829">
      <c r="A829" s="2"/>
      <c r="B829" s="2"/>
      <c r="C829" s="2"/>
      <c r="D829" s="2"/>
      <c r="F829" s="2"/>
      <c r="G829" s="2"/>
    </row>
    <row r="830">
      <c r="A830" s="2"/>
      <c r="B830" s="2"/>
      <c r="C830" s="2"/>
      <c r="D830" s="2"/>
      <c r="F830" s="2"/>
      <c r="G830" s="2"/>
    </row>
    <row r="831">
      <c r="A831" s="2"/>
      <c r="B831" s="2"/>
      <c r="C831" s="2"/>
      <c r="D831" s="2"/>
      <c r="F831" s="2"/>
      <c r="G831" s="2"/>
    </row>
    <row r="832">
      <c r="A832" s="2"/>
      <c r="B832" s="2"/>
      <c r="C832" s="2"/>
      <c r="D832" s="2"/>
      <c r="F832" s="2"/>
      <c r="G832" s="2"/>
    </row>
    <row r="833">
      <c r="A833" s="2"/>
      <c r="B833" s="2"/>
      <c r="C833" s="2"/>
      <c r="D833" s="2"/>
      <c r="F833" s="2"/>
      <c r="G833" s="2"/>
    </row>
    <row r="834">
      <c r="A834" s="2"/>
      <c r="B834" s="2"/>
      <c r="C834" s="2"/>
      <c r="D834" s="2"/>
      <c r="F834" s="2"/>
      <c r="G834" s="2"/>
    </row>
    <row r="835">
      <c r="A835" s="2"/>
      <c r="B835" s="2"/>
      <c r="C835" s="2"/>
      <c r="D835" s="2"/>
      <c r="F835" s="2"/>
      <c r="G835" s="2"/>
    </row>
    <row r="836">
      <c r="A836" s="2"/>
      <c r="B836" s="2"/>
      <c r="C836" s="2"/>
      <c r="D836" s="2"/>
      <c r="F836" s="2"/>
      <c r="G836" s="2"/>
    </row>
    <row r="837">
      <c r="A837" s="2"/>
      <c r="B837" s="2"/>
      <c r="C837" s="2"/>
      <c r="D837" s="2"/>
      <c r="F837" s="2"/>
      <c r="G837" s="2"/>
    </row>
    <row r="838">
      <c r="A838" s="2"/>
      <c r="B838" s="2"/>
      <c r="C838" s="2"/>
      <c r="D838" s="2"/>
      <c r="F838" s="2"/>
      <c r="G838" s="2"/>
    </row>
    <row r="839">
      <c r="A839" s="2"/>
      <c r="B839" s="2"/>
      <c r="C839" s="2"/>
      <c r="D839" s="2"/>
      <c r="F839" s="2"/>
      <c r="G839" s="2"/>
    </row>
    <row r="840">
      <c r="A840" s="2"/>
      <c r="B840" s="2"/>
      <c r="C840" s="2"/>
      <c r="D840" s="2"/>
      <c r="F840" s="2"/>
      <c r="G840" s="2"/>
    </row>
    <row r="841">
      <c r="A841" s="2"/>
      <c r="B841" s="2"/>
      <c r="C841" s="2"/>
      <c r="D841" s="2"/>
      <c r="F841" s="2"/>
      <c r="G841" s="2"/>
    </row>
    <row r="842">
      <c r="A842" s="2"/>
      <c r="B842" s="2"/>
      <c r="C842" s="2"/>
      <c r="D842" s="2"/>
      <c r="F842" s="2"/>
      <c r="G842" s="2"/>
    </row>
    <row r="843">
      <c r="A843" s="2"/>
      <c r="B843" s="2"/>
      <c r="C843" s="2"/>
      <c r="D843" s="2"/>
      <c r="F843" s="2"/>
      <c r="G843" s="2"/>
    </row>
    <row r="844">
      <c r="A844" s="2"/>
      <c r="B844" s="2"/>
      <c r="C844" s="2"/>
      <c r="D844" s="2"/>
      <c r="F844" s="2"/>
      <c r="G844" s="2"/>
    </row>
    <row r="845">
      <c r="A845" s="2"/>
      <c r="B845" s="2"/>
      <c r="C845" s="2"/>
      <c r="D845" s="2"/>
      <c r="F845" s="2"/>
      <c r="G845" s="2"/>
    </row>
    <row r="846">
      <c r="A846" s="2"/>
      <c r="B846" s="2"/>
      <c r="C846" s="2"/>
      <c r="D846" s="2"/>
      <c r="F846" s="2"/>
      <c r="G846" s="2"/>
    </row>
    <row r="847">
      <c r="A847" s="2"/>
      <c r="B847" s="2"/>
      <c r="C847" s="2"/>
      <c r="D847" s="2"/>
      <c r="F847" s="2"/>
      <c r="G847" s="2"/>
    </row>
    <row r="848">
      <c r="A848" s="2"/>
      <c r="B848" s="2"/>
      <c r="C848" s="2"/>
      <c r="D848" s="2"/>
      <c r="F848" s="2"/>
      <c r="G848" s="2"/>
    </row>
    <row r="849">
      <c r="A849" s="2"/>
      <c r="B849" s="2"/>
      <c r="C849" s="2"/>
      <c r="D849" s="2"/>
      <c r="F849" s="2"/>
      <c r="G849" s="2"/>
    </row>
    <row r="850">
      <c r="A850" s="2"/>
      <c r="B850" s="2"/>
      <c r="C850" s="2"/>
      <c r="D850" s="2"/>
      <c r="F850" s="2"/>
      <c r="G850" s="2"/>
    </row>
    <row r="851">
      <c r="A851" s="2"/>
      <c r="B851" s="2"/>
      <c r="C851" s="2"/>
      <c r="D851" s="2"/>
      <c r="F851" s="2"/>
      <c r="G851" s="2"/>
    </row>
    <row r="852">
      <c r="A852" s="2"/>
      <c r="B852" s="2"/>
      <c r="C852" s="2"/>
      <c r="D852" s="2"/>
      <c r="F852" s="2"/>
      <c r="G852" s="2"/>
    </row>
    <row r="853">
      <c r="A853" s="2"/>
      <c r="B853" s="2"/>
      <c r="C853" s="2"/>
      <c r="D853" s="2"/>
      <c r="F853" s="2"/>
      <c r="G853" s="2"/>
    </row>
    <row r="854">
      <c r="A854" s="2"/>
      <c r="B854" s="2"/>
      <c r="C854" s="2"/>
      <c r="D854" s="2"/>
      <c r="F854" s="2"/>
      <c r="G854" s="2"/>
    </row>
    <row r="855">
      <c r="A855" s="2"/>
      <c r="B855" s="2"/>
      <c r="C855" s="2"/>
      <c r="D855" s="2"/>
      <c r="F855" s="2"/>
      <c r="G855" s="2"/>
    </row>
    <row r="856">
      <c r="A856" s="2"/>
      <c r="B856" s="2"/>
      <c r="C856" s="2"/>
      <c r="D856" s="2"/>
      <c r="F856" s="2"/>
      <c r="G856" s="2"/>
    </row>
    <row r="857">
      <c r="A857" s="2"/>
      <c r="B857" s="2"/>
      <c r="C857" s="2"/>
      <c r="D857" s="2"/>
      <c r="F857" s="2"/>
      <c r="G857" s="2"/>
    </row>
    <row r="858">
      <c r="A858" s="2"/>
      <c r="B858" s="2"/>
      <c r="C858" s="2"/>
      <c r="D858" s="2"/>
      <c r="F858" s="2"/>
      <c r="G858" s="2"/>
    </row>
    <row r="859">
      <c r="A859" s="2"/>
      <c r="B859" s="2"/>
      <c r="C859" s="2"/>
      <c r="D859" s="2"/>
      <c r="F859" s="2"/>
      <c r="G859" s="2"/>
    </row>
    <row r="860">
      <c r="A860" s="2"/>
      <c r="B860" s="2"/>
      <c r="C860" s="2"/>
      <c r="D860" s="2"/>
      <c r="F860" s="2"/>
      <c r="G860" s="2"/>
    </row>
    <row r="861">
      <c r="A861" s="2"/>
      <c r="B861" s="2"/>
      <c r="C861" s="2"/>
      <c r="D861" s="2"/>
      <c r="F861" s="2"/>
      <c r="G861" s="2"/>
    </row>
    <row r="862">
      <c r="A862" s="2"/>
      <c r="B862" s="2"/>
      <c r="C862" s="2"/>
      <c r="D862" s="2"/>
      <c r="F862" s="2"/>
      <c r="G862" s="2"/>
    </row>
    <row r="863">
      <c r="A863" s="2"/>
      <c r="B863" s="2"/>
      <c r="C863" s="2"/>
      <c r="D863" s="2"/>
      <c r="F863" s="2"/>
      <c r="G863" s="2"/>
    </row>
    <row r="864">
      <c r="A864" s="2"/>
      <c r="B864" s="2"/>
      <c r="C864" s="2"/>
      <c r="D864" s="2"/>
      <c r="F864" s="2"/>
      <c r="G864" s="2"/>
    </row>
    <row r="865">
      <c r="A865" s="2"/>
      <c r="B865" s="2"/>
      <c r="C865" s="2"/>
      <c r="D865" s="2"/>
      <c r="F865" s="2"/>
      <c r="G865" s="2"/>
    </row>
    <row r="866">
      <c r="A866" s="2"/>
      <c r="B866" s="2"/>
      <c r="C866" s="2"/>
      <c r="D866" s="2"/>
      <c r="F866" s="2"/>
      <c r="G866" s="2"/>
    </row>
    <row r="867">
      <c r="A867" s="2"/>
      <c r="B867" s="2"/>
      <c r="C867" s="2"/>
      <c r="D867" s="2"/>
      <c r="F867" s="2"/>
      <c r="G867" s="2"/>
    </row>
    <row r="868">
      <c r="A868" s="2"/>
      <c r="B868" s="2"/>
      <c r="C868" s="2"/>
      <c r="D868" s="2"/>
      <c r="F868" s="2"/>
      <c r="G868" s="2"/>
    </row>
    <row r="869">
      <c r="A869" s="2"/>
      <c r="B869" s="2"/>
      <c r="C869" s="2"/>
      <c r="D869" s="2"/>
      <c r="F869" s="2"/>
      <c r="G869" s="2"/>
    </row>
    <row r="870">
      <c r="A870" s="2"/>
      <c r="B870" s="2"/>
      <c r="C870" s="2"/>
      <c r="D870" s="2"/>
      <c r="F870" s="2"/>
      <c r="G870" s="2"/>
    </row>
    <row r="871">
      <c r="A871" s="2"/>
      <c r="B871" s="2"/>
      <c r="C871" s="2"/>
      <c r="D871" s="2"/>
      <c r="F871" s="2"/>
      <c r="G871" s="2"/>
    </row>
    <row r="872">
      <c r="A872" s="2"/>
      <c r="B872" s="2"/>
      <c r="C872" s="2"/>
      <c r="D872" s="2"/>
      <c r="F872" s="2"/>
      <c r="G872" s="2"/>
    </row>
    <row r="873">
      <c r="A873" s="2"/>
      <c r="B873" s="2"/>
      <c r="C873" s="2"/>
      <c r="D873" s="2"/>
      <c r="F873" s="2"/>
      <c r="G873" s="2"/>
    </row>
    <row r="874">
      <c r="A874" s="2"/>
      <c r="B874" s="2"/>
      <c r="C874" s="2"/>
      <c r="D874" s="2"/>
      <c r="F874" s="2"/>
      <c r="G874" s="2"/>
    </row>
    <row r="875">
      <c r="A875" s="2"/>
      <c r="B875" s="2"/>
      <c r="C875" s="2"/>
      <c r="D875" s="2"/>
      <c r="F875" s="2"/>
      <c r="G875" s="2"/>
    </row>
    <row r="876">
      <c r="A876" s="2"/>
      <c r="B876" s="2"/>
      <c r="C876" s="2"/>
      <c r="D876" s="2"/>
      <c r="F876" s="2"/>
      <c r="G876" s="2"/>
    </row>
    <row r="877">
      <c r="A877" s="2"/>
      <c r="B877" s="2"/>
      <c r="C877" s="2"/>
      <c r="D877" s="2"/>
      <c r="F877" s="2"/>
      <c r="G877" s="2"/>
    </row>
    <row r="878">
      <c r="A878" s="2"/>
      <c r="B878" s="2"/>
      <c r="C878" s="2"/>
      <c r="D878" s="2"/>
      <c r="F878" s="2"/>
      <c r="G878" s="2"/>
    </row>
    <row r="879">
      <c r="A879" s="2"/>
      <c r="B879" s="2"/>
      <c r="C879" s="2"/>
      <c r="D879" s="2"/>
      <c r="F879" s="2"/>
      <c r="G879" s="2"/>
    </row>
    <row r="880">
      <c r="A880" s="2"/>
      <c r="B880" s="2"/>
      <c r="C880" s="2"/>
      <c r="D880" s="2"/>
      <c r="F880" s="2"/>
      <c r="G880" s="2"/>
    </row>
    <row r="881">
      <c r="A881" s="2"/>
      <c r="B881" s="2"/>
      <c r="C881" s="2"/>
      <c r="D881" s="2"/>
      <c r="F881" s="2"/>
      <c r="G881" s="2"/>
    </row>
    <row r="882">
      <c r="A882" s="2"/>
      <c r="B882" s="2"/>
      <c r="C882" s="2"/>
      <c r="D882" s="2"/>
      <c r="F882" s="2"/>
      <c r="G882" s="2"/>
    </row>
    <row r="883">
      <c r="A883" s="2"/>
      <c r="B883" s="2"/>
      <c r="C883" s="2"/>
      <c r="D883" s="2"/>
      <c r="F883" s="2"/>
      <c r="G883" s="2"/>
    </row>
    <row r="884">
      <c r="A884" s="2"/>
      <c r="B884" s="2"/>
      <c r="C884" s="2"/>
      <c r="D884" s="2"/>
      <c r="F884" s="2"/>
      <c r="G884" s="2"/>
    </row>
    <row r="885">
      <c r="A885" s="2"/>
      <c r="B885" s="2"/>
      <c r="C885" s="2"/>
      <c r="D885" s="2"/>
      <c r="F885" s="2"/>
      <c r="G885" s="2"/>
    </row>
    <row r="886">
      <c r="A886" s="2"/>
      <c r="B886" s="2"/>
      <c r="C886" s="2"/>
      <c r="D886" s="2"/>
      <c r="F886" s="2"/>
      <c r="G886" s="2"/>
    </row>
    <row r="887">
      <c r="A887" s="2"/>
      <c r="B887" s="2"/>
      <c r="C887" s="2"/>
      <c r="D887" s="2"/>
      <c r="F887" s="2"/>
      <c r="G887" s="2"/>
    </row>
    <row r="888">
      <c r="A888" s="2"/>
      <c r="B888" s="2"/>
      <c r="C888" s="2"/>
      <c r="D888" s="2"/>
      <c r="F888" s="2"/>
      <c r="G888" s="2"/>
    </row>
    <row r="889">
      <c r="A889" s="2"/>
      <c r="B889" s="2"/>
      <c r="C889" s="2"/>
      <c r="D889" s="2"/>
      <c r="F889" s="2"/>
      <c r="G889" s="2"/>
    </row>
    <row r="890">
      <c r="A890" s="2"/>
      <c r="B890" s="2"/>
      <c r="C890" s="2"/>
      <c r="D890" s="2"/>
      <c r="F890" s="2"/>
      <c r="G890" s="2"/>
    </row>
    <row r="891">
      <c r="A891" s="2"/>
      <c r="B891" s="2"/>
      <c r="C891" s="2"/>
      <c r="D891" s="2"/>
      <c r="F891" s="2"/>
      <c r="G891" s="2"/>
    </row>
    <row r="892">
      <c r="A892" s="2"/>
      <c r="B892" s="2"/>
      <c r="C892" s="2"/>
      <c r="D892" s="2"/>
      <c r="F892" s="2"/>
      <c r="G892" s="2"/>
    </row>
    <row r="893">
      <c r="A893" s="2"/>
      <c r="B893" s="2"/>
      <c r="C893" s="2"/>
      <c r="D893" s="2"/>
      <c r="F893" s="2"/>
      <c r="G893" s="2"/>
    </row>
    <row r="894">
      <c r="A894" s="2"/>
      <c r="B894" s="2"/>
      <c r="C894" s="2"/>
      <c r="D894" s="2"/>
      <c r="F894" s="2"/>
      <c r="G894" s="2"/>
    </row>
    <row r="895">
      <c r="A895" s="2"/>
      <c r="B895" s="2"/>
      <c r="C895" s="2"/>
      <c r="D895" s="2"/>
      <c r="F895" s="2"/>
      <c r="G895" s="2"/>
    </row>
    <row r="896">
      <c r="A896" s="2"/>
      <c r="B896" s="2"/>
      <c r="C896" s="2"/>
      <c r="D896" s="2"/>
      <c r="F896" s="2"/>
      <c r="G896" s="2"/>
    </row>
    <row r="897">
      <c r="A897" s="2"/>
      <c r="B897" s="2"/>
      <c r="C897" s="2"/>
      <c r="D897" s="2"/>
      <c r="F897" s="2"/>
      <c r="G897" s="2"/>
    </row>
    <row r="898">
      <c r="A898" s="2"/>
      <c r="B898" s="2"/>
      <c r="C898" s="2"/>
      <c r="D898" s="2"/>
      <c r="F898" s="2"/>
      <c r="G898" s="2"/>
    </row>
    <row r="899">
      <c r="A899" s="2"/>
      <c r="B899" s="2"/>
      <c r="C899" s="2"/>
      <c r="D899" s="2"/>
      <c r="F899" s="2"/>
      <c r="G899" s="2"/>
    </row>
    <row r="900">
      <c r="A900" s="2"/>
      <c r="B900" s="2"/>
      <c r="C900" s="2"/>
      <c r="D900" s="2"/>
      <c r="F900" s="2"/>
      <c r="G900" s="2"/>
    </row>
    <row r="901">
      <c r="A901" s="2"/>
      <c r="B901" s="2"/>
      <c r="C901" s="2"/>
      <c r="D901" s="2"/>
      <c r="F901" s="2"/>
      <c r="G901" s="2"/>
    </row>
    <row r="902">
      <c r="A902" s="2"/>
      <c r="B902" s="2"/>
      <c r="C902" s="2"/>
      <c r="D902" s="2"/>
      <c r="F902" s="2"/>
      <c r="G902" s="2"/>
    </row>
    <row r="903">
      <c r="A903" s="2"/>
      <c r="B903" s="2"/>
      <c r="C903" s="2"/>
      <c r="D903" s="2"/>
      <c r="F903" s="2"/>
      <c r="G903" s="2"/>
    </row>
    <row r="904">
      <c r="A904" s="2"/>
      <c r="B904" s="2"/>
      <c r="C904" s="2"/>
      <c r="D904" s="2"/>
      <c r="F904" s="2"/>
      <c r="G904" s="2"/>
    </row>
    <row r="905">
      <c r="A905" s="2"/>
      <c r="B905" s="2"/>
      <c r="C905" s="2"/>
      <c r="D905" s="2"/>
      <c r="F905" s="2"/>
      <c r="G905" s="2"/>
    </row>
    <row r="906">
      <c r="A906" s="2"/>
      <c r="B906" s="2"/>
      <c r="C906" s="2"/>
      <c r="D906" s="2"/>
      <c r="F906" s="2"/>
      <c r="G906" s="2"/>
    </row>
    <row r="907">
      <c r="A907" s="2"/>
      <c r="B907" s="2"/>
      <c r="C907" s="2"/>
      <c r="D907" s="2"/>
      <c r="F907" s="2"/>
      <c r="G907" s="2"/>
    </row>
    <row r="908">
      <c r="A908" s="2"/>
      <c r="B908" s="2"/>
      <c r="C908" s="2"/>
      <c r="D908" s="2"/>
      <c r="F908" s="2"/>
      <c r="G908" s="2"/>
    </row>
    <row r="909">
      <c r="A909" s="2"/>
      <c r="B909" s="2"/>
      <c r="C909" s="2"/>
      <c r="D909" s="2"/>
      <c r="F909" s="2"/>
      <c r="G909" s="2"/>
    </row>
    <row r="910">
      <c r="A910" s="2"/>
      <c r="B910" s="2"/>
      <c r="C910" s="2"/>
      <c r="D910" s="2"/>
      <c r="F910" s="2"/>
      <c r="G910" s="2"/>
    </row>
    <row r="911">
      <c r="A911" s="2"/>
      <c r="B911" s="2"/>
      <c r="C911" s="2"/>
      <c r="D911" s="2"/>
      <c r="F911" s="2"/>
      <c r="G911" s="2"/>
    </row>
    <row r="912">
      <c r="A912" s="2"/>
      <c r="B912" s="2"/>
      <c r="C912" s="2"/>
      <c r="D912" s="2"/>
      <c r="F912" s="2"/>
      <c r="G912" s="2"/>
    </row>
    <row r="913">
      <c r="A913" s="2"/>
      <c r="B913" s="2"/>
      <c r="C913" s="2"/>
      <c r="D913" s="2"/>
      <c r="F913" s="2"/>
      <c r="G913" s="2"/>
    </row>
    <row r="914">
      <c r="A914" s="2"/>
      <c r="B914" s="2"/>
      <c r="C914" s="2"/>
      <c r="D914" s="2"/>
      <c r="F914" s="2"/>
      <c r="G914" s="2"/>
    </row>
    <row r="915">
      <c r="A915" s="2"/>
      <c r="B915" s="2"/>
      <c r="C915" s="2"/>
      <c r="D915" s="2"/>
      <c r="F915" s="2"/>
      <c r="G915" s="2"/>
    </row>
    <row r="916">
      <c r="A916" s="2"/>
      <c r="B916" s="2"/>
      <c r="C916" s="2"/>
      <c r="D916" s="2"/>
      <c r="F916" s="2"/>
      <c r="G916" s="2"/>
    </row>
    <row r="917">
      <c r="A917" s="2"/>
      <c r="B917" s="2"/>
      <c r="C917" s="2"/>
      <c r="D917" s="2"/>
      <c r="F917" s="2"/>
      <c r="G917" s="2"/>
    </row>
    <row r="918">
      <c r="A918" s="2"/>
      <c r="B918" s="2"/>
      <c r="C918" s="2"/>
      <c r="D918" s="2"/>
      <c r="F918" s="2"/>
      <c r="G918" s="2"/>
    </row>
    <row r="919">
      <c r="A919" s="2"/>
      <c r="B919" s="2"/>
      <c r="C919" s="2"/>
      <c r="D919" s="2"/>
      <c r="F919" s="2"/>
      <c r="G919" s="2"/>
    </row>
    <row r="920">
      <c r="A920" s="2"/>
      <c r="B920" s="2"/>
      <c r="C920" s="2"/>
      <c r="D920" s="2"/>
      <c r="F920" s="2"/>
      <c r="G920" s="2"/>
    </row>
    <row r="921">
      <c r="A921" s="2"/>
      <c r="B921" s="2"/>
      <c r="C921" s="2"/>
      <c r="D921" s="2"/>
      <c r="F921" s="2"/>
      <c r="G921" s="2"/>
    </row>
    <row r="922">
      <c r="A922" s="2"/>
      <c r="B922" s="2"/>
      <c r="C922" s="2"/>
      <c r="D922" s="2"/>
      <c r="F922" s="2"/>
      <c r="G922" s="2"/>
    </row>
    <row r="923">
      <c r="A923" s="2"/>
      <c r="B923" s="2"/>
      <c r="C923" s="2"/>
      <c r="D923" s="2"/>
      <c r="F923" s="2"/>
      <c r="G923" s="2"/>
    </row>
    <row r="924">
      <c r="A924" s="2"/>
      <c r="B924" s="2"/>
      <c r="C924" s="2"/>
      <c r="D924" s="2"/>
      <c r="F924" s="2"/>
      <c r="G924" s="2"/>
    </row>
    <row r="925">
      <c r="A925" s="2"/>
      <c r="B925" s="2"/>
      <c r="C925" s="2"/>
      <c r="D925" s="2"/>
      <c r="F925" s="2"/>
      <c r="G925" s="2"/>
    </row>
    <row r="926">
      <c r="A926" s="2"/>
      <c r="B926" s="2"/>
      <c r="C926" s="2"/>
      <c r="D926" s="2"/>
      <c r="F926" s="2"/>
      <c r="G926" s="2"/>
    </row>
    <row r="927">
      <c r="A927" s="2"/>
      <c r="B927" s="2"/>
      <c r="C927" s="2"/>
      <c r="D927" s="2"/>
      <c r="F927" s="2"/>
      <c r="G927" s="2"/>
    </row>
    <row r="928">
      <c r="A928" s="2"/>
      <c r="B928" s="2"/>
      <c r="C928" s="2"/>
      <c r="D928" s="2"/>
      <c r="F928" s="2"/>
      <c r="G928" s="2"/>
    </row>
    <row r="929">
      <c r="A929" s="2"/>
      <c r="B929" s="2"/>
      <c r="C929" s="2"/>
      <c r="D929" s="2"/>
      <c r="F929" s="2"/>
      <c r="G929" s="2"/>
    </row>
    <row r="930">
      <c r="A930" s="2"/>
      <c r="B930" s="2"/>
      <c r="C930" s="2"/>
      <c r="D930" s="2"/>
      <c r="F930" s="2"/>
      <c r="G930" s="2"/>
    </row>
    <row r="931">
      <c r="A931" s="2"/>
      <c r="B931" s="2"/>
      <c r="C931" s="2"/>
      <c r="D931" s="2"/>
      <c r="F931" s="2"/>
      <c r="G931" s="2"/>
    </row>
    <row r="932">
      <c r="A932" s="2"/>
      <c r="B932" s="2"/>
      <c r="C932" s="2"/>
      <c r="D932" s="2"/>
      <c r="F932" s="2"/>
      <c r="G932" s="2"/>
    </row>
    <row r="933">
      <c r="A933" s="2"/>
      <c r="B933" s="2"/>
      <c r="C933" s="2"/>
      <c r="D933" s="2"/>
      <c r="F933" s="2"/>
      <c r="G933" s="2"/>
    </row>
    <row r="934">
      <c r="A934" s="2"/>
      <c r="B934" s="2"/>
      <c r="C934" s="2"/>
      <c r="D934" s="2"/>
      <c r="F934" s="2"/>
      <c r="G934" s="2"/>
    </row>
    <row r="935">
      <c r="A935" s="2"/>
      <c r="B935" s="2"/>
      <c r="C935" s="2"/>
      <c r="D935" s="2"/>
      <c r="F935" s="2"/>
      <c r="G935" s="2"/>
    </row>
    <row r="936">
      <c r="A936" s="2"/>
      <c r="B936" s="2"/>
      <c r="C936" s="2"/>
      <c r="D936" s="2"/>
      <c r="F936" s="2"/>
      <c r="G936" s="2"/>
    </row>
    <row r="937">
      <c r="A937" s="2"/>
      <c r="B937" s="2"/>
      <c r="C937" s="2"/>
      <c r="D937" s="2"/>
      <c r="F937" s="2"/>
      <c r="G937" s="2"/>
    </row>
    <row r="938">
      <c r="A938" s="2"/>
      <c r="B938" s="2"/>
      <c r="C938" s="2"/>
      <c r="D938" s="2"/>
      <c r="F938" s="2"/>
      <c r="G938" s="2"/>
    </row>
    <row r="939">
      <c r="A939" s="2"/>
      <c r="B939" s="2"/>
      <c r="C939" s="2"/>
      <c r="D939" s="2"/>
      <c r="F939" s="2"/>
      <c r="G939" s="2"/>
    </row>
    <row r="940">
      <c r="A940" s="2"/>
      <c r="B940" s="2"/>
      <c r="C940" s="2"/>
      <c r="D940" s="2"/>
      <c r="F940" s="2"/>
      <c r="G940" s="2"/>
    </row>
    <row r="941">
      <c r="A941" s="2"/>
      <c r="B941" s="2"/>
      <c r="C941" s="2"/>
      <c r="D941" s="2"/>
      <c r="F941" s="2"/>
      <c r="G941" s="2"/>
    </row>
    <row r="942">
      <c r="A942" s="2"/>
      <c r="B942" s="2"/>
      <c r="C942" s="2"/>
      <c r="D942" s="2"/>
      <c r="F942" s="2"/>
      <c r="G942" s="2"/>
    </row>
    <row r="943">
      <c r="A943" s="2"/>
      <c r="B943" s="2"/>
      <c r="C943" s="2"/>
      <c r="D943" s="2"/>
      <c r="F943" s="2"/>
      <c r="G943" s="2"/>
    </row>
    <row r="944">
      <c r="A944" s="2"/>
      <c r="B944" s="2"/>
      <c r="C944" s="2"/>
      <c r="D944" s="2"/>
      <c r="F944" s="2"/>
      <c r="G944" s="2"/>
    </row>
    <row r="945">
      <c r="A945" s="2"/>
      <c r="B945" s="2"/>
      <c r="C945" s="2"/>
      <c r="D945" s="2"/>
      <c r="F945" s="2"/>
      <c r="G945" s="2"/>
    </row>
    <row r="946">
      <c r="A946" s="2"/>
      <c r="B946" s="2"/>
      <c r="C946" s="2"/>
      <c r="D946" s="2"/>
      <c r="F946" s="2"/>
      <c r="G946" s="2"/>
    </row>
    <row r="947">
      <c r="A947" s="2"/>
      <c r="B947" s="2"/>
      <c r="C947" s="2"/>
      <c r="D947" s="2"/>
      <c r="F947" s="2"/>
      <c r="G947" s="2"/>
    </row>
    <row r="948">
      <c r="A948" s="2"/>
      <c r="B948" s="2"/>
      <c r="C948" s="2"/>
      <c r="D948" s="2"/>
      <c r="F948" s="2"/>
      <c r="G948" s="2"/>
    </row>
    <row r="949">
      <c r="A949" s="2"/>
      <c r="B949" s="2"/>
      <c r="C949" s="2"/>
      <c r="D949" s="2"/>
      <c r="F949" s="2"/>
      <c r="G949" s="2"/>
    </row>
    <row r="950">
      <c r="A950" s="2"/>
      <c r="B950" s="2"/>
      <c r="C950" s="2"/>
      <c r="D950" s="2"/>
      <c r="F950" s="2"/>
      <c r="G950" s="2"/>
    </row>
    <row r="951">
      <c r="A951" s="2"/>
      <c r="B951" s="2"/>
      <c r="C951" s="2"/>
      <c r="D951" s="2"/>
      <c r="F951" s="2"/>
      <c r="G951" s="2"/>
    </row>
    <row r="952">
      <c r="A952" s="2"/>
      <c r="B952" s="2"/>
      <c r="C952" s="2"/>
      <c r="D952" s="2"/>
      <c r="F952" s="2"/>
      <c r="G952" s="2"/>
    </row>
    <row r="953">
      <c r="A953" s="2"/>
      <c r="B953" s="2"/>
      <c r="C953" s="2"/>
      <c r="D953" s="2"/>
      <c r="F953" s="2"/>
      <c r="G953" s="2"/>
    </row>
    <row r="954">
      <c r="A954" s="2"/>
      <c r="B954" s="2"/>
      <c r="C954" s="2"/>
      <c r="D954" s="2"/>
      <c r="F954" s="2"/>
      <c r="G954" s="2"/>
    </row>
    <row r="955">
      <c r="A955" s="2"/>
      <c r="B955" s="2"/>
      <c r="C955" s="2"/>
      <c r="D955" s="2"/>
      <c r="F955" s="2"/>
      <c r="G955" s="2"/>
    </row>
    <row r="956">
      <c r="A956" s="2"/>
      <c r="B956" s="2"/>
      <c r="C956" s="2"/>
      <c r="D956" s="2"/>
      <c r="F956" s="2"/>
      <c r="G956" s="2"/>
    </row>
    <row r="957">
      <c r="A957" s="2"/>
      <c r="B957" s="2"/>
      <c r="C957" s="2"/>
      <c r="D957" s="2"/>
      <c r="F957" s="2"/>
      <c r="G957" s="2"/>
    </row>
    <row r="958">
      <c r="A958" s="2"/>
      <c r="B958" s="2"/>
      <c r="C958" s="2"/>
      <c r="D958" s="2"/>
      <c r="F958" s="2"/>
      <c r="G958" s="2"/>
    </row>
    <row r="959">
      <c r="A959" s="2"/>
      <c r="B959" s="2"/>
      <c r="C959" s="2"/>
      <c r="D959" s="2"/>
      <c r="F959" s="2"/>
      <c r="G959" s="2"/>
    </row>
    <row r="960">
      <c r="A960" s="2"/>
      <c r="B960" s="2"/>
      <c r="C960" s="2"/>
      <c r="D960" s="2"/>
      <c r="F960" s="2"/>
      <c r="G960" s="2"/>
    </row>
    <row r="961">
      <c r="A961" s="2"/>
      <c r="B961" s="2"/>
      <c r="C961" s="2"/>
      <c r="D961" s="2"/>
      <c r="F961" s="2"/>
      <c r="G961" s="2"/>
    </row>
    <row r="962">
      <c r="A962" s="2"/>
      <c r="B962" s="2"/>
      <c r="C962" s="2"/>
      <c r="D962" s="2"/>
      <c r="F962" s="2"/>
      <c r="G962" s="2"/>
    </row>
    <row r="963">
      <c r="A963" s="2"/>
      <c r="B963" s="2"/>
      <c r="C963" s="2"/>
      <c r="D963" s="2"/>
      <c r="F963" s="2"/>
      <c r="G963" s="2"/>
    </row>
    <row r="964">
      <c r="A964" s="2"/>
      <c r="B964" s="2"/>
      <c r="C964" s="2"/>
      <c r="D964" s="2"/>
      <c r="F964" s="2"/>
      <c r="G964" s="2"/>
    </row>
    <row r="965">
      <c r="A965" s="2"/>
      <c r="B965" s="2"/>
      <c r="C965" s="2"/>
      <c r="D965" s="2"/>
      <c r="F965" s="2"/>
      <c r="G965" s="2"/>
    </row>
    <row r="966">
      <c r="A966" s="2"/>
      <c r="B966" s="2"/>
      <c r="C966" s="2"/>
      <c r="D966" s="2"/>
      <c r="F966" s="2"/>
      <c r="G966" s="2"/>
    </row>
    <row r="967">
      <c r="A967" s="2"/>
      <c r="B967" s="2"/>
      <c r="C967" s="2"/>
      <c r="D967" s="2"/>
      <c r="F967" s="2"/>
      <c r="G967" s="2"/>
    </row>
    <row r="968">
      <c r="A968" s="2"/>
      <c r="B968" s="2"/>
      <c r="C968" s="2"/>
      <c r="D968" s="2"/>
      <c r="F968" s="2"/>
      <c r="G968" s="2"/>
    </row>
    <row r="969">
      <c r="A969" s="2"/>
      <c r="B969" s="2"/>
      <c r="C969" s="2"/>
      <c r="D969" s="2"/>
      <c r="F969" s="2"/>
      <c r="G969" s="2"/>
    </row>
    <row r="970">
      <c r="A970" s="2"/>
      <c r="B970" s="2"/>
      <c r="C970" s="2"/>
      <c r="D970" s="2"/>
      <c r="F970" s="2"/>
      <c r="G970" s="2"/>
    </row>
    <row r="971">
      <c r="A971" s="2"/>
      <c r="B971" s="2"/>
      <c r="C971" s="2"/>
      <c r="D971" s="2"/>
      <c r="F971" s="2"/>
      <c r="G971" s="2"/>
    </row>
    <row r="972">
      <c r="A972" s="2"/>
      <c r="B972" s="2"/>
      <c r="C972" s="2"/>
      <c r="D972" s="2"/>
      <c r="F972" s="2"/>
      <c r="G972" s="2"/>
    </row>
    <row r="973">
      <c r="A973" s="2"/>
      <c r="B973" s="2"/>
      <c r="C973" s="2"/>
      <c r="D973" s="2"/>
      <c r="F973" s="2"/>
      <c r="G973" s="2"/>
    </row>
    <row r="974">
      <c r="A974" s="2"/>
      <c r="B974" s="2"/>
      <c r="C974" s="2"/>
      <c r="D974" s="2"/>
      <c r="F974" s="2"/>
      <c r="G974" s="2"/>
    </row>
    <row r="975">
      <c r="A975" s="2"/>
      <c r="B975" s="2"/>
      <c r="C975" s="2"/>
      <c r="D975" s="2"/>
      <c r="F975" s="2"/>
      <c r="G975" s="2"/>
    </row>
    <row r="976">
      <c r="A976" s="2"/>
      <c r="B976" s="2"/>
      <c r="C976" s="2"/>
      <c r="D976" s="2"/>
      <c r="F976" s="2"/>
      <c r="G976" s="2"/>
    </row>
    <row r="977">
      <c r="A977" s="2"/>
      <c r="B977" s="2"/>
      <c r="C977" s="2"/>
      <c r="D977" s="2"/>
      <c r="F977" s="2"/>
      <c r="G977" s="2"/>
    </row>
    <row r="978">
      <c r="A978" s="2"/>
      <c r="B978" s="2"/>
      <c r="C978" s="2"/>
      <c r="D978" s="2"/>
      <c r="F978" s="2"/>
      <c r="G978" s="2"/>
    </row>
    <row r="979">
      <c r="A979" s="2"/>
      <c r="B979" s="2"/>
      <c r="C979" s="2"/>
      <c r="D979" s="2"/>
      <c r="F979" s="2"/>
      <c r="G979" s="2"/>
    </row>
    <row r="980">
      <c r="A980" s="2"/>
      <c r="B980" s="2"/>
      <c r="C980" s="2"/>
      <c r="D980" s="2"/>
      <c r="F980" s="2"/>
      <c r="G980" s="2"/>
    </row>
    <row r="981">
      <c r="A981" s="2"/>
      <c r="B981" s="2"/>
      <c r="C981" s="2"/>
      <c r="D981" s="2"/>
      <c r="F981" s="2"/>
      <c r="G981" s="2"/>
    </row>
    <row r="982">
      <c r="A982" s="2"/>
      <c r="B982" s="2"/>
      <c r="C982" s="2"/>
      <c r="D982" s="2"/>
      <c r="F982" s="2"/>
      <c r="G982" s="2"/>
    </row>
    <row r="983">
      <c r="A983" s="2"/>
      <c r="B983" s="2"/>
      <c r="C983" s="2"/>
      <c r="D983" s="2"/>
      <c r="F983" s="2"/>
      <c r="G983" s="2"/>
    </row>
    <row r="984">
      <c r="A984" s="2"/>
      <c r="B984" s="2"/>
      <c r="C984" s="2"/>
      <c r="D984" s="2"/>
      <c r="F984" s="2"/>
      <c r="G984" s="2"/>
    </row>
    <row r="985">
      <c r="A985" s="2"/>
      <c r="B985" s="2"/>
      <c r="C985" s="2"/>
      <c r="D985" s="2"/>
      <c r="F985" s="2"/>
      <c r="G985" s="2"/>
    </row>
    <row r="986">
      <c r="A986" s="2"/>
      <c r="B986" s="2"/>
      <c r="C986" s="2"/>
      <c r="D986" s="2"/>
      <c r="F986" s="2"/>
      <c r="G986" s="2"/>
    </row>
    <row r="987">
      <c r="A987" s="2"/>
      <c r="B987" s="2"/>
      <c r="C987" s="2"/>
      <c r="D987" s="2"/>
      <c r="F987" s="2"/>
      <c r="G987" s="2"/>
    </row>
    <row r="988">
      <c r="A988" s="2"/>
      <c r="B988" s="2"/>
      <c r="C988" s="2"/>
      <c r="D988" s="2"/>
      <c r="F988" s="2"/>
      <c r="G988" s="2"/>
    </row>
    <row r="989">
      <c r="A989" s="2"/>
      <c r="B989" s="2"/>
      <c r="C989" s="2"/>
      <c r="D989" s="2"/>
      <c r="F989" s="2"/>
      <c r="G989" s="2"/>
    </row>
    <row r="990">
      <c r="A990" s="2"/>
      <c r="B990" s="2"/>
      <c r="C990" s="2"/>
      <c r="D990" s="2"/>
      <c r="F990" s="2"/>
      <c r="G990" s="2"/>
    </row>
    <row r="991">
      <c r="A991" s="2"/>
      <c r="B991" s="2"/>
      <c r="C991" s="2"/>
      <c r="D991" s="2"/>
      <c r="F991" s="2"/>
      <c r="G991" s="2"/>
    </row>
    <row r="992">
      <c r="A992" s="2"/>
      <c r="B992" s="2"/>
      <c r="C992" s="2"/>
      <c r="D992" s="2"/>
      <c r="F992" s="2"/>
      <c r="G992" s="2"/>
    </row>
    <row r="993">
      <c r="A993" s="2"/>
      <c r="B993" s="2"/>
      <c r="C993" s="2"/>
      <c r="D993" s="2"/>
      <c r="F993" s="2"/>
      <c r="G993" s="2"/>
    </row>
    <row r="994">
      <c r="A994" s="2"/>
      <c r="B994" s="2"/>
      <c r="C994" s="2"/>
      <c r="D994" s="2"/>
      <c r="F994" s="2"/>
      <c r="G994" s="2"/>
    </row>
    <row r="995">
      <c r="A995" s="2"/>
      <c r="B995" s="2"/>
      <c r="C995" s="2"/>
      <c r="D995" s="2"/>
      <c r="F995" s="2"/>
      <c r="G995" s="2"/>
    </row>
    <row r="996">
      <c r="A996" s="2"/>
      <c r="B996" s="2"/>
      <c r="C996" s="2"/>
      <c r="D996" s="2"/>
      <c r="F996" s="2"/>
      <c r="G996" s="2"/>
    </row>
    <row r="997">
      <c r="A997" s="2"/>
      <c r="B997" s="2"/>
      <c r="C997" s="2"/>
      <c r="D997" s="2"/>
      <c r="F997" s="2"/>
      <c r="G997" s="2"/>
    </row>
    <row r="998">
      <c r="A998" s="2"/>
      <c r="B998" s="2"/>
      <c r="C998" s="2"/>
      <c r="D998" s="2"/>
      <c r="F998" s="2"/>
      <c r="G998" s="2"/>
    </row>
    <row r="999">
      <c r="A999" s="2"/>
      <c r="B999" s="2"/>
      <c r="C999" s="2"/>
      <c r="D999" s="2"/>
      <c r="F999" s="2"/>
      <c r="G999" s="2"/>
    </row>
    <row r="1000">
      <c r="A1000" s="2"/>
      <c r="B1000" s="2"/>
      <c r="C1000" s="2"/>
      <c r="D1000" s="2"/>
      <c r="F1000" s="2"/>
      <c r="G1000" s="2"/>
    </row>
    <row r="1001">
      <c r="A1001" s="2"/>
      <c r="B1001" s="2"/>
      <c r="C1001" s="2"/>
      <c r="D1001" s="2"/>
      <c r="F1001" s="2"/>
      <c r="G1001" s="2"/>
    </row>
    <row r="1002">
      <c r="A1002" s="2"/>
      <c r="B1002" s="2"/>
      <c r="C1002" s="2"/>
      <c r="D1002" s="2"/>
      <c r="F1002" s="2"/>
      <c r="G1002" s="2"/>
    </row>
    <row r="1003">
      <c r="A1003" s="2"/>
      <c r="B1003" s="2"/>
      <c r="C1003" s="2"/>
      <c r="D1003" s="2"/>
      <c r="F1003" s="2"/>
      <c r="G1003" s="2"/>
    </row>
    <row r="1004">
      <c r="A1004" s="2"/>
      <c r="B1004" s="2"/>
      <c r="C1004" s="2"/>
      <c r="D1004" s="2"/>
      <c r="F1004" s="2"/>
      <c r="G1004" s="2"/>
    </row>
    <row r="1005">
      <c r="A1005" s="2"/>
      <c r="B1005" s="2"/>
      <c r="C1005" s="2"/>
      <c r="D1005" s="2"/>
      <c r="F1005" s="2"/>
      <c r="G1005" s="2"/>
    </row>
    <row r="1006">
      <c r="A1006" s="2"/>
      <c r="B1006" s="2"/>
      <c r="C1006" s="2"/>
      <c r="D1006" s="2"/>
      <c r="F1006" s="2"/>
      <c r="G1006" s="2"/>
    </row>
  </sheetData>
  <mergeCells count="4">
    <mergeCell ref="A2:A7"/>
    <mergeCell ref="A9:A24"/>
    <mergeCell ref="A26:A34"/>
    <mergeCell ref="A37:A4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6" max="6" width="14.0"/>
  </cols>
  <sheetData>
    <row r="1">
      <c r="B1" s="2"/>
      <c r="C1" s="2"/>
      <c r="D1" s="2"/>
    </row>
    <row r="2">
      <c r="A2" s="308" t="s">
        <v>1994</v>
      </c>
      <c r="B2" s="309">
        <v>45940.0</v>
      </c>
      <c r="C2" s="310" t="s">
        <v>1995</v>
      </c>
      <c r="D2" s="310" t="s">
        <v>1996</v>
      </c>
      <c r="E2" s="122" t="s">
        <v>1997</v>
      </c>
    </row>
    <row r="3">
      <c r="E3" s="122" t="s">
        <v>1998</v>
      </c>
    </row>
    <row r="4">
      <c r="B4" s="311">
        <v>45957.0</v>
      </c>
      <c r="C4" s="312">
        <v>9200.0</v>
      </c>
      <c r="D4" s="313" t="s">
        <v>1966</v>
      </c>
      <c r="E4" s="314" t="s">
        <v>1999</v>
      </c>
    </row>
    <row r="5">
      <c r="D5" s="300"/>
      <c r="E5" s="314" t="s">
        <v>2000</v>
      </c>
    </row>
    <row r="6">
      <c r="B6" s="2"/>
      <c r="C6" s="2"/>
      <c r="D6" s="2"/>
    </row>
    <row r="7">
      <c r="B7" s="2"/>
      <c r="C7" s="2"/>
      <c r="D7" s="2"/>
    </row>
    <row r="8">
      <c r="A8" s="308" t="s">
        <v>2001</v>
      </c>
      <c r="B8" s="51">
        <v>45963.0</v>
      </c>
      <c r="C8" s="35">
        <v>10400.0</v>
      </c>
      <c r="D8" s="35" t="s">
        <v>1996</v>
      </c>
    </row>
    <row r="9">
      <c r="B9" s="51">
        <v>45973.0</v>
      </c>
      <c r="C9" s="35">
        <v>16950.0</v>
      </c>
      <c r="D9" s="35" t="s">
        <v>1996</v>
      </c>
    </row>
    <row r="10">
      <c r="B10" s="51">
        <v>45976.0</v>
      </c>
      <c r="C10" s="35">
        <v>1900.0</v>
      </c>
      <c r="D10" s="35" t="s">
        <v>1996</v>
      </c>
      <c r="E10" s="315" t="s">
        <v>2002</v>
      </c>
    </row>
    <row r="11">
      <c r="B11" s="51">
        <v>45980.0</v>
      </c>
      <c r="C11" s="35">
        <v>6950.0</v>
      </c>
      <c r="D11" s="35" t="s">
        <v>2003</v>
      </c>
    </row>
    <row r="12">
      <c r="B12" s="51">
        <v>45981.0</v>
      </c>
      <c r="C12" s="35">
        <v>1100.0</v>
      </c>
      <c r="D12" s="35" t="s">
        <v>2003</v>
      </c>
    </row>
    <row r="13">
      <c r="B13" s="2"/>
      <c r="C13" s="2"/>
      <c r="D13" s="2"/>
    </row>
    <row r="14">
      <c r="B14" s="2"/>
      <c r="C14" s="2"/>
      <c r="D14" s="2"/>
    </row>
    <row r="15">
      <c r="A15" s="308" t="s">
        <v>2004</v>
      </c>
      <c r="B15" s="51">
        <v>45999.0</v>
      </c>
      <c r="C15" s="35">
        <v>32600.0</v>
      </c>
      <c r="D15" s="35" t="s">
        <v>1996</v>
      </c>
    </row>
    <row r="16">
      <c r="B16" s="51">
        <v>46004.0</v>
      </c>
      <c r="C16" s="35">
        <v>3550.0</v>
      </c>
      <c r="D16" s="35" t="s">
        <v>1996</v>
      </c>
    </row>
    <row r="17">
      <c r="B17" s="51">
        <v>46006.0</v>
      </c>
      <c r="C17" s="35">
        <v>13800.0</v>
      </c>
      <c r="D17" s="35" t="s">
        <v>1996</v>
      </c>
    </row>
    <row r="18">
      <c r="B18" s="51">
        <v>46017.0</v>
      </c>
      <c r="C18" s="35">
        <v>6900.0</v>
      </c>
      <c r="D18" s="35" t="s">
        <v>1996</v>
      </c>
    </row>
    <row r="19">
      <c r="B19" s="51">
        <v>46021.0</v>
      </c>
      <c r="C19" s="35">
        <v>24050.0</v>
      </c>
      <c r="D19" s="35" t="s">
        <v>1996</v>
      </c>
      <c r="E19" s="42" t="s">
        <v>2005</v>
      </c>
      <c r="F19" s="42" t="s">
        <v>2006</v>
      </c>
      <c r="G19" s="1" t="s">
        <v>2007</v>
      </c>
    </row>
    <row r="20">
      <c r="B20" s="2"/>
      <c r="C20" s="2"/>
      <c r="D20" s="2"/>
    </row>
    <row r="21">
      <c r="B21" s="2"/>
      <c r="C21" s="2"/>
      <c r="D21" s="2"/>
    </row>
    <row r="22">
      <c r="A22" s="316">
        <v>2026.0</v>
      </c>
    </row>
    <row r="25">
      <c r="B25" s="2"/>
      <c r="C25" s="2"/>
      <c r="D25" s="2"/>
    </row>
    <row r="26">
      <c r="A26" s="317" t="s">
        <v>2008</v>
      </c>
      <c r="B26" s="41">
        <v>46030.0</v>
      </c>
      <c r="C26" s="35">
        <v>4500.0</v>
      </c>
      <c r="D26" s="35" t="s">
        <v>1966</v>
      </c>
      <c r="E26" s="42" t="s">
        <v>2009</v>
      </c>
      <c r="F26" s="42" t="s">
        <v>2010</v>
      </c>
      <c r="G26" s="47" t="s">
        <v>2011</v>
      </c>
    </row>
    <row r="27">
      <c r="B27" s="41">
        <v>46033.0</v>
      </c>
      <c r="C27" s="35">
        <v>5950.0</v>
      </c>
      <c r="D27" s="35" t="s">
        <v>1996</v>
      </c>
      <c r="E27" s="42" t="s">
        <v>2012</v>
      </c>
      <c r="F27" s="42" t="s">
        <v>2013</v>
      </c>
    </row>
    <row r="28">
      <c r="B28" s="41">
        <v>45672.0</v>
      </c>
      <c r="C28" s="35">
        <v>11800.0</v>
      </c>
      <c r="D28" s="35" t="s">
        <v>1996</v>
      </c>
      <c r="E28" s="42" t="s">
        <v>2014</v>
      </c>
      <c r="F28" s="42" t="s">
        <v>2015</v>
      </c>
    </row>
    <row r="29">
      <c r="B29" s="2"/>
      <c r="C29" s="2"/>
      <c r="D29" s="2"/>
    </row>
    <row r="30">
      <c r="B30" s="2"/>
      <c r="C30" s="2"/>
      <c r="D30" s="2"/>
    </row>
    <row r="31">
      <c r="B31" s="2"/>
      <c r="C31" s="2"/>
      <c r="D31" s="2"/>
    </row>
    <row r="32">
      <c r="B32" s="2"/>
      <c r="C32" s="2"/>
      <c r="D32" s="2"/>
    </row>
    <row r="33">
      <c r="B33" s="2"/>
      <c r="C33" s="2"/>
      <c r="D33" s="2"/>
    </row>
    <row r="34">
      <c r="B34" s="2"/>
      <c r="C34" s="2"/>
      <c r="D34" s="2"/>
    </row>
    <row r="35">
      <c r="B35" s="2"/>
      <c r="C35" s="2"/>
      <c r="D35" s="2"/>
    </row>
    <row r="36">
      <c r="B36" s="2"/>
      <c r="C36" s="2"/>
      <c r="D36" s="2"/>
    </row>
    <row r="37">
      <c r="B37" s="2"/>
      <c r="C37" s="2"/>
      <c r="D37" s="2"/>
    </row>
    <row r="38">
      <c r="B38" s="2"/>
      <c r="C38" s="2"/>
      <c r="D38" s="2"/>
    </row>
    <row r="39">
      <c r="B39" s="2"/>
      <c r="C39" s="2"/>
      <c r="D39" s="2"/>
    </row>
    <row r="40">
      <c r="B40" s="2"/>
      <c r="C40" s="2"/>
      <c r="D40" s="2"/>
    </row>
    <row r="41">
      <c r="B41" s="2"/>
      <c r="C41" s="2"/>
      <c r="D41" s="2"/>
    </row>
    <row r="42">
      <c r="B42" s="2"/>
      <c r="C42" s="2"/>
      <c r="D42" s="2"/>
    </row>
    <row r="43">
      <c r="B43" s="2"/>
      <c r="C43" s="2"/>
      <c r="D43" s="2"/>
    </row>
    <row r="44">
      <c r="B44" s="2"/>
      <c r="C44" s="2"/>
      <c r="D44" s="2"/>
    </row>
    <row r="45">
      <c r="B45" s="2"/>
      <c r="C45" s="2"/>
      <c r="D45" s="2"/>
    </row>
    <row r="46">
      <c r="B46" s="2"/>
      <c r="C46" s="2"/>
      <c r="D46" s="2"/>
    </row>
    <row r="47">
      <c r="B47" s="2"/>
      <c r="C47" s="2"/>
      <c r="D47" s="2"/>
    </row>
    <row r="48">
      <c r="B48" s="2"/>
      <c r="C48" s="2"/>
      <c r="D48" s="2"/>
    </row>
    <row r="49">
      <c r="B49" s="2"/>
      <c r="C49" s="2"/>
      <c r="D49" s="2"/>
    </row>
    <row r="50">
      <c r="B50" s="2"/>
      <c r="C50" s="2"/>
      <c r="D50" s="2"/>
    </row>
    <row r="51">
      <c r="B51" s="2"/>
      <c r="C51" s="2"/>
      <c r="D51" s="2"/>
    </row>
    <row r="52">
      <c r="B52" s="2"/>
      <c r="C52" s="2"/>
      <c r="D52" s="2"/>
    </row>
    <row r="53">
      <c r="B53" s="2"/>
      <c r="C53" s="2"/>
      <c r="D53" s="2"/>
    </row>
    <row r="54">
      <c r="B54" s="2"/>
      <c r="C54" s="2"/>
      <c r="D54" s="2"/>
    </row>
    <row r="55">
      <c r="B55" s="2"/>
      <c r="C55" s="2"/>
      <c r="D55" s="2"/>
    </row>
    <row r="56">
      <c r="B56" s="2"/>
      <c r="C56" s="2"/>
      <c r="D56" s="2"/>
    </row>
    <row r="57">
      <c r="B57" s="2"/>
      <c r="C57" s="2"/>
      <c r="D57" s="2"/>
    </row>
    <row r="58">
      <c r="B58" s="2"/>
      <c r="C58" s="2"/>
      <c r="D58" s="2"/>
    </row>
    <row r="59">
      <c r="B59" s="2"/>
      <c r="C59" s="2"/>
      <c r="D59" s="2"/>
    </row>
    <row r="60">
      <c r="B60" s="2"/>
      <c r="C60" s="2"/>
      <c r="D60" s="2"/>
    </row>
    <row r="61">
      <c r="B61" s="2"/>
      <c r="C61" s="2"/>
      <c r="D61" s="2"/>
    </row>
    <row r="62">
      <c r="B62" s="2"/>
      <c r="C62" s="2"/>
      <c r="D62" s="2"/>
    </row>
    <row r="63">
      <c r="B63" s="2"/>
      <c r="C63" s="2"/>
      <c r="D63" s="2"/>
    </row>
    <row r="64">
      <c r="B64" s="2"/>
      <c r="C64" s="2"/>
      <c r="D64" s="2"/>
    </row>
    <row r="65">
      <c r="B65" s="2"/>
      <c r="C65" s="2"/>
      <c r="D65" s="2"/>
    </row>
    <row r="66">
      <c r="B66" s="2"/>
      <c r="C66" s="2"/>
      <c r="D66" s="2"/>
    </row>
    <row r="67">
      <c r="B67" s="2"/>
      <c r="C67" s="2"/>
      <c r="D67" s="2"/>
    </row>
    <row r="68">
      <c r="B68" s="2"/>
      <c r="C68" s="2"/>
      <c r="D68" s="2"/>
    </row>
    <row r="69">
      <c r="B69" s="2"/>
      <c r="C69" s="2"/>
      <c r="D69" s="2"/>
    </row>
    <row r="70">
      <c r="B70" s="2"/>
      <c r="C70" s="2"/>
      <c r="D70" s="2"/>
    </row>
    <row r="71">
      <c r="B71" s="2"/>
      <c r="C71" s="2"/>
      <c r="D71" s="2"/>
    </row>
    <row r="72">
      <c r="B72" s="2"/>
      <c r="C72" s="2"/>
      <c r="D72" s="2"/>
    </row>
    <row r="73">
      <c r="B73" s="2"/>
      <c r="C73" s="2"/>
      <c r="D73" s="2"/>
    </row>
    <row r="74">
      <c r="B74" s="2"/>
      <c r="C74" s="2"/>
      <c r="D74" s="2"/>
    </row>
    <row r="75">
      <c r="B75" s="2"/>
      <c r="C75" s="2"/>
      <c r="D75" s="2"/>
    </row>
    <row r="76">
      <c r="B76" s="2"/>
      <c r="C76" s="2"/>
      <c r="D76" s="2"/>
    </row>
    <row r="77">
      <c r="B77" s="2"/>
      <c r="C77" s="2"/>
      <c r="D77" s="2"/>
    </row>
    <row r="78">
      <c r="B78" s="2"/>
      <c r="C78" s="2"/>
      <c r="D78" s="2"/>
    </row>
    <row r="79">
      <c r="B79" s="2"/>
      <c r="C79" s="2"/>
      <c r="D79" s="2"/>
    </row>
    <row r="80">
      <c r="B80" s="2"/>
      <c r="C80" s="2"/>
      <c r="D80" s="2"/>
    </row>
    <row r="81">
      <c r="B81" s="2"/>
      <c r="C81" s="2"/>
      <c r="D81" s="2"/>
    </row>
    <row r="82">
      <c r="B82" s="2"/>
      <c r="C82" s="2"/>
      <c r="D82" s="2"/>
    </row>
    <row r="83">
      <c r="B83" s="2"/>
      <c r="C83" s="2"/>
      <c r="D83" s="2"/>
    </row>
    <row r="84">
      <c r="B84" s="2"/>
      <c r="C84" s="2"/>
      <c r="D84" s="2"/>
    </row>
    <row r="85">
      <c r="B85" s="2"/>
      <c r="C85" s="2"/>
      <c r="D85" s="2"/>
    </row>
    <row r="86">
      <c r="B86" s="2"/>
      <c r="C86" s="2"/>
      <c r="D86" s="2"/>
    </row>
    <row r="87">
      <c r="B87" s="2"/>
      <c r="C87" s="2"/>
      <c r="D87" s="2"/>
    </row>
    <row r="88">
      <c r="B88" s="2"/>
      <c r="C88" s="2"/>
      <c r="D88" s="2"/>
    </row>
    <row r="89">
      <c r="B89" s="2"/>
      <c r="C89" s="2"/>
      <c r="D89" s="2"/>
    </row>
    <row r="90">
      <c r="B90" s="2"/>
      <c r="C90" s="2"/>
      <c r="D90" s="2"/>
    </row>
    <row r="91">
      <c r="B91" s="2"/>
      <c r="C91" s="2"/>
      <c r="D91" s="2"/>
    </row>
    <row r="92">
      <c r="B92" s="2"/>
      <c r="C92" s="2"/>
      <c r="D92" s="2"/>
    </row>
    <row r="93">
      <c r="B93" s="2"/>
      <c r="C93" s="2"/>
      <c r="D93" s="2"/>
    </row>
    <row r="94">
      <c r="B94" s="2"/>
      <c r="C94" s="2"/>
      <c r="D94" s="2"/>
    </row>
    <row r="95">
      <c r="B95" s="2"/>
      <c r="C95" s="2"/>
      <c r="D95" s="2"/>
    </row>
    <row r="96">
      <c r="B96" s="2"/>
      <c r="C96" s="2"/>
      <c r="D96" s="2"/>
    </row>
    <row r="97">
      <c r="B97" s="2"/>
      <c r="C97" s="2"/>
      <c r="D97" s="2"/>
    </row>
    <row r="98">
      <c r="B98" s="2"/>
      <c r="C98" s="2"/>
      <c r="D98" s="2"/>
    </row>
    <row r="99">
      <c r="B99" s="2"/>
      <c r="C99" s="2"/>
      <c r="D99" s="2"/>
    </row>
    <row r="100">
      <c r="B100" s="2"/>
      <c r="C100" s="2"/>
      <c r="D100" s="2"/>
    </row>
    <row r="101">
      <c r="B101" s="2"/>
      <c r="C101" s="2"/>
      <c r="D101" s="2"/>
    </row>
    <row r="102">
      <c r="B102" s="2"/>
      <c r="C102" s="2"/>
      <c r="D102" s="2"/>
    </row>
    <row r="103">
      <c r="B103" s="2"/>
      <c r="C103" s="2"/>
      <c r="D103" s="2"/>
    </row>
    <row r="104">
      <c r="B104" s="2"/>
      <c r="C104" s="2"/>
      <c r="D104" s="2"/>
    </row>
    <row r="105">
      <c r="B105" s="2"/>
      <c r="C105" s="2"/>
      <c r="D105" s="2"/>
    </row>
    <row r="106">
      <c r="B106" s="2"/>
      <c r="C106" s="2"/>
      <c r="D106" s="2"/>
    </row>
    <row r="107">
      <c r="B107" s="2"/>
      <c r="C107" s="2"/>
      <c r="D107" s="2"/>
    </row>
    <row r="108">
      <c r="B108" s="2"/>
      <c r="C108" s="2"/>
      <c r="D108" s="2"/>
    </row>
    <row r="109">
      <c r="B109" s="2"/>
      <c r="C109" s="2"/>
      <c r="D109" s="2"/>
    </row>
    <row r="110">
      <c r="B110" s="2"/>
      <c r="C110" s="2"/>
      <c r="D110" s="2"/>
    </row>
    <row r="111">
      <c r="B111" s="2"/>
      <c r="C111" s="2"/>
      <c r="D111" s="2"/>
    </row>
    <row r="112">
      <c r="B112" s="2"/>
      <c r="C112" s="2"/>
      <c r="D112" s="2"/>
    </row>
    <row r="113">
      <c r="B113" s="2"/>
      <c r="C113" s="2"/>
      <c r="D113" s="2"/>
    </row>
    <row r="114">
      <c r="B114" s="2"/>
      <c r="C114" s="2"/>
      <c r="D114" s="2"/>
    </row>
    <row r="115">
      <c r="B115" s="2"/>
      <c r="C115" s="2"/>
      <c r="D115" s="2"/>
    </row>
    <row r="116">
      <c r="B116" s="2"/>
      <c r="C116" s="2"/>
      <c r="D116" s="2"/>
    </row>
    <row r="117">
      <c r="B117" s="2"/>
      <c r="C117" s="2"/>
      <c r="D117" s="2"/>
    </row>
    <row r="118">
      <c r="B118" s="2"/>
      <c r="C118" s="2"/>
      <c r="D118" s="2"/>
    </row>
    <row r="119">
      <c r="B119" s="2"/>
      <c r="C119" s="2"/>
      <c r="D119" s="2"/>
    </row>
    <row r="120">
      <c r="B120" s="2"/>
      <c r="C120" s="2"/>
      <c r="D120" s="2"/>
    </row>
    <row r="121">
      <c r="B121" s="2"/>
      <c r="C121" s="2"/>
      <c r="D121" s="2"/>
    </row>
    <row r="122">
      <c r="B122" s="2"/>
      <c r="C122" s="2"/>
      <c r="D122" s="2"/>
    </row>
    <row r="123">
      <c r="B123" s="2"/>
      <c r="C123" s="2"/>
      <c r="D123" s="2"/>
    </row>
    <row r="124">
      <c r="B124" s="2"/>
      <c r="C124" s="2"/>
      <c r="D124" s="2"/>
    </row>
    <row r="125">
      <c r="B125" s="2"/>
      <c r="C125" s="2"/>
      <c r="D125" s="2"/>
    </row>
    <row r="126">
      <c r="B126" s="2"/>
      <c r="C126" s="2"/>
      <c r="D126" s="2"/>
    </row>
    <row r="127">
      <c r="B127" s="2"/>
      <c r="C127" s="2"/>
      <c r="D127" s="2"/>
    </row>
    <row r="128">
      <c r="B128" s="2"/>
      <c r="C128" s="2"/>
      <c r="D128" s="2"/>
    </row>
    <row r="129">
      <c r="B129" s="2"/>
      <c r="C129" s="2"/>
      <c r="D129" s="2"/>
    </row>
    <row r="130">
      <c r="B130" s="2"/>
      <c r="C130" s="2"/>
      <c r="D130" s="2"/>
    </row>
    <row r="131">
      <c r="B131" s="2"/>
      <c r="C131" s="2"/>
      <c r="D131" s="2"/>
    </row>
    <row r="132">
      <c r="B132" s="2"/>
      <c r="C132" s="2"/>
      <c r="D132" s="2"/>
    </row>
    <row r="133">
      <c r="B133" s="2"/>
      <c r="C133" s="2"/>
      <c r="D133" s="2"/>
    </row>
    <row r="134">
      <c r="B134" s="2"/>
      <c r="C134" s="2"/>
      <c r="D134" s="2"/>
    </row>
    <row r="135">
      <c r="B135" s="2"/>
      <c r="C135" s="2"/>
      <c r="D135" s="2"/>
    </row>
    <row r="136">
      <c r="B136" s="2"/>
      <c r="C136" s="2"/>
      <c r="D136" s="2"/>
    </row>
    <row r="137">
      <c r="B137" s="2"/>
      <c r="C137" s="2"/>
      <c r="D137" s="2"/>
    </row>
    <row r="138">
      <c r="B138" s="2"/>
      <c r="C138" s="2"/>
      <c r="D138" s="2"/>
    </row>
    <row r="139">
      <c r="B139" s="2"/>
      <c r="C139" s="2"/>
      <c r="D139" s="2"/>
    </row>
    <row r="140">
      <c r="B140" s="2"/>
      <c r="C140" s="2"/>
      <c r="D140" s="2"/>
    </row>
    <row r="141">
      <c r="B141" s="2"/>
      <c r="C141" s="2"/>
      <c r="D141" s="2"/>
    </row>
    <row r="142">
      <c r="B142" s="2"/>
      <c r="C142" s="2"/>
      <c r="D142" s="2"/>
    </row>
    <row r="143">
      <c r="B143" s="2"/>
      <c r="C143" s="2"/>
      <c r="D143" s="2"/>
    </row>
    <row r="144">
      <c r="B144" s="2"/>
      <c r="C144" s="2"/>
      <c r="D144" s="2"/>
    </row>
    <row r="145">
      <c r="B145" s="2"/>
      <c r="C145" s="2"/>
      <c r="D145" s="2"/>
    </row>
    <row r="146">
      <c r="B146" s="2"/>
      <c r="C146" s="2"/>
      <c r="D146" s="2"/>
    </row>
    <row r="147">
      <c r="B147" s="2"/>
      <c r="C147" s="2"/>
      <c r="D147" s="2"/>
    </row>
    <row r="148">
      <c r="B148" s="2"/>
      <c r="C148" s="2"/>
      <c r="D148" s="2"/>
    </row>
    <row r="149">
      <c r="B149" s="2"/>
      <c r="C149" s="2"/>
      <c r="D149" s="2"/>
    </row>
    <row r="150">
      <c r="B150" s="2"/>
      <c r="C150" s="2"/>
      <c r="D150" s="2"/>
    </row>
    <row r="151">
      <c r="B151" s="2"/>
      <c r="C151" s="2"/>
      <c r="D151" s="2"/>
    </row>
    <row r="152">
      <c r="B152" s="2"/>
      <c r="C152" s="2"/>
      <c r="D152" s="2"/>
    </row>
    <row r="153">
      <c r="B153" s="2"/>
      <c r="C153" s="2"/>
      <c r="D153" s="2"/>
    </row>
    <row r="154">
      <c r="B154" s="2"/>
      <c r="C154" s="2"/>
      <c r="D154" s="2"/>
    </row>
    <row r="155">
      <c r="B155" s="2"/>
      <c r="C155" s="2"/>
      <c r="D155" s="2"/>
    </row>
    <row r="156">
      <c r="B156" s="2"/>
      <c r="C156" s="2"/>
      <c r="D156" s="2"/>
    </row>
    <row r="157">
      <c r="B157" s="2"/>
      <c r="C157" s="2"/>
      <c r="D157" s="2"/>
    </row>
    <row r="158">
      <c r="B158" s="2"/>
      <c r="C158" s="2"/>
      <c r="D158" s="2"/>
    </row>
    <row r="159">
      <c r="B159" s="2"/>
      <c r="C159" s="2"/>
      <c r="D159" s="2"/>
    </row>
    <row r="160">
      <c r="B160" s="2"/>
      <c r="C160" s="2"/>
      <c r="D160" s="2"/>
    </row>
    <row r="161">
      <c r="B161" s="2"/>
      <c r="C161" s="2"/>
      <c r="D161" s="2"/>
    </row>
    <row r="162">
      <c r="B162" s="2"/>
      <c r="C162" s="2"/>
      <c r="D162" s="2"/>
    </row>
    <row r="163">
      <c r="B163" s="2"/>
      <c r="C163" s="2"/>
      <c r="D163" s="2"/>
    </row>
    <row r="164">
      <c r="B164" s="2"/>
      <c r="C164" s="2"/>
      <c r="D164" s="2"/>
    </row>
    <row r="165">
      <c r="B165" s="2"/>
      <c r="C165" s="2"/>
      <c r="D165" s="2"/>
    </row>
    <row r="166">
      <c r="B166" s="2"/>
      <c r="C166" s="2"/>
      <c r="D166" s="2"/>
    </row>
    <row r="167">
      <c r="B167" s="2"/>
      <c r="C167" s="2"/>
      <c r="D167" s="2"/>
    </row>
    <row r="168">
      <c r="B168" s="2"/>
      <c r="C168" s="2"/>
      <c r="D168" s="2"/>
    </row>
    <row r="169">
      <c r="B169" s="2"/>
      <c r="C169" s="2"/>
      <c r="D169" s="2"/>
    </row>
    <row r="170">
      <c r="B170" s="2"/>
      <c r="C170" s="2"/>
      <c r="D170" s="2"/>
    </row>
    <row r="171">
      <c r="B171" s="2"/>
      <c r="C171" s="2"/>
      <c r="D171" s="2"/>
    </row>
    <row r="172">
      <c r="B172" s="2"/>
      <c r="C172" s="2"/>
      <c r="D172" s="2"/>
    </row>
    <row r="173">
      <c r="B173" s="2"/>
      <c r="C173" s="2"/>
      <c r="D173" s="2"/>
    </row>
    <row r="174">
      <c r="B174" s="2"/>
      <c r="C174" s="2"/>
      <c r="D174" s="2"/>
    </row>
    <row r="175">
      <c r="B175" s="2"/>
      <c r="C175" s="2"/>
      <c r="D175" s="2"/>
    </row>
    <row r="176">
      <c r="B176" s="2"/>
      <c r="C176" s="2"/>
      <c r="D176" s="2"/>
    </row>
    <row r="177">
      <c r="B177" s="2"/>
      <c r="C177" s="2"/>
      <c r="D177" s="2"/>
    </row>
    <row r="178">
      <c r="B178" s="2"/>
      <c r="C178" s="2"/>
      <c r="D178" s="2"/>
    </row>
    <row r="179">
      <c r="B179" s="2"/>
      <c r="C179" s="2"/>
      <c r="D179" s="2"/>
    </row>
    <row r="180">
      <c r="B180" s="2"/>
      <c r="C180" s="2"/>
      <c r="D180" s="2"/>
    </row>
    <row r="181">
      <c r="B181" s="2"/>
      <c r="C181" s="2"/>
      <c r="D181" s="2"/>
    </row>
    <row r="182">
      <c r="B182" s="2"/>
      <c r="C182" s="2"/>
      <c r="D182" s="2"/>
    </row>
    <row r="183">
      <c r="B183" s="2"/>
      <c r="C183" s="2"/>
      <c r="D183" s="2"/>
    </row>
    <row r="184">
      <c r="B184" s="2"/>
      <c r="C184" s="2"/>
      <c r="D184" s="2"/>
    </row>
    <row r="185">
      <c r="B185" s="2"/>
      <c r="C185" s="2"/>
      <c r="D185" s="2"/>
    </row>
    <row r="186">
      <c r="B186" s="2"/>
      <c r="C186" s="2"/>
      <c r="D186" s="2"/>
    </row>
    <row r="187">
      <c r="B187" s="2"/>
      <c r="C187" s="2"/>
      <c r="D187" s="2"/>
    </row>
    <row r="188">
      <c r="B188" s="2"/>
      <c r="C188" s="2"/>
      <c r="D188" s="2"/>
    </row>
    <row r="189">
      <c r="B189" s="2"/>
      <c r="C189" s="2"/>
      <c r="D189" s="2"/>
    </row>
    <row r="190">
      <c r="B190" s="2"/>
      <c r="C190" s="2"/>
      <c r="D190" s="2"/>
    </row>
    <row r="191">
      <c r="B191" s="2"/>
      <c r="C191" s="2"/>
      <c r="D191" s="2"/>
    </row>
    <row r="192">
      <c r="B192" s="2"/>
      <c r="C192" s="2"/>
      <c r="D192" s="2"/>
    </row>
    <row r="193">
      <c r="B193" s="2"/>
      <c r="C193" s="2"/>
      <c r="D193" s="2"/>
    </row>
    <row r="194">
      <c r="B194" s="2"/>
      <c r="C194" s="2"/>
      <c r="D194" s="2"/>
    </row>
    <row r="195">
      <c r="B195" s="2"/>
      <c r="C195" s="2"/>
      <c r="D195" s="2"/>
    </row>
    <row r="196">
      <c r="B196" s="2"/>
      <c r="C196" s="2"/>
      <c r="D196" s="2"/>
    </row>
    <row r="197">
      <c r="B197" s="2"/>
      <c r="C197" s="2"/>
      <c r="D197" s="2"/>
    </row>
    <row r="198">
      <c r="B198" s="2"/>
      <c r="C198" s="2"/>
      <c r="D198" s="2"/>
    </row>
    <row r="199">
      <c r="B199" s="2"/>
      <c r="C199" s="2"/>
      <c r="D199" s="2"/>
    </row>
    <row r="200">
      <c r="B200" s="2"/>
      <c r="C200" s="2"/>
      <c r="D200" s="2"/>
    </row>
    <row r="201">
      <c r="B201" s="2"/>
      <c r="C201" s="2"/>
      <c r="D201" s="2"/>
    </row>
    <row r="202">
      <c r="B202" s="2"/>
      <c r="C202" s="2"/>
      <c r="D202" s="2"/>
    </row>
    <row r="203">
      <c r="B203" s="2"/>
      <c r="C203" s="2"/>
      <c r="D203" s="2"/>
    </row>
    <row r="204">
      <c r="B204" s="2"/>
      <c r="C204" s="2"/>
      <c r="D204" s="2"/>
    </row>
    <row r="205">
      <c r="B205" s="2"/>
      <c r="C205" s="2"/>
      <c r="D205" s="2"/>
    </row>
    <row r="206">
      <c r="B206" s="2"/>
      <c r="C206" s="2"/>
      <c r="D206" s="2"/>
    </row>
    <row r="207">
      <c r="B207" s="2"/>
      <c r="C207" s="2"/>
      <c r="D207" s="2"/>
    </row>
    <row r="208">
      <c r="B208" s="2"/>
      <c r="C208" s="2"/>
      <c r="D208" s="2"/>
    </row>
    <row r="209">
      <c r="B209" s="2"/>
      <c r="C209" s="2"/>
      <c r="D209" s="2"/>
    </row>
    <row r="210">
      <c r="B210" s="2"/>
      <c r="C210" s="2"/>
      <c r="D210" s="2"/>
    </row>
    <row r="211">
      <c r="B211" s="2"/>
      <c r="C211" s="2"/>
      <c r="D211" s="2"/>
    </row>
    <row r="212">
      <c r="B212" s="2"/>
      <c r="C212" s="2"/>
      <c r="D212" s="2"/>
    </row>
    <row r="213">
      <c r="B213" s="2"/>
      <c r="C213" s="2"/>
      <c r="D213" s="2"/>
    </row>
    <row r="214">
      <c r="B214" s="2"/>
      <c r="C214" s="2"/>
      <c r="D214" s="2"/>
    </row>
    <row r="215">
      <c r="B215" s="2"/>
      <c r="C215" s="2"/>
      <c r="D215" s="2"/>
    </row>
    <row r="216">
      <c r="B216" s="2"/>
      <c r="C216" s="2"/>
      <c r="D216" s="2"/>
    </row>
    <row r="217">
      <c r="B217" s="2"/>
      <c r="C217" s="2"/>
      <c r="D217" s="2"/>
    </row>
    <row r="218">
      <c r="B218" s="2"/>
      <c r="C218" s="2"/>
      <c r="D218" s="2"/>
    </row>
    <row r="219">
      <c r="B219" s="2"/>
      <c r="C219" s="2"/>
      <c r="D219" s="2"/>
    </row>
    <row r="220">
      <c r="B220" s="2"/>
      <c r="C220" s="2"/>
      <c r="D220" s="2"/>
    </row>
    <row r="221">
      <c r="B221" s="2"/>
      <c r="C221" s="2"/>
      <c r="D221" s="2"/>
    </row>
    <row r="222">
      <c r="B222" s="2"/>
      <c r="C222" s="2"/>
      <c r="D222" s="2"/>
    </row>
    <row r="223">
      <c r="B223" s="2"/>
      <c r="C223" s="2"/>
      <c r="D223" s="2"/>
    </row>
    <row r="224">
      <c r="B224" s="2"/>
      <c r="C224" s="2"/>
      <c r="D224" s="2"/>
    </row>
    <row r="225">
      <c r="B225" s="2"/>
      <c r="C225" s="2"/>
      <c r="D225" s="2"/>
    </row>
    <row r="226">
      <c r="B226" s="2"/>
      <c r="C226" s="2"/>
      <c r="D226" s="2"/>
    </row>
    <row r="227">
      <c r="B227" s="2"/>
      <c r="C227" s="2"/>
      <c r="D227" s="2"/>
    </row>
    <row r="228">
      <c r="B228" s="2"/>
      <c r="C228" s="2"/>
      <c r="D228" s="2"/>
    </row>
    <row r="229">
      <c r="B229" s="2"/>
      <c r="C229" s="2"/>
      <c r="D229" s="2"/>
    </row>
    <row r="230">
      <c r="B230" s="2"/>
      <c r="C230" s="2"/>
      <c r="D230" s="2"/>
    </row>
    <row r="231">
      <c r="B231" s="2"/>
      <c r="C231" s="2"/>
      <c r="D231" s="2"/>
    </row>
    <row r="232">
      <c r="B232" s="2"/>
      <c r="C232" s="2"/>
      <c r="D232" s="2"/>
    </row>
    <row r="233">
      <c r="B233" s="2"/>
      <c r="C233" s="2"/>
      <c r="D233" s="2"/>
    </row>
    <row r="234">
      <c r="B234" s="2"/>
      <c r="C234" s="2"/>
      <c r="D234" s="2"/>
    </row>
    <row r="235">
      <c r="B235" s="2"/>
      <c r="C235" s="2"/>
      <c r="D235" s="2"/>
    </row>
    <row r="236">
      <c r="B236" s="2"/>
      <c r="C236" s="2"/>
      <c r="D236" s="2"/>
    </row>
    <row r="237">
      <c r="B237" s="2"/>
      <c r="C237" s="2"/>
      <c r="D237" s="2"/>
    </row>
    <row r="238">
      <c r="B238" s="2"/>
      <c r="C238" s="2"/>
      <c r="D238" s="2"/>
    </row>
    <row r="239">
      <c r="B239" s="2"/>
      <c r="C239" s="2"/>
      <c r="D239" s="2"/>
    </row>
    <row r="240">
      <c r="B240" s="2"/>
      <c r="C240" s="2"/>
      <c r="D240" s="2"/>
    </row>
    <row r="241">
      <c r="B241" s="2"/>
      <c r="C241" s="2"/>
      <c r="D241" s="2"/>
    </row>
    <row r="242">
      <c r="B242" s="2"/>
      <c r="C242" s="2"/>
      <c r="D242" s="2"/>
    </row>
    <row r="243">
      <c r="B243" s="2"/>
      <c r="C243" s="2"/>
      <c r="D243" s="2"/>
    </row>
    <row r="244">
      <c r="B244" s="2"/>
      <c r="C244" s="2"/>
      <c r="D244" s="2"/>
    </row>
    <row r="245">
      <c r="B245" s="2"/>
      <c r="C245" s="2"/>
      <c r="D245" s="2"/>
    </row>
    <row r="246">
      <c r="B246" s="2"/>
      <c r="C246" s="2"/>
      <c r="D246" s="2"/>
    </row>
    <row r="247">
      <c r="B247" s="2"/>
      <c r="C247" s="2"/>
      <c r="D247" s="2"/>
    </row>
    <row r="248">
      <c r="B248" s="2"/>
      <c r="C248" s="2"/>
      <c r="D248" s="2"/>
    </row>
    <row r="249">
      <c r="B249" s="2"/>
      <c r="C249" s="2"/>
      <c r="D249" s="2"/>
    </row>
    <row r="250">
      <c r="B250" s="2"/>
      <c r="C250" s="2"/>
      <c r="D250" s="2"/>
    </row>
    <row r="251">
      <c r="B251" s="2"/>
      <c r="C251" s="2"/>
      <c r="D251" s="2"/>
    </row>
    <row r="252">
      <c r="B252" s="2"/>
      <c r="C252" s="2"/>
      <c r="D252" s="2"/>
    </row>
    <row r="253">
      <c r="B253" s="2"/>
      <c r="C253" s="2"/>
      <c r="D253" s="2"/>
    </row>
    <row r="254">
      <c r="B254" s="2"/>
      <c r="C254" s="2"/>
      <c r="D254" s="2"/>
    </row>
    <row r="255">
      <c r="B255" s="2"/>
      <c r="C255" s="2"/>
      <c r="D255" s="2"/>
    </row>
    <row r="256">
      <c r="B256" s="2"/>
      <c r="C256" s="2"/>
      <c r="D256" s="2"/>
    </row>
    <row r="257">
      <c r="B257" s="2"/>
      <c r="C257" s="2"/>
      <c r="D257" s="2"/>
    </row>
    <row r="258">
      <c r="B258" s="2"/>
      <c r="C258" s="2"/>
      <c r="D258" s="2"/>
    </row>
    <row r="259">
      <c r="B259" s="2"/>
      <c r="C259" s="2"/>
      <c r="D259" s="2"/>
    </row>
    <row r="260">
      <c r="B260" s="2"/>
      <c r="C260" s="2"/>
      <c r="D260" s="2"/>
    </row>
    <row r="261">
      <c r="B261" s="2"/>
      <c r="C261" s="2"/>
      <c r="D261" s="2"/>
    </row>
    <row r="262">
      <c r="B262" s="2"/>
      <c r="C262" s="2"/>
      <c r="D262" s="2"/>
    </row>
    <row r="263">
      <c r="B263" s="2"/>
      <c r="C263" s="2"/>
      <c r="D263" s="2"/>
    </row>
    <row r="264">
      <c r="B264" s="2"/>
      <c r="C264" s="2"/>
      <c r="D264" s="2"/>
    </row>
    <row r="265">
      <c r="B265" s="2"/>
      <c r="C265" s="2"/>
      <c r="D265" s="2"/>
    </row>
    <row r="266">
      <c r="B266" s="2"/>
      <c r="C266" s="2"/>
      <c r="D266" s="2"/>
    </row>
    <row r="267">
      <c r="B267" s="2"/>
      <c r="C267" s="2"/>
      <c r="D267" s="2"/>
    </row>
    <row r="268">
      <c r="B268" s="2"/>
      <c r="C268" s="2"/>
      <c r="D268" s="2"/>
    </row>
    <row r="269">
      <c r="B269" s="2"/>
      <c r="C269" s="2"/>
      <c r="D269" s="2"/>
    </row>
    <row r="270">
      <c r="B270" s="2"/>
      <c r="C270" s="2"/>
      <c r="D270" s="2"/>
    </row>
    <row r="271">
      <c r="B271" s="2"/>
      <c r="C271" s="2"/>
      <c r="D271" s="2"/>
    </row>
    <row r="272">
      <c r="B272" s="2"/>
      <c r="C272" s="2"/>
      <c r="D272" s="2"/>
    </row>
    <row r="273">
      <c r="B273" s="2"/>
      <c r="C273" s="2"/>
      <c r="D273" s="2"/>
    </row>
    <row r="274">
      <c r="B274" s="2"/>
      <c r="C274" s="2"/>
      <c r="D274" s="2"/>
    </row>
    <row r="275">
      <c r="B275" s="2"/>
      <c r="C275" s="2"/>
      <c r="D275" s="2"/>
    </row>
    <row r="276">
      <c r="B276" s="2"/>
      <c r="C276" s="2"/>
      <c r="D276" s="2"/>
    </row>
    <row r="277">
      <c r="B277" s="2"/>
      <c r="C277" s="2"/>
      <c r="D277" s="2"/>
    </row>
    <row r="278">
      <c r="B278" s="2"/>
      <c r="C278" s="2"/>
      <c r="D278" s="2"/>
    </row>
    <row r="279">
      <c r="B279" s="2"/>
      <c r="C279" s="2"/>
      <c r="D279" s="2"/>
    </row>
    <row r="280">
      <c r="B280" s="2"/>
      <c r="C280" s="2"/>
      <c r="D280" s="2"/>
    </row>
    <row r="281">
      <c r="B281" s="2"/>
      <c r="C281" s="2"/>
      <c r="D281" s="2"/>
    </row>
    <row r="282">
      <c r="B282" s="2"/>
      <c r="C282" s="2"/>
      <c r="D282" s="2"/>
    </row>
    <row r="283">
      <c r="B283" s="2"/>
      <c r="C283" s="2"/>
      <c r="D283" s="2"/>
    </row>
    <row r="284">
      <c r="B284" s="2"/>
      <c r="C284" s="2"/>
      <c r="D284" s="2"/>
    </row>
    <row r="285">
      <c r="B285" s="2"/>
      <c r="C285" s="2"/>
      <c r="D285" s="2"/>
    </row>
    <row r="286">
      <c r="B286" s="2"/>
      <c r="C286" s="2"/>
      <c r="D286" s="2"/>
    </row>
    <row r="287">
      <c r="B287" s="2"/>
      <c r="C287" s="2"/>
      <c r="D287" s="2"/>
    </row>
    <row r="288">
      <c r="B288" s="2"/>
      <c r="C288" s="2"/>
      <c r="D288" s="2"/>
    </row>
    <row r="289">
      <c r="B289" s="2"/>
      <c r="C289" s="2"/>
      <c r="D289" s="2"/>
    </row>
    <row r="290">
      <c r="B290" s="2"/>
      <c r="C290" s="2"/>
      <c r="D290" s="2"/>
    </row>
    <row r="291">
      <c r="B291" s="2"/>
      <c r="C291" s="2"/>
      <c r="D291" s="2"/>
    </row>
    <row r="292">
      <c r="B292" s="2"/>
      <c r="C292" s="2"/>
      <c r="D292" s="2"/>
    </row>
    <row r="293">
      <c r="B293" s="2"/>
      <c r="C293" s="2"/>
      <c r="D293" s="2"/>
    </row>
    <row r="294">
      <c r="B294" s="2"/>
      <c r="C294" s="2"/>
      <c r="D294" s="2"/>
    </row>
    <row r="295">
      <c r="B295" s="2"/>
      <c r="C295" s="2"/>
      <c r="D295" s="2"/>
    </row>
    <row r="296">
      <c r="B296" s="2"/>
      <c r="C296" s="2"/>
      <c r="D296" s="2"/>
    </row>
    <row r="297">
      <c r="B297" s="2"/>
      <c r="C297" s="2"/>
      <c r="D297" s="2"/>
    </row>
    <row r="298">
      <c r="B298" s="2"/>
      <c r="C298" s="2"/>
      <c r="D298" s="2"/>
    </row>
    <row r="299">
      <c r="B299" s="2"/>
      <c r="C299" s="2"/>
      <c r="D299" s="2"/>
    </row>
    <row r="300">
      <c r="B300" s="2"/>
      <c r="C300" s="2"/>
      <c r="D300" s="2"/>
    </row>
    <row r="301">
      <c r="B301" s="2"/>
      <c r="C301" s="2"/>
      <c r="D301" s="2"/>
    </row>
    <row r="302">
      <c r="B302" s="2"/>
      <c r="C302" s="2"/>
      <c r="D302" s="2"/>
    </row>
    <row r="303">
      <c r="B303" s="2"/>
      <c r="C303" s="2"/>
      <c r="D303" s="2"/>
    </row>
    <row r="304">
      <c r="B304" s="2"/>
      <c r="C304" s="2"/>
      <c r="D304" s="2"/>
    </row>
    <row r="305">
      <c r="B305" s="2"/>
      <c r="C305" s="2"/>
      <c r="D305" s="2"/>
    </row>
    <row r="306">
      <c r="B306" s="2"/>
      <c r="C306" s="2"/>
      <c r="D306" s="2"/>
    </row>
    <row r="307">
      <c r="B307" s="2"/>
      <c r="C307" s="2"/>
      <c r="D307" s="2"/>
    </row>
    <row r="308">
      <c r="B308" s="2"/>
      <c r="C308" s="2"/>
      <c r="D308" s="2"/>
    </row>
    <row r="309">
      <c r="B309" s="2"/>
      <c r="C309" s="2"/>
      <c r="D309" s="2"/>
    </row>
    <row r="310">
      <c r="B310" s="2"/>
      <c r="C310" s="2"/>
      <c r="D310" s="2"/>
    </row>
    <row r="311">
      <c r="B311" s="2"/>
      <c r="C311" s="2"/>
      <c r="D311" s="2"/>
    </row>
    <row r="312">
      <c r="B312" s="2"/>
      <c r="C312" s="2"/>
      <c r="D312" s="2"/>
    </row>
    <row r="313">
      <c r="B313" s="2"/>
      <c r="C313" s="2"/>
      <c r="D313" s="2"/>
    </row>
    <row r="314">
      <c r="B314" s="2"/>
      <c r="C314" s="2"/>
      <c r="D314" s="2"/>
    </row>
    <row r="315">
      <c r="B315" s="2"/>
      <c r="C315" s="2"/>
      <c r="D315" s="2"/>
    </row>
    <row r="316">
      <c r="B316" s="2"/>
      <c r="C316" s="2"/>
      <c r="D316" s="2"/>
    </row>
    <row r="317">
      <c r="B317" s="2"/>
      <c r="C317" s="2"/>
      <c r="D317" s="2"/>
    </row>
    <row r="318">
      <c r="B318" s="2"/>
      <c r="C318" s="2"/>
      <c r="D318" s="2"/>
    </row>
    <row r="319">
      <c r="B319" s="2"/>
      <c r="C319" s="2"/>
      <c r="D319" s="2"/>
    </row>
    <row r="320">
      <c r="B320" s="2"/>
      <c r="C320" s="2"/>
      <c r="D320" s="2"/>
    </row>
    <row r="321">
      <c r="B321" s="2"/>
      <c r="C321" s="2"/>
      <c r="D321" s="2"/>
    </row>
    <row r="322">
      <c r="B322" s="2"/>
      <c r="C322" s="2"/>
      <c r="D322" s="2"/>
    </row>
    <row r="323">
      <c r="B323" s="2"/>
      <c r="C323" s="2"/>
      <c r="D323" s="2"/>
    </row>
    <row r="324">
      <c r="B324" s="2"/>
      <c r="C324" s="2"/>
      <c r="D324" s="2"/>
    </row>
    <row r="325">
      <c r="B325" s="2"/>
      <c r="C325" s="2"/>
      <c r="D325" s="2"/>
    </row>
    <row r="326">
      <c r="B326" s="2"/>
      <c r="C326" s="2"/>
      <c r="D326" s="2"/>
    </row>
    <row r="327">
      <c r="B327" s="2"/>
      <c r="C327" s="2"/>
      <c r="D327" s="2"/>
    </row>
    <row r="328">
      <c r="B328" s="2"/>
      <c r="C328" s="2"/>
      <c r="D328" s="2"/>
    </row>
    <row r="329">
      <c r="B329" s="2"/>
      <c r="C329" s="2"/>
      <c r="D329" s="2"/>
    </row>
    <row r="330">
      <c r="B330" s="2"/>
      <c r="C330" s="2"/>
      <c r="D330" s="2"/>
    </row>
    <row r="331">
      <c r="B331" s="2"/>
      <c r="C331" s="2"/>
      <c r="D331" s="2"/>
    </row>
    <row r="332">
      <c r="B332" s="2"/>
      <c r="C332" s="2"/>
      <c r="D332" s="2"/>
    </row>
    <row r="333">
      <c r="B333" s="2"/>
      <c r="C333" s="2"/>
      <c r="D333" s="2"/>
    </row>
    <row r="334">
      <c r="B334" s="2"/>
      <c r="C334" s="2"/>
      <c r="D334" s="2"/>
    </row>
    <row r="335">
      <c r="B335" s="2"/>
      <c r="C335" s="2"/>
      <c r="D335" s="2"/>
    </row>
    <row r="336">
      <c r="B336" s="2"/>
      <c r="C336" s="2"/>
      <c r="D336" s="2"/>
    </row>
    <row r="337">
      <c r="B337" s="2"/>
      <c r="C337" s="2"/>
      <c r="D337" s="2"/>
    </row>
    <row r="338">
      <c r="B338" s="2"/>
      <c r="C338" s="2"/>
      <c r="D338" s="2"/>
    </row>
    <row r="339">
      <c r="B339" s="2"/>
      <c r="C339" s="2"/>
      <c r="D339" s="2"/>
    </row>
    <row r="340">
      <c r="B340" s="2"/>
      <c r="C340" s="2"/>
      <c r="D340" s="2"/>
    </row>
    <row r="341">
      <c r="B341" s="2"/>
      <c r="C341" s="2"/>
      <c r="D341" s="2"/>
    </row>
    <row r="342">
      <c r="B342" s="2"/>
      <c r="C342" s="2"/>
      <c r="D342" s="2"/>
    </row>
    <row r="343">
      <c r="B343" s="2"/>
      <c r="C343" s="2"/>
      <c r="D343" s="2"/>
    </row>
    <row r="344">
      <c r="B344" s="2"/>
      <c r="C344" s="2"/>
      <c r="D344" s="2"/>
    </row>
    <row r="345">
      <c r="B345" s="2"/>
      <c r="C345" s="2"/>
      <c r="D345" s="2"/>
    </row>
    <row r="346">
      <c r="B346" s="2"/>
      <c r="C346" s="2"/>
      <c r="D346" s="2"/>
    </row>
    <row r="347">
      <c r="B347" s="2"/>
      <c r="C347" s="2"/>
      <c r="D347" s="2"/>
    </row>
    <row r="348">
      <c r="B348" s="2"/>
      <c r="C348" s="2"/>
      <c r="D348" s="2"/>
    </row>
    <row r="349">
      <c r="B349" s="2"/>
      <c r="C349" s="2"/>
      <c r="D349" s="2"/>
    </row>
    <row r="350">
      <c r="B350" s="2"/>
      <c r="C350" s="2"/>
      <c r="D350" s="2"/>
    </row>
    <row r="351">
      <c r="B351" s="2"/>
      <c r="C351" s="2"/>
      <c r="D351" s="2"/>
    </row>
    <row r="352">
      <c r="B352" s="2"/>
      <c r="C352" s="2"/>
      <c r="D352" s="2"/>
    </row>
    <row r="353">
      <c r="B353" s="2"/>
      <c r="C353" s="2"/>
      <c r="D353" s="2"/>
    </row>
    <row r="354">
      <c r="B354" s="2"/>
      <c r="C354" s="2"/>
      <c r="D354" s="2"/>
    </row>
    <row r="355">
      <c r="B355" s="2"/>
      <c r="C355" s="2"/>
      <c r="D355" s="2"/>
    </row>
    <row r="356">
      <c r="B356" s="2"/>
      <c r="C356" s="2"/>
      <c r="D356" s="2"/>
    </row>
    <row r="357">
      <c r="B357" s="2"/>
      <c r="C357" s="2"/>
      <c r="D357" s="2"/>
    </row>
    <row r="358">
      <c r="B358" s="2"/>
      <c r="C358" s="2"/>
      <c r="D358" s="2"/>
    </row>
    <row r="359">
      <c r="B359" s="2"/>
      <c r="C359" s="2"/>
      <c r="D359" s="2"/>
    </row>
    <row r="360">
      <c r="B360" s="2"/>
      <c r="C360" s="2"/>
      <c r="D360" s="2"/>
    </row>
    <row r="361">
      <c r="B361" s="2"/>
      <c r="C361" s="2"/>
      <c r="D361" s="2"/>
    </row>
    <row r="362">
      <c r="B362" s="2"/>
      <c r="C362" s="2"/>
      <c r="D362" s="2"/>
    </row>
    <row r="363">
      <c r="B363" s="2"/>
      <c r="C363" s="2"/>
      <c r="D363" s="2"/>
    </row>
    <row r="364">
      <c r="B364" s="2"/>
      <c r="C364" s="2"/>
      <c r="D364" s="2"/>
    </row>
    <row r="365">
      <c r="B365" s="2"/>
      <c r="C365" s="2"/>
      <c r="D365" s="2"/>
    </row>
    <row r="366">
      <c r="B366" s="2"/>
      <c r="C366" s="2"/>
      <c r="D366" s="2"/>
    </row>
    <row r="367">
      <c r="B367" s="2"/>
      <c r="C367" s="2"/>
      <c r="D367" s="2"/>
    </row>
    <row r="368">
      <c r="B368" s="2"/>
      <c r="C368" s="2"/>
      <c r="D368" s="2"/>
    </row>
    <row r="369">
      <c r="B369" s="2"/>
      <c r="C369" s="2"/>
      <c r="D369" s="2"/>
    </row>
    <row r="370">
      <c r="B370" s="2"/>
      <c r="C370" s="2"/>
      <c r="D370" s="2"/>
    </row>
    <row r="371">
      <c r="B371" s="2"/>
      <c r="C371" s="2"/>
      <c r="D371" s="2"/>
    </row>
    <row r="372">
      <c r="B372" s="2"/>
      <c r="C372" s="2"/>
      <c r="D372" s="2"/>
    </row>
    <row r="373">
      <c r="B373" s="2"/>
      <c r="C373" s="2"/>
      <c r="D373" s="2"/>
    </row>
    <row r="374">
      <c r="B374" s="2"/>
      <c r="C374" s="2"/>
      <c r="D374" s="2"/>
    </row>
    <row r="375">
      <c r="B375" s="2"/>
      <c r="C375" s="2"/>
      <c r="D375" s="2"/>
    </row>
    <row r="376">
      <c r="B376" s="2"/>
      <c r="C376" s="2"/>
      <c r="D376" s="2"/>
    </row>
    <row r="377">
      <c r="B377" s="2"/>
      <c r="C377" s="2"/>
      <c r="D377" s="2"/>
    </row>
    <row r="378">
      <c r="B378" s="2"/>
      <c r="C378" s="2"/>
      <c r="D378" s="2"/>
    </row>
    <row r="379">
      <c r="B379" s="2"/>
      <c r="C379" s="2"/>
      <c r="D379" s="2"/>
    </row>
    <row r="380">
      <c r="B380" s="2"/>
      <c r="C380" s="2"/>
      <c r="D380" s="2"/>
    </row>
    <row r="381">
      <c r="B381" s="2"/>
      <c r="C381" s="2"/>
      <c r="D381" s="2"/>
    </row>
    <row r="382">
      <c r="B382" s="2"/>
      <c r="C382" s="2"/>
      <c r="D382" s="2"/>
    </row>
    <row r="383">
      <c r="B383" s="2"/>
      <c r="C383" s="2"/>
      <c r="D383" s="2"/>
    </row>
    <row r="384">
      <c r="B384" s="2"/>
      <c r="C384" s="2"/>
      <c r="D384" s="2"/>
    </row>
    <row r="385">
      <c r="B385" s="2"/>
      <c r="C385" s="2"/>
      <c r="D385" s="2"/>
    </row>
    <row r="386">
      <c r="B386" s="2"/>
      <c r="C386" s="2"/>
      <c r="D386" s="2"/>
    </row>
    <row r="387">
      <c r="B387" s="2"/>
      <c r="C387" s="2"/>
      <c r="D387" s="2"/>
    </row>
    <row r="388">
      <c r="B388" s="2"/>
      <c r="C388" s="2"/>
      <c r="D388" s="2"/>
    </row>
    <row r="389">
      <c r="B389" s="2"/>
      <c r="C389" s="2"/>
      <c r="D389" s="2"/>
    </row>
    <row r="390">
      <c r="B390" s="2"/>
      <c r="C390" s="2"/>
      <c r="D390" s="2"/>
    </row>
    <row r="391">
      <c r="B391" s="2"/>
      <c r="C391" s="2"/>
      <c r="D391" s="2"/>
    </row>
    <row r="392">
      <c r="B392" s="2"/>
      <c r="C392" s="2"/>
      <c r="D392" s="2"/>
    </row>
    <row r="393">
      <c r="B393" s="2"/>
      <c r="C393" s="2"/>
      <c r="D393" s="2"/>
    </row>
    <row r="394">
      <c r="B394" s="2"/>
      <c r="C394" s="2"/>
      <c r="D394" s="2"/>
    </row>
    <row r="395">
      <c r="B395" s="2"/>
      <c r="C395" s="2"/>
      <c r="D395" s="2"/>
    </row>
    <row r="396">
      <c r="B396" s="2"/>
      <c r="C396" s="2"/>
      <c r="D396" s="2"/>
    </row>
    <row r="397">
      <c r="B397" s="2"/>
      <c r="C397" s="2"/>
      <c r="D397" s="2"/>
    </row>
    <row r="398">
      <c r="B398" s="2"/>
      <c r="C398" s="2"/>
      <c r="D398" s="2"/>
    </row>
    <row r="399">
      <c r="B399" s="2"/>
      <c r="C399" s="2"/>
      <c r="D399" s="2"/>
    </row>
    <row r="400">
      <c r="B400" s="2"/>
      <c r="C400" s="2"/>
      <c r="D400" s="2"/>
    </row>
    <row r="401">
      <c r="B401" s="2"/>
      <c r="C401" s="2"/>
      <c r="D401" s="2"/>
    </row>
    <row r="402">
      <c r="B402" s="2"/>
      <c r="C402" s="2"/>
      <c r="D402" s="2"/>
    </row>
    <row r="403">
      <c r="B403" s="2"/>
      <c r="C403" s="2"/>
      <c r="D403" s="2"/>
    </row>
    <row r="404">
      <c r="B404" s="2"/>
      <c r="C404" s="2"/>
      <c r="D404" s="2"/>
    </row>
    <row r="405">
      <c r="B405" s="2"/>
      <c r="C405" s="2"/>
      <c r="D405" s="2"/>
    </row>
    <row r="406">
      <c r="B406" s="2"/>
      <c r="C406" s="2"/>
      <c r="D406" s="2"/>
    </row>
    <row r="407">
      <c r="B407" s="2"/>
      <c r="C407" s="2"/>
      <c r="D407" s="2"/>
    </row>
    <row r="408">
      <c r="B408" s="2"/>
      <c r="C408" s="2"/>
      <c r="D408" s="2"/>
    </row>
    <row r="409">
      <c r="B409" s="2"/>
      <c r="C409" s="2"/>
      <c r="D409" s="2"/>
    </row>
    <row r="410">
      <c r="B410" s="2"/>
      <c r="C410" s="2"/>
      <c r="D410" s="2"/>
    </row>
    <row r="411">
      <c r="B411" s="2"/>
      <c r="C411" s="2"/>
      <c r="D411" s="2"/>
    </row>
    <row r="412">
      <c r="B412" s="2"/>
      <c r="C412" s="2"/>
      <c r="D412" s="2"/>
    </row>
    <row r="413">
      <c r="B413" s="2"/>
      <c r="C413" s="2"/>
      <c r="D413" s="2"/>
    </row>
    <row r="414">
      <c r="B414" s="2"/>
      <c r="C414" s="2"/>
      <c r="D414" s="2"/>
    </row>
    <row r="415">
      <c r="B415" s="2"/>
      <c r="C415" s="2"/>
      <c r="D415" s="2"/>
    </row>
    <row r="416">
      <c r="B416" s="2"/>
      <c r="C416" s="2"/>
      <c r="D416" s="2"/>
    </row>
    <row r="417">
      <c r="B417" s="2"/>
      <c r="C417" s="2"/>
      <c r="D417" s="2"/>
    </row>
    <row r="418">
      <c r="B418" s="2"/>
      <c r="C418" s="2"/>
      <c r="D418" s="2"/>
    </row>
    <row r="419">
      <c r="B419" s="2"/>
      <c r="C419" s="2"/>
      <c r="D419" s="2"/>
    </row>
    <row r="420">
      <c r="B420" s="2"/>
      <c r="C420" s="2"/>
      <c r="D420" s="2"/>
    </row>
    <row r="421">
      <c r="B421" s="2"/>
      <c r="C421" s="2"/>
      <c r="D421" s="2"/>
    </row>
    <row r="422">
      <c r="B422" s="2"/>
      <c r="C422" s="2"/>
      <c r="D422" s="2"/>
    </row>
    <row r="423">
      <c r="B423" s="2"/>
      <c r="C423" s="2"/>
      <c r="D423" s="2"/>
    </row>
    <row r="424">
      <c r="B424" s="2"/>
      <c r="C424" s="2"/>
      <c r="D424" s="2"/>
    </row>
    <row r="425">
      <c r="B425" s="2"/>
      <c r="C425" s="2"/>
      <c r="D425" s="2"/>
    </row>
    <row r="426">
      <c r="B426" s="2"/>
      <c r="C426" s="2"/>
      <c r="D426" s="2"/>
    </row>
    <row r="427">
      <c r="B427" s="2"/>
      <c r="C427" s="2"/>
      <c r="D427" s="2"/>
    </row>
    <row r="428">
      <c r="B428" s="2"/>
      <c r="C428" s="2"/>
      <c r="D428" s="2"/>
    </row>
    <row r="429">
      <c r="B429" s="2"/>
      <c r="C429" s="2"/>
      <c r="D429" s="2"/>
    </row>
    <row r="430">
      <c r="B430" s="2"/>
      <c r="C430" s="2"/>
      <c r="D430" s="2"/>
    </row>
    <row r="431">
      <c r="B431" s="2"/>
      <c r="C431" s="2"/>
      <c r="D431" s="2"/>
    </row>
    <row r="432">
      <c r="B432" s="2"/>
      <c r="C432" s="2"/>
      <c r="D432" s="2"/>
    </row>
    <row r="433">
      <c r="B433" s="2"/>
      <c r="C433" s="2"/>
      <c r="D433" s="2"/>
    </row>
    <row r="434">
      <c r="B434" s="2"/>
      <c r="C434" s="2"/>
      <c r="D434" s="2"/>
    </row>
    <row r="435">
      <c r="B435" s="2"/>
      <c r="C435" s="2"/>
      <c r="D435" s="2"/>
    </row>
    <row r="436">
      <c r="B436" s="2"/>
      <c r="C436" s="2"/>
      <c r="D436" s="2"/>
    </row>
    <row r="437">
      <c r="B437" s="2"/>
      <c r="C437" s="2"/>
      <c r="D437" s="2"/>
    </row>
    <row r="438">
      <c r="B438" s="2"/>
      <c r="C438" s="2"/>
      <c r="D438" s="2"/>
    </row>
    <row r="439">
      <c r="B439" s="2"/>
      <c r="C439" s="2"/>
      <c r="D439" s="2"/>
    </row>
    <row r="440">
      <c r="B440" s="2"/>
      <c r="C440" s="2"/>
      <c r="D440" s="2"/>
    </row>
    <row r="441">
      <c r="B441" s="2"/>
      <c r="C441" s="2"/>
      <c r="D441" s="2"/>
    </row>
    <row r="442">
      <c r="B442" s="2"/>
      <c r="C442" s="2"/>
      <c r="D442" s="2"/>
    </row>
    <row r="443">
      <c r="B443" s="2"/>
      <c r="C443" s="2"/>
      <c r="D443" s="2"/>
    </row>
    <row r="444">
      <c r="B444" s="2"/>
      <c r="C444" s="2"/>
      <c r="D444" s="2"/>
    </row>
    <row r="445">
      <c r="B445" s="2"/>
      <c r="C445" s="2"/>
      <c r="D445" s="2"/>
    </row>
    <row r="446">
      <c r="B446" s="2"/>
      <c r="C446" s="2"/>
      <c r="D446" s="2"/>
    </row>
    <row r="447">
      <c r="B447" s="2"/>
      <c r="C447" s="2"/>
      <c r="D447" s="2"/>
    </row>
    <row r="448">
      <c r="B448" s="2"/>
      <c r="C448" s="2"/>
      <c r="D448" s="2"/>
    </row>
    <row r="449">
      <c r="B449" s="2"/>
      <c r="C449" s="2"/>
      <c r="D449" s="2"/>
    </row>
    <row r="450">
      <c r="B450" s="2"/>
      <c r="C450" s="2"/>
      <c r="D450" s="2"/>
    </row>
    <row r="451">
      <c r="B451" s="2"/>
      <c r="C451" s="2"/>
      <c r="D451" s="2"/>
    </row>
    <row r="452">
      <c r="B452" s="2"/>
      <c r="C452" s="2"/>
      <c r="D452" s="2"/>
    </row>
    <row r="453">
      <c r="B453" s="2"/>
      <c r="C453" s="2"/>
      <c r="D453" s="2"/>
    </row>
    <row r="454">
      <c r="B454" s="2"/>
      <c r="C454" s="2"/>
      <c r="D454" s="2"/>
    </row>
    <row r="455">
      <c r="B455" s="2"/>
      <c r="C455" s="2"/>
      <c r="D455" s="2"/>
    </row>
    <row r="456">
      <c r="B456" s="2"/>
      <c r="C456" s="2"/>
      <c r="D456" s="2"/>
    </row>
    <row r="457">
      <c r="B457" s="2"/>
      <c r="C457" s="2"/>
      <c r="D457" s="2"/>
    </row>
    <row r="458">
      <c r="B458" s="2"/>
      <c r="C458" s="2"/>
      <c r="D458" s="2"/>
    </row>
    <row r="459">
      <c r="B459" s="2"/>
      <c r="C459" s="2"/>
      <c r="D459" s="2"/>
    </row>
    <row r="460">
      <c r="B460" s="2"/>
      <c r="C460" s="2"/>
      <c r="D460" s="2"/>
    </row>
    <row r="461">
      <c r="B461" s="2"/>
      <c r="C461" s="2"/>
      <c r="D461" s="2"/>
    </row>
    <row r="462">
      <c r="B462" s="2"/>
      <c r="C462" s="2"/>
      <c r="D462" s="2"/>
    </row>
    <row r="463">
      <c r="B463" s="2"/>
      <c r="C463" s="2"/>
      <c r="D463" s="2"/>
    </row>
    <row r="464">
      <c r="B464" s="2"/>
      <c r="C464" s="2"/>
      <c r="D464" s="2"/>
    </row>
    <row r="465">
      <c r="B465" s="2"/>
      <c r="C465" s="2"/>
      <c r="D465" s="2"/>
    </row>
    <row r="466">
      <c r="B466" s="2"/>
      <c r="C466" s="2"/>
      <c r="D466" s="2"/>
    </row>
    <row r="467">
      <c r="B467" s="2"/>
      <c r="C467" s="2"/>
      <c r="D467" s="2"/>
    </row>
    <row r="468">
      <c r="B468" s="2"/>
      <c r="C468" s="2"/>
      <c r="D468" s="2"/>
    </row>
    <row r="469">
      <c r="B469" s="2"/>
      <c r="C469" s="2"/>
      <c r="D469" s="2"/>
    </row>
    <row r="470">
      <c r="B470" s="2"/>
      <c r="C470" s="2"/>
      <c r="D470" s="2"/>
    </row>
    <row r="471">
      <c r="B471" s="2"/>
      <c r="C471" s="2"/>
      <c r="D471" s="2"/>
    </row>
    <row r="472">
      <c r="B472" s="2"/>
      <c r="C472" s="2"/>
      <c r="D472" s="2"/>
    </row>
    <row r="473">
      <c r="B473" s="2"/>
      <c r="C473" s="2"/>
      <c r="D473" s="2"/>
    </row>
    <row r="474">
      <c r="B474" s="2"/>
      <c r="C474" s="2"/>
      <c r="D474" s="2"/>
    </row>
    <row r="475">
      <c r="B475" s="2"/>
      <c r="C475" s="2"/>
      <c r="D475" s="2"/>
    </row>
    <row r="476">
      <c r="B476" s="2"/>
      <c r="C476" s="2"/>
      <c r="D476" s="2"/>
    </row>
    <row r="477">
      <c r="B477" s="2"/>
      <c r="C477" s="2"/>
      <c r="D477" s="2"/>
    </row>
    <row r="478">
      <c r="B478" s="2"/>
      <c r="C478" s="2"/>
      <c r="D478" s="2"/>
    </row>
    <row r="479">
      <c r="B479" s="2"/>
      <c r="C479" s="2"/>
      <c r="D479" s="2"/>
    </row>
    <row r="480">
      <c r="B480" s="2"/>
      <c r="C480" s="2"/>
      <c r="D480" s="2"/>
    </row>
    <row r="481">
      <c r="B481" s="2"/>
      <c r="C481" s="2"/>
      <c r="D481" s="2"/>
    </row>
    <row r="482">
      <c r="B482" s="2"/>
      <c r="C482" s="2"/>
      <c r="D482" s="2"/>
    </row>
    <row r="483">
      <c r="B483" s="2"/>
      <c r="C483" s="2"/>
      <c r="D483" s="2"/>
    </row>
    <row r="484">
      <c r="B484" s="2"/>
      <c r="C484" s="2"/>
      <c r="D484" s="2"/>
    </row>
    <row r="485">
      <c r="B485" s="2"/>
      <c r="C485" s="2"/>
      <c r="D485" s="2"/>
    </row>
    <row r="486">
      <c r="B486" s="2"/>
      <c r="C486" s="2"/>
      <c r="D486" s="2"/>
    </row>
    <row r="487">
      <c r="B487" s="2"/>
      <c r="C487" s="2"/>
      <c r="D487" s="2"/>
    </row>
    <row r="488">
      <c r="B488" s="2"/>
      <c r="C488" s="2"/>
      <c r="D488" s="2"/>
    </row>
    <row r="489">
      <c r="B489" s="2"/>
      <c r="C489" s="2"/>
      <c r="D489" s="2"/>
    </row>
    <row r="490">
      <c r="B490" s="2"/>
      <c r="C490" s="2"/>
      <c r="D490" s="2"/>
    </row>
    <row r="491">
      <c r="B491" s="2"/>
      <c r="C491" s="2"/>
      <c r="D491" s="2"/>
    </row>
    <row r="492">
      <c r="B492" s="2"/>
      <c r="C492" s="2"/>
      <c r="D492" s="2"/>
    </row>
    <row r="493">
      <c r="B493" s="2"/>
      <c r="C493" s="2"/>
      <c r="D493" s="2"/>
    </row>
    <row r="494">
      <c r="B494" s="2"/>
      <c r="C494" s="2"/>
      <c r="D494" s="2"/>
    </row>
    <row r="495">
      <c r="B495" s="2"/>
      <c r="C495" s="2"/>
      <c r="D495" s="2"/>
    </row>
    <row r="496">
      <c r="B496" s="2"/>
      <c r="C496" s="2"/>
      <c r="D496" s="2"/>
    </row>
    <row r="497">
      <c r="B497" s="2"/>
      <c r="C497" s="2"/>
      <c r="D497" s="2"/>
    </row>
    <row r="498">
      <c r="B498" s="2"/>
      <c r="C498" s="2"/>
      <c r="D498" s="2"/>
    </row>
    <row r="499">
      <c r="B499" s="2"/>
      <c r="C499" s="2"/>
      <c r="D499" s="2"/>
    </row>
    <row r="500">
      <c r="B500" s="2"/>
      <c r="C500" s="2"/>
      <c r="D500" s="2"/>
    </row>
    <row r="501">
      <c r="B501" s="2"/>
      <c r="C501" s="2"/>
      <c r="D501" s="2"/>
    </row>
    <row r="502">
      <c r="B502" s="2"/>
      <c r="C502" s="2"/>
      <c r="D502" s="2"/>
    </row>
    <row r="503">
      <c r="B503" s="2"/>
      <c r="C503" s="2"/>
      <c r="D503" s="2"/>
    </row>
    <row r="504">
      <c r="B504" s="2"/>
      <c r="C504" s="2"/>
      <c r="D504" s="2"/>
    </row>
    <row r="505">
      <c r="B505" s="2"/>
      <c r="C505" s="2"/>
      <c r="D505" s="2"/>
    </row>
    <row r="506">
      <c r="B506" s="2"/>
      <c r="C506" s="2"/>
      <c r="D506" s="2"/>
    </row>
    <row r="507">
      <c r="B507" s="2"/>
      <c r="C507" s="2"/>
      <c r="D507" s="2"/>
    </row>
    <row r="508">
      <c r="B508" s="2"/>
      <c r="C508" s="2"/>
      <c r="D508" s="2"/>
    </row>
    <row r="509">
      <c r="B509" s="2"/>
      <c r="C509" s="2"/>
      <c r="D509" s="2"/>
    </row>
    <row r="510">
      <c r="B510" s="2"/>
      <c r="C510" s="2"/>
      <c r="D510" s="2"/>
    </row>
    <row r="511">
      <c r="B511" s="2"/>
      <c r="C511" s="2"/>
      <c r="D511" s="2"/>
    </row>
    <row r="512">
      <c r="B512" s="2"/>
      <c r="C512" s="2"/>
      <c r="D512" s="2"/>
    </row>
    <row r="513">
      <c r="B513" s="2"/>
      <c r="C513" s="2"/>
      <c r="D513" s="2"/>
    </row>
    <row r="514">
      <c r="B514" s="2"/>
      <c r="C514" s="2"/>
      <c r="D514" s="2"/>
    </row>
    <row r="515">
      <c r="B515" s="2"/>
      <c r="C515" s="2"/>
      <c r="D515" s="2"/>
    </row>
    <row r="516">
      <c r="B516" s="2"/>
      <c r="C516" s="2"/>
      <c r="D516" s="2"/>
    </row>
    <row r="517">
      <c r="B517" s="2"/>
      <c r="C517" s="2"/>
      <c r="D517" s="2"/>
    </row>
    <row r="518">
      <c r="B518" s="2"/>
      <c r="C518" s="2"/>
      <c r="D518" s="2"/>
    </row>
    <row r="519">
      <c r="B519" s="2"/>
      <c r="C519" s="2"/>
      <c r="D519" s="2"/>
    </row>
    <row r="520">
      <c r="B520" s="2"/>
      <c r="C520" s="2"/>
      <c r="D520" s="2"/>
    </row>
    <row r="521">
      <c r="B521" s="2"/>
      <c r="C521" s="2"/>
      <c r="D521" s="2"/>
    </row>
    <row r="522">
      <c r="B522" s="2"/>
      <c r="C522" s="2"/>
      <c r="D522" s="2"/>
    </row>
    <row r="523">
      <c r="B523" s="2"/>
      <c r="C523" s="2"/>
      <c r="D523" s="2"/>
    </row>
    <row r="524">
      <c r="B524" s="2"/>
      <c r="C524" s="2"/>
      <c r="D524" s="2"/>
    </row>
    <row r="525">
      <c r="B525" s="2"/>
      <c r="C525" s="2"/>
      <c r="D525" s="2"/>
    </row>
    <row r="526">
      <c r="B526" s="2"/>
      <c r="C526" s="2"/>
      <c r="D526" s="2"/>
    </row>
    <row r="527">
      <c r="B527" s="2"/>
      <c r="C527" s="2"/>
      <c r="D527" s="2"/>
    </row>
    <row r="528">
      <c r="B528" s="2"/>
      <c r="C528" s="2"/>
      <c r="D528" s="2"/>
    </row>
    <row r="529">
      <c r="B529" s="2"/>
      <c r="C529" s="2"/>
      <c r="D529" s="2"/>
    </row>
    <row r="530">
      <c r="B530" s="2"/>
      <c r="C530" s="2"/>
      <c r="D530" s="2"/>
    </row>
    <row r="531">
      <c r="B531" s="2"/>
      <c r="C531" s="2"/>
      <c r="D531" s="2"/>
    </row>
    <row r="532">
      <c r="B532" s="2"/>
      <c r="C532" s="2"/>
      <c r="D532" s="2"/>
    </row>
    <row r="533">
      <c r="B533" s="2"/>
      <c r="C533" s="2"/>
      <c r="D533" s="2"/>
    </row>
    <row r="534">
      <c r="B534" s="2"/>
      <c r="C534" s="2"/>
      <c r="D534" s="2"/>
    </row>
    <row r="535">
      <c r="B535" s="2"/>
      <c r="C535" s="2"/>
      <c r="D535" s="2"/>
    </row>
    <row r="536">
      <c r="B536" s="2"/>
      <c r="C536" s="2"/>
      <c r="D536" s="2"/>
    </row>
    <row r="537">
      <c r="B537" s="2"/>
      <c r="C537" s="2"/>
      <c r="D537" s="2"/>
    </row>
    <row r="538">
      <c r="B538" s="2"/>
      <c r="C538" s="2"/>
      <c r="D538" s="2"/>
    </row>
    <row r="539">
      <c r="B539" s="2"/>
      <c r="C539" s="2"/>
      <c r="D539" s="2"/>
    </row>
    <row r="540">
      <c r="B540" s="2"/>
      <c r="C540" s="2"/>
      <c r="D540" s="2"/>
    </row>
    <row r="541">
      <c r="B541" s="2"/>
      <c r="C541" s="2"/>
      <c r="D541" s="2"/>
    </row>
    <row r="542">
      <c r="B542" s="2"/>
      <c r="C542" s="2"/>
      <c r="D542" s="2"/>
    </row>
    <row r="543">
      <c r="B543" s="2"/>
      <c r="C543" s="2"/>
      <c r="D543" s="2"/>
    </row>
    <row r="544">
      <c r="B544" s="2"/>
      <c r="C544" s="2"/>
      <c r="D544" s="2"/>
    </row>
    <row r="545">
      <c r="B545" s="2"/>
      <c r="C545" s="2"/>
      <c r="D545" s="2"/>
    </row>
    <row r="546">
      <c r="B546" s="2"/>
      <c r="C546" s="2"/>
      <c r="D546" s="2"/>
    </row>
    <row r="547">
      <c r="B547" s="2"/>
      <c r="C547" s="2"/>
      <c r="D547" s="2"/>
    </row>
    <row r="548">
      <c r="B548" s="2"/>
      <c r="C548" s="2"/>
      <c r="D548" s="2"/>
    </row>
    <row r="549">
      <c r="B549" s="2"/>
      <c r="C549" s="2"/>
      <c r="D549" s="2"/>
    </row>
    <row r="550">
      <c r="B550" s="2"/>
      <c r="C550" s="2"/>
      <c r="D550" s="2"/>
    </row>
    <row r="551">
      <c r="B551" s="2"/>
      <c r="C551" s="2"/>
      <c r="D551" s="2"/>
    </row>
    <row r="552">
      <c r="B552" s="2"/>
      <c r="C552" s="2"/>
      <c r="D552" s="2"/>
    </row>
    <row r="553">
      <c r="B553" s="2"/>
      <c r="C553" s="2"/>
      <c r="D553" s="2"/>
    </row>
    <row r="554">
      <c r="B554" s="2"/>
      <c r="C554" s="2"/>
      <c r="D554" s="2"/>
    </row>
    <row r="555">
      <c r="B555" s="2"/>
      <c r="C555" s="2"/>
      <c r="D555" s="2"/>
    </row>
    <row r="556">
      <c r="B556" s="2"/>
      <c r="C556" s="2"/>
      <c r="D556" s="2"/>
    </row>
    <row r="557">
      <c r="B557" s="2"/>
      <c r="C557" s="2"/>
      <c r="D557" s="2"/>
    </row>
    <row r="558">
      <c r="B558" s="2"/>
      <c r="C558" s="2"/>
      <c r="D558" s="2"/>
    </row>
    <row r="559">
      <c r="B559" s="2"/>
      <c r="C559" s="2"/>
      <c r="D559" s="2"/>
    </row>
    <row r="560">
      <c r="B560" s="2"/>
      <c r="C560" s="2"/>
      <c r="D560" s="2"/>
    </row>
    <row r="561">
      <c r="B561" s="2"/>
      <c r="C561" s="2"/>
      <c r="D561" s="2"/>
    </row>
    <row r="562">
      <c r="B562" s="2"/>
      <c r="C562" s="2"/>
      <c r="D562" s="2"/>
    </row>
    <row r="563">
      <c r="B563" s="2"/>
      <c r="C563" s="2"/>
      <c r="D563" s="2"/>
    </row>
    <row r="564">
      <c r="B564" s="2"/>
      <c r="C564" s="2"/>
      <c r="D564" s="2"/>
    </row>
    <row r="565">
      <c r="B565" s="2"/>
      <c r="C565" s="2"/>
      <c r="D565" s="2"/>
    </row>
    <row r="566">
      <c r="B566" s="2"/>
      <c r="C566" s="2"/>
      <c r="D566" s="2"/>
    </row>
    <row r="567">
      <c r="B567" s="2"/>
      <c r="C567" s="2"/>
      <c r="D567" s="2"/>
    </row>
    <row r="568">
      <c r="B568" s="2"/>
      <c r="C568" s="2"/>
      <c r="D568" s="2"/>
    </row>
    <row r="569">
      <c r="B569" s="2"/>
      <c r="C569" s="2"/>
      <c r="D569" s="2"/>
    </row>
    <row r="570">
      <c r="B570" s="2"/>
      <c r="C570" s="2"/>
      <c r="D570" s="2"/>
    </row>
    <row r="571">
      <c r="B571" s="2"/>
      <c r="C571" s="2"/>
      <c r="D571" s="2"/>
    </row>
    <row r="572">
      <c r="B572" s="2"/>
      <c r="C572" s="2"/>
      <c r="D572" s="2"/>
    </row>
    <row r="573">
      <c r="B573" s="2"/>
      <c r="C573" s="2"/>
      <c r="D573" s="2"/>
    </row>
    <row r="574">
      <c r="B574" s="2"/>
      <c r="C574" s="2"/>
      <c r="D574" s="2"/>
    </row>
    <row r="575">
      <c r="B575" s="2"/>
      <c r="C575" s="2"/>
      <c r="D575" s="2"/>
    </row>
    <row r="576">
      <c r="B576" s="2"/>
      <c r="C576" s="2"/>
      <c r="D576" s="2"/>
    </row>
    <row r="577">
      <c r="B577" s="2"/>
      <c r="C577" s="2"/>
      <c r="D577" s="2"/>
    </row>
    <row r="578">
      <c r="B578" s="2"/>
      <c r="C578" s="2"/>
      <c r="D578" s="2"/>
    </row>
    <row r="579">
      <c r="B579" s="2"/>
      <c r="C579" s="2"/>
      <c r="D579" s="2"/>
    </row>
    <row r="580">
      <c r="B580" s="2"/>
      <c r="C580" s="2"/>
      <c r="D580" s="2"/>
    </row>
    <row r="581">
      <c r="B581" s="2"/>
      <c r="C581" s="2"/>
      <c r="D581" s="2"/>
    </row>
    <row r="582">
      <c r="B582" s="2"/>
      <c r="C582" s="2"/>
      <c r="D582" s="2"/>
    </row>
    <row r="583">
      <c r="B583" s="2"/>
      <c r="C583" s="2"/>
      <c r="D583" s="2"/>
    </row>
    <row r="584">
      <c r="B584" s="2"/>
      <c r="C584" s="2"/>
      <c r="D584" s="2"/>
    </row>
    <row r="585">
      <c r="B585" s="2"/>
      <c r="C585" s="2"/>
      <c r="D585" s="2"/>
    </row>
    <row r="586">
      <c r="B586" s="2"/>
      <c r="C586" s="2"/>
      <c r="D586" s="2"/>
    </row>
    <row r="587">
      <c r="B587" s="2"/>
      <c r="C587" s="2"/>
      <c r="D587" s="2"/>
    </row>
    <row r="588">
      <c r="B588" s="2"/>
      <c r="C588" s="2"/>
      <c r="D588" s="2"/>
    </row>
    <row r="589">
      <c r="B589" s="2"/>
      <c r="C589" s="2"/>
      <c r="D589" s="2"/>
    </row>
    <row r="590">
      <c r="B590" s="2"/>
      <c r="C590" s="2"/>
      <c r="D590" s="2"/>
    </row>
    <row r="591">
      <c r="B591" s="2"/>
      <c r="C591" s="2"/>
      <c r="D591" s="2"/>
    </row>
    <row r="592">
      <c r="B592" s="2"/>
      <c r="C592" s="2"/>
      <c r="D592" s="2"/>
    </row>
    <row r="593">
      <c r="B593" s="2"/>
      <c r="C593" s="2"/>
      <c r="D593" s="2"/>
    </row>
    <row r="594">
      <c r="B594" s="2"/>
      <c r="C594" s="2"/>
      <c r="D594" s="2"/>
    </row>
    <row r="595">
      <c r="B595" s="2"/>
      <c r="C595" s="2"/>
      <c r="D595" s="2"/>
    </row>
    <row r="596">
      <c r="B596" s="2"/>
      <c r="C596" s="2"/>
      <c r="D596" s="2"/>
    </row>
    <row r="597">
      <c r="B597" s="2"/>
      <c r="C597" s="2"/>
      <c r="D597" s="2"/>
    </row>
    <row r="598">
      <c r="B598" s="2"/>
      <c r="C598" s="2"/>
      <c r="D598" s="2"/>
    </row>
    <row r="599">
      <c r="B599" s="2"/>
      <c r="C599" s="2"/>
      <c r="D599" s="2"/>
    </row>
    <row r="600">
      <c r="B600" s="2"/>
      <c r="C600" s="2"/>
      <c r="D600" s="2"/>
    </row>
    <row r="601">
      <c r="B601" s="2"/>
      <c r="C601" s="2"/>
      <c r="D601" s="2"/>
    </row>
    <row r="602">
      <c r="B602" s="2"/>
      <c r="C602" s="2"/>
      <c r="D602" s="2"/>
    </row>
    <row r="603">
      <c r="B603" s="2"/>
      <c r="C603" s="2"/>
      <c r="D603" s="2"/>
    </row>
    <row r="604">
      <c r="B604" s="2"/>
      <c r="C604" s="2"/>
      <c r="D604" s="2"/>
    </row>
    <row r="605">
      <c r="B605" s="2"/>
      <c r="C605" s="2"/>
      <c r="D605" s="2"/>
    </row>
    <row r="606">
      <c r="B606" s="2"/>
      <c r="C606" s="2"/>
      <c r="D606" s="2"/>
    </row>
    <row r="607">
      <c r="B607" s="2"/>
      <c r="C607" s="2"/>
      <c r="D607" s="2"/>
    </row>
    <row r="608">
      <c r="B608" s="2"/>
      <c r="C608" s="2"/>
      <c r="D608" s="2"/>
    </row>
    <row r="609">
      <c r="B609" s="2"/>
      <c r="C609" s="2"/>
      <c r="D609" s="2"/>
    </row>
    <row r="610">
      <c r="B610" s="2"/>
      <c r="C610" s="2"/>
      <c r="D610" s="2"/>
    </row>
    <row r="611">
      <c r="B611" s="2"/>
      <c r="C611" s="2"/>
      <c r="D611" s="2"/>
    </row>
    <row r="612">
      <c r="B612" s="2"/>
      <c r="C612" s="2"/>
      <c r="D612" s="2"/>
    </row>
    <row r="613">
      <c r="B613" s="2"/>
      <c r="C613" s="2"/>
      <c r="D613" s="2"/>
    </row>
    <row r="614">
      <c r="B614" s="2"/>
      <c r="C614" s="2"/>
      <c r="D614" s="2"/>
    </row>
    <row r="615">
      <c r="B615" s="2"/>
      <c r="C615" s="2"/>
      <c r="D615" s="2"/>
    </row>
    <row r="616">
      <c r="B616" s="2"/>
      <c r="C616" s="2"/>
      <c r="D616" s="2"/>
    </row>
    <row r="617">
      <c r="B617" s="2"/>
      <c r="C617" s="2"/>
      <c r="D617" s="2"/>
    </row>
    <row r="618">
      <c r="B618" s="2"/>
      <c r="C618" s="2"/>
      <c r="D618" s="2"/>
    </row>
    <row r="619">
      <c r="B619" s="2"/>
      <c r="C619" s="2"/>
      <c r="D619" s="2"/>
    </row>
    <row r="620">
      <c r="B620" s="2"/>
      <c r="C620" s="2"/>
      <c r="D620" s="2"/>
    </row>
    <row r="621">
      <c r="B621" s="2"/>
      <c r="C621" s="2"/>
      <c r="D621" s="2"/>
    </row>
    <row r="622">
      <c r="B622" s="2"/>
      <c r="C622" s="2"/>
      <c r="D622" s="2"/>
    </row>
    <row r="623">
      <c r="B623" s="2"/>
      <c r="C623" s="2"/>
      <c r="D623" s="2"/>
    </row>
    <row r="624">
      <c r="B624" s="2"/>
      <c r="C624" s="2"/>
      <c r="D624" s="2"/>
    </row>
    <row r="625">
      <c r="B625" s="2"/>
      <c r="C625" s="2"/>
      <c r="D625" s="2"/>
    </row>
    <row r="626">
      <c r="B626" s="2"/>
      <c r="C626" s="2"/>
      <c r="D626" s="2"/>
    </row>
    <row r="627">
      <c r="B627" s="2"/>
      <c r="C627" s="2"/>
      <c r="D627" s="2"/>
    </row>
    <row r="628">
      <c r="B628" s="2"/>
      <c r="C628" s="2"/>
      <c r="D628" s="2"/>
    </row>
    <row r="629">
      <c r="B629" s="2"/>
      <c r="C629" s="2"/>
      <c r="D629" s="2"/>
    </row>
    <row r="630">
      <c r="B630" s="2"/>
      <c r="C630" s="2"/>
      <c r="D630" s="2"/>
    </row>
    <row r="631">
      <c r="B631" s="2"/>
      <c r="C631" s="2"/>
      <c r="D631" s="2"/>
    </row>
    <row r="632">
      <c r="B632" s="2"/>
      <c r="C632" s="2"/>
      <c r="D632" s="2"/>
    </row>
    <row r="633">
      <c r="B633" s="2"/>
      <c r="C633" s="2"/>
      <c r="D633" s="2"/>
    </row>
    <row r="634">
      <c r="B634" s="2"/>
      <c r="C634" s="2"/>
      <c r="D634" s="2"/>
    </row>
    <row r="635">
      <c r="B635" s="2"/>
      <c r="C635" s="2"/>
      <c r="D635" s="2"/>
    </row>
    <row r="636">
      <c r="B636" s="2"/>
      <c r="C636" s="2"/>
      <c r="D636" s="2"/>
    </row>
    <row r="637">
      <c r="B637" s="2"/>
      <c r="C637" s="2"/>
      <c r="D637" s="2"/>
    </row>
    <row r="638">
      <c r="B638" s="2"/>
      <c r="C638" s="2"/>
      <c r="D638" s="2"/>
    </row>
    <row r="639">
      <c r="B639" s="2"/>
      <c r="C639" s="2"/>
      <c r="D639" s="2"/>
    </row>
    <row r="640">
      <c r="B640" s="2"/>
      <c r="C640" s="2"/>
      <c r="D640" s="2"/>
    </row>
    <row r="641">
      <c r="B641" s="2"/>
      <c r="C641" s="2"/>
      <c r="D641" s="2"/>
    </row>
    <row r="642">
      <c r="B642" s="2"/>
      <c r="C642" s="2"/>
      <c r="D642" s="2"/>
    </row>
    <row r="643">
      <c r="B643" s="2"/>
      <c r="C643" s="2"/>
      <c r="D643" s="2"/>
    </row>
    <row r="644">
      <c r="B644" s="2"/>
      <c r="C644" s="2"/>
      <c r="D644" s="2"/>
    </row>
    <row r="645">
      <c r="B645" s="2"/>
      <c r="C645" s="2"/>
      <c r="D645" s="2"/>
    </row>
    <row r="646">
      <c r="B646" s="2"/>
      <c r="C646" s="2"/>
      <c r="D646" s="2"/>
    </row>
    <row r="647">
      <c r="B647" s="2"/>
      <c r="C647" s="2"/>
      <c r="D647" s="2"/>
    </row>
    <row r="648">
      <c r="B648" s="2"/>
      <c r="C648" s="2"/>
      <c r="D648" s="2"/>
    </row>
    <row r="649">
      <c r="B649" s="2"/>
      <c r="C649" s="2"/>
      <c r="D649" s="2"/>
    </row>
    <row r="650">
      <c r="B650" s="2"/>
      <c r="C650" s="2"/>
      <c r="D650" s="2"/>
    </row>
    <row r="651">
      <c r="B651" s="2"/>
      <c r="C651" s="2"/>
      <c r="D651" s="2"/>
    </row>
    <row r="652">
      <c r="B652" s="2"/>
      <c r="C652" s="2"/>
      <c r="D652" s="2"/>
    </row>
    <row r="653">
      <c r="B653" s="2"/>
      <c r="C653" s="2"/>
      <c r="D653" s="2"/>
    </row>
    <row r="654">
      <c r="B654" s="2"/>
      <c r="C654" s="2"/>
      <c r="D654" s="2"/>
    </row>
    <row r="655">
      <c r="B655" s="2"/>
      <c r="C655" s="2"/>
      <c r="D655" s="2"/>
    </row>
    <row r="656">
      <c r="B656" s="2"/>
      <c r="C656" s="2"/>
      <c r="D656" s="2"/>
    </row>
    <row r="657">
      <c r="B657" s="2"/>
      <c r="C657" s="2"/>
      <c r="D657" s="2"/>
    </row>
    <row r="658">
      <c r="B658" s="2"/>
      <c r="C658" s="2"/>
      <c r="D658" s="2"/>
    </row>
    <row r="659">
      <c r="B659" s="2"/>
      <c r="C659" s="2"/>
      <c r="D659" s="2"/>
    </row>
    <row r="660">
      <c r="B660" s="2"/>
      <c r="C660" s="2"/>
      <c r="D660" s="2"/>
    </row>
    <row r="661">
      <c r="B661" s="2"/>
      <c r="C661" s="2"/>
      <c r="D661" s="2"/>
    </row>
    <row r="662">
      <c r="B662" s="2"/>
      <c r="C662" s="2"/>
      <c r="D662" s="2"/>
    </row>
    <row r="663">
      <c r="B663" s="2"/>
      <c r="C663" s="2"/>
      <c r="D663" s="2"/>
    </row>
    <row r="664">
      <c r="B664" s="2"/>
      <c r="C664" s="2"/>
      <c r="D664" s="2"/>
    </row>
    <row r="665">
      <c r="B665" s="2"/>
      <c r="C665" s="2"/>
      <c r="D665" s="2"/>
    </row>
    <row r="666">
      <c r="B666" s="2"/>
      <c r="C666" s="2"/>
      <c r="D666" s="2"/>
    </row>
    <row r="667">
      <c r="B667" s="2"/>
      <c r="C667" s="2"/>
      <c r="D667" s="2"/>
    </row>
    <row r="668">
      <c r="B668" s="2"/>
      <c r="C668" s="2"/>
      <c r="D668" s="2"/>
    </row>
    <row r="669">
      <c r="B669" s="2"/>
      <c r="C669" s="2"/>
      <c r="D669" s="2"/>
    </row>
    <row r="670">
      <c r="B670" s="2"/>
      <c r="C670" s="2"/>
      <c r="D670" s="2"/>
    </row>
    <row r="671">
      <c r="B671" s="2"/>
      <c r="C671" s="2"/>
      <c r="D671" s="2"/>
    </row>
    <row r="672">
      <c r="B672" s="2"/>
      <c r="C672" s="2"/>
      <c r="D672" s="2"/>
    </row>
    <row r="673">
      <c r="B673" s="2"/>
      <c r="C673" s="2"/>
      <c r="D673" s="2"/>
    </row>
    <row r="674">
      <c r="B674" s="2"/>
      <c r="C674" s="2"/>
      <c r="D674" s="2"/>
    </row>
    <row r="675">
      <c r="B675" s="2"/>
      <c r="C675" s="2"/>
      <c r="D675" s="2"/>
    </row>
    <row r="676">
      <c r="B676" s="2"/>
      <c r="C676" s="2"/>
      <c r="D676" s="2"/>
    </row>
    <row r="677">
      <c r="B677" s="2"/>
      <c r="C677" s="2"/>
      <c r="D677" s="2"/>
    </row>
    <row r="678">
      <c r="B678" s="2"/>
      <c r="C678" s="2"/>
      <c r="D678" s="2"/>
    </row>
    <row r="679">
      <c r="B679" s="2"/>
      <c r="C679" s="2"/>
      <c r="D679" s="2"/>
    </row>
    <row r="680">
      <c r="B680" s="2"/>
      <c r="C680" s="2"/>
      <c r="D680" s="2"/>
    </row>
    <row r="681">
      <c r="B681" s="2"/>
      <c r="C681" s="2"/>
      <c r="D681" s="2"/>
    </row>
    <row r="682">
      <c r="B682" s="2"/>
      <c r="C682" s="2"/>
      <c r="D682" s="2"/>
    </row>
    <row r="683">
      <c r="B683" s="2"/>
      <c r="C683" s="2"/>
      <c r="D683" s="2"/>
    </row>
    <row r="684">
      <c r="B684" s="2"/>
      <c r="C684" s="2"/>
      <c r="D684" s="2"/>
    </row>
    <row r="685">
      <c r="B685" s="2"/>
      <c r="C685" s="2"/>
      <c r="D685" s="2"/>
    </row>
    <row r="686">
      <c r="B686" s="2"/>
      <c r="C686" s="2"/>
      <c r="D686" s="2"/>
    </row>
    <row r="687">
      <c r="B687" s="2"/>
      <c r="C687" s="2"/>
      <c r="D687" s="2"/>
    </row>
    <row r="688">
      <c r="B688" s="2"/>
      <c r="C688" s="2"/>
      <c r="D688" s="2"/>
    </row>
    <row r="689">
      <c r="B689" s="2"/>
      <c r="C689" s="2"/>
      <c r="D689" s="2"/>
    </row>
    <row r="690">
      <c r="B690" s="2"/>
      <c r="C690" s="2"/>
      <c r="D690" s="2"/>
    </row>
    <row r="691">
      <c r="B691" s="2"/>
      <c r="C691" s="2"/>
      <c r="D691" s="2"/>
    </row>
    <row r="692">
      <c r="B692" s="2"/>
      <c r="C692" s="2"/>
      <c r="D692" s="2"/>
    </row>
    <row r="693">
      <c r="B693" s="2"/>
      <c r="C693" s="2"/>
      <c r="D693" s="2"/>
    </row>
    <row r="694">
      <c r="B694" s="2"/>
      <c r="C694" s="2"/>
      <c r="D694" s="2"/>
    </row>
    <row r="695">
      <c r="B695" s="2"/>
      <c r="C695" s="2"/>
      <c r="D695" s="2"/>
    </row>
    <row r="696">
      <c r="B696" s="2"/>
      <c r="C696" s="2"/>
      <c r="D696" s="2"/>
    </row>
    <row r="697">
      <c r="B697" s="2"/>
      <c r="C697" s="2"/>
      <c r="D697" s="2"/>
    </row>
    <row r="698">
      <c r="B698" s="2"/>
      <c r="C698" s="2"/>
      <c r="D698" s="2"/>
    </row>
    <row r="699">
      <c r="B699" s="2"/>
      <c r="C699" s="2"/>
      <c r="D699" s="2"/>
    </row>
    <row r="700">
      <c r="B700" s="2"/>
      <c r="C700" s="2"/>
      <c r="D700" s="2"/>
    </row>
    <row r="701">
      <c r="B701" s="2"/>
      <c r="C701" s="2"/>
      <c r="D701" s="2"/>
    </row>
    <row r="702">
      <c r="B702" s="2"/>
      <c r="C702" s="2"/>
      <c r="D702" s="2"/>
    </row>
    <row r="703">
      <c r="B703" s="2"/>
      <c r="C703" s="2"/>
      <c r="D703" s="2"/>
    </row>
    <row r="704">
      <c r="B704" s="2"/>
      <c r="C704" s="2"/>
      <c r="D704" s="2"/>
    </row>
    <row r="705">
      <c r="B705" s="2"/>
      <c r="C705" s="2"/>
      <c r="D705" s="2"/>
    </row>
    <row r="706">
      <c r="B706" s="2"/>
      <c r="C706" s="2"/>
      <c r="D706" s="2"/>
    </row>
    <row r="707">
      <c r="B707" s="2"/>
      <c r="C707" s="2"/>
      <c r="D707" s="2"/>
    </row>
    <row r="708">
      <c r="B708" s="2"/>
      <c r="C708" s="2"/>
      <c r="D708" s="2"/>
    </row>
    <row r="709">
      <c r="B709" s="2"/>
      <c r="C709" s="2"/>
      <c r="D709" s="2"/>
    </row>
    <row r="710">
      <c r="B710" s="2"/>
      <c r="C710" s="2"/>
      <c r="D710" s="2"/>
    </row>
    <row r="711">
      <c r="B711" s="2"/>
      <c r="C711" s="2"/>
      <c r="D711" s="2"/>
    </row>
    <row r="712">
      <c r="B712" s="2"/>
      <c r="C712" s="2"/>
      <c r="D712" s="2"/>
    </row>
    <row r="713">
      <c r="B713" s="2"/>
      <c r="C713" s="2"/>
      <c r="D713" s="2"/>
    </row>
    <row r="714">
      <c r="B714" s="2"/>
      <c r="C714" s="2"/>
      <c r="D714" s="2"/>
    </row>
    <row r="715">
      <c r="B715" s="2"/>
      <c r="C715" s="2"/>
      <c r="D715" s="2"/>
    </row>
    <row r="716">
      <c r="B716" s="2"/>
      <c r="C716" s="2"/>
      <c r="D716" s="2"/>
    </row>
    <row r="717">
      <c r="B717" s="2"/>
      <c r="C717" s="2"/>
      <c r="D717" s="2"/>
    </row>
    <row r="718">
      <c r="B718" s="2"/>
      <c r="C718" s="2"/>
      <c r="D718" s="2"/>
    </row>
    <row r="719">
      <c r="B719" s="2"/>
      <c r="C719" s="2"/>
      <c r="D719" s="2"/>
    </row>
    <row r="720">
      <c r="B720" s="2"/>
      <c r="C720" s="2"/>
      <c r="D720" s="2"/>
    </row>
    <row r="721">
      <c r="B721" s="2"/>
      <c r="C721" s="2"/>
      <c r="D721" s="2"/>
    </row>
    <row r="722">
      <c r="B722" s="2"/>
      <c r="C722" s="2"/>
      <c r="D722" s="2"/>
    </row>
    <row r="723">
      <c r="B723" s="2"/>
      <c r="C723" s="2"/>
      <c r="D723" s="2"/>
    </row>
    <row r="724">
      <c r="B724" s="2"/>
      <c r="C724" s="2"/>
      <c r="D724" s="2"/>
    </row>
    <row r="725">
      <c r="B725" s="2"/>
      <c r="C725" s="2"/>
      <c r="D725" s="2"/>
    </row>
    <row r="726">
      <c r="B726" s="2"/>
      <c r="C726" s="2"/>
      <c r="D726" s="2"/>
    </row>
    <row r="727">
      <c r="B727" s="2"/>
      <c r="C727" s="2"/>
      <c r="D727" s="2"/>
    </row>
    <row r="728">
      <c r="B728" s="2"/>
      <c r="C728" s="2"/>
      <c r="D728" s="2"/>
    </row>
    <row r="729">
      <c r="B729" s="2"/>
      <c r="C729" s="2"/>
      <c r="D729" s="2"/>
    </row>
    <row r="730">
      <c r="B730" s="2"/>
      <c r="C730" s="2"/>
      <c r="D730" s="2"/>
    </row>
    <row r="731">
      <c r="B731" s="2"/>
      <c r="C731" s="2"/>
      <c r="D731" s="2"/>
    </row>
    <row r="732">
      <c r="B732" s="2"/>
      <c r="C732" s="2"/>
      <c r="D732" s="2"/>
    </row>
    <row r="733">
      <c r="B733" s="2"/>
      <c r="C733" s="2"/>
      <c r="D733" s="2"/>
    </row>
    <row r="734">
      <c r="B734" s="2"/>
      <c r="C734" s="2"/>
      <c r="D734" s="2"/>
    </row>
    <row r="735">
      <c r="B735" s="2"/>
      <c r="C735" s="2"/>
      <c r="D735" s="2"/>
    </row>
    <row r="736">
      <c r="B736" s="2"/>
      <c r="C736" s="2"/>
      <c r="D736" s="2"/>
    </row>
    <row r="737">
      <c r="B737" s="2"/>
      <c r="C737" s="2"/>
      <c r="D737" s="2"/>
    </row>
    <row r="738">
      <c r="B738" s="2"/>
      <c r="C738" s="2"/>
      <c r="D738" s="2"/>
    </row>
    <row r="739">
      <c r="B739" s="2"/>
      <c r="C739" s="2"/>
      <c r="D739" s="2"/>
    </row>
    <row r="740">
      <c r="B740" s="2"/>
      <c r="C740" s="2"/>
      <c r="D740" s="2"/>
    </row>
    <row r="741">
      <c r="B741" s="2"/>
      <c r="C741" s="2"/>
      <c r="D741" s="2"/>
    </row>
    <row r="742">
      <c r="B742" s="2"/>
      <c r="C742" s="2"/>
      <c r="D742" s="2"/>
    </row>
    <row r="743">
      <c r="B743" s="2"/>
      <c r="C743" s="2"/>
      <c r="D743" s="2"/>
    </row>
    <row r="744">
      <c r="B744" s="2"/>
      <c r="C744" s="2"/>
      <c r="D744" s="2"/>
    </row>
    <row r="745">
      <c r="B745" s="2"/>
      <c r="C745" s="2"/>
      <c r="D745" s="2"/>
    </row>
    <row r="746">
      <c r="B746" s="2"/>
      <c r="C746" s="2"/>
      <c r="D746" s="2"/>
    </row>
    <row r="747">
      <c r="B747" s="2"/>
      <c r="C747" s="2"/>
      <c r="D747" s="2"/>
    </row>
    <row r="748">
      <c r="B748" s="2"/>
      <c r="C748" s="2"/>
      <c r="D748" s="2"/>
    </row>
    <row r="749">
      <c r="B749" s="2"/>
      <c r="C749" s="2"/>
      <c r="D749" s="2"/>
    </row>
    <row r="750">
      <c r="B750" s="2"/>
      <c r="C750" s="2"/>
      <c r="D750" s="2"/>
    </row>
    <row r="751">
      <c r="B751" s="2"/>
      <c r="C751" s="2"/>
      <c r="D751" s="2"/>
    </row>
    <row r="752">
      <c r="B752" s="2"/>
      <c r="C752" s="2"/>
      <c r="D752" s="2"/>
    </row>
    <row r="753">
      <c r="B753" s="2"/>
      <c r="C753" s="2"/>
      <c r="D753" s="2"/>
    </row>
    <row r="754">
      <c r="B754" s="2"/>
      <c r="C754" s="2"/>
      <c r="D754" s="2"/>
    </row>
    <row r="755">
      <c r="B755" s="2"/>
      <c r="C755" s="2"/>
      <c r="D755" s="2"/>
    </row>
    <row r="756">
      <c r="B756" s="2"/>
      <c r="C756" s="2"/>
      <c r="D756" s="2"/>
    </row>
    <row r="757">
      <c r="B757" s="2"/>
      <c r="C757" s="2"/>
      <c r="D757" s="2"/>
    </row>
    <row r="758">
      <c r="B758" s="2"/>
      <c r="C758" s="2"/>
      <c r="D758" s="2"/>
    </row>
    <row r="759">
      <c r="B759" s="2"/>
      <c r="C759" s="2"/>
      <c r="D759" s="2"/>
    </row>
    <row r="760">
      <c r="B760" s="2"/>
      <c r="C760" s="2"/>
      <c r="D760" s="2"/>
    </row>
    <row r="761">
      <c r="B761" s="2"/>
      <c r="C761" s="2"/>
      <c r="D761" s="2"/>
    </row>
    <row r="762">
      <c r="B762" s="2"/>
      <c r="C762" s="2"/>
      <c r="D762" s="2"/>
    </row>
    <row r="763">
      <c r="B763" s="2"/>
      <c r="C763" s="2"/>
      <c r="D763" s="2"/>
    </row>
    <row r="764">
      <c r="B764" s="2"/>
      <c r="C764" s="2"/>
      <c r="D764" s="2"/>
    </row>
    <row r="765">
      <c r="B765" s="2"/>
      <c r="C765" s="2"/>
      <c r="D765" s="2"/>
    </row>
    <row r="766">
      <c r="B766" s="2"/>
      <c r="C766" s="2"/>
      <c r="D766" s="2"/>
    </row>
    <row r="767">
      <c r="B767" s="2"/>
      <c r="C767" s="2"/>
      <c r="D767" s="2"/>
    </row>
    <row r="768">
      <c r="B768" s="2"/>
      <c r="C768" s="2"/>
      <c r="D768" s="2"/>
    </row>
    <row r="769">
      <c r="B769" s="2"/>
      <c r="C769" s="2"/>
      <c r="D769" s="2"/>
    </row>
    <row r="770">
      <c r="B770" s="2"/>
      <c r="C770" s="2"/>
      <c r="D770" s="2"/>
    </row>
    <row r="771">
      <c r="B771" s="2"/>
      <c r="C771" s="2"/>
      <c r="D771" s="2"/>
    </row>
    <row r="772">
      <c r="B772" s="2"/>
      <c r="C772" s="2"/>
      <c r="D772" s="2"/>
    </row>
    <row r="773">
      <c r="B773" s="2"/>
      <c r="C773" s="2"/>
      <c r="D773" s="2"/>
    </row>
    <row r="774">
      <c r="B774" s="2"/>
      <c r="C774" s="2"/>
      <c r="D774" s="2"/>
    </row>
    <row r="775">
      <c r="B775" s="2"/>
      <c r="C775" s="2"/>
      <c r="D775" s="2"/>
    </row>
    <row r="776">
      <c r="B776" s="2"/>
      <c r="C776" s="2"/>
      <c r="D776" s="2"/>
    </row>
    <row r="777">
      <c r="B777" s="2"/>
      <c r="C777" s="2"/>
      <c r="D777" s="2"/>
    </row>
    <row r="778">
      <c r="B778" s="2"/>
      <c r="C778" s="2"/>
      <c r="D778" s="2"/>
    </row>
    <row r="779">
      <c r="B779" s="2"/>
      <c r="C779" s="2"/>
      <c r="D779" s="2"/>
    </row>
    <row r="780">
      <c r="B780" s="2"/>
      <c r="C780" s="2"/>
      <c r="D780" s="2"/>
    </row>
    <row r="781">
      <c r="B781" s="2"/>
      <c r="C781" s="2"/>
      <c r="D781" s="2"/>
    </row>
    <row r="782">
      <c r="B782" s="2"/>
      <c r="C782" s="2"/>
      <c r="D782" s="2"/>
    </row>
    <row r="783">
      <c r="B783" s="2"/>
      <c r="C783" s="2"/>
      <c r="D783" s="2"/>
    </row>
    <row r="784">
      <c r="B784" s="2"/>
      <c r="C784" s="2"/>
      <c r="D784" s="2"/>
    </row>
    <row r="785">
      <c r="B785" s="2"/>
      <c r="C785" s="2"/>
      <c r="D785" s="2"/>
    </row>
    <row r="786">
      <c r="B786" s="2"/>
      <c r="C786" s="2"/>
      <c r="D786" s="2"/>
    </row>
    <row r="787">
      <c r="B787" s="2"/>
      <c r="C787" s="2"/>
      <c r="D787" s="2"/>
    </row>
    <row r="788">
      <c r="B788" s="2"/>
      <c r="C788" s="2"/>
      <c r="D788" s="2"/>
    </row>
    <row r="789">
      <c r="B789" s="2"/>
      <c r="C789" s="2"/>
      <c r="D789" s="2"/>
    </row>
    <row r="790">
      <c r="B790" s="2"/>
      <c r="C790" s="2"/>
      <c r="D790" s="2"/>
    </row>
    <row r="791">
      <c r="B791" s="2"/>
      <c r="C791" s="2"/>
      <c r="D791" s="2"/>
    </row>
    <row r="792">
      <c r="B792" s="2"/>
      <c r="C792" s="2"/>
      <c r="D792" s="2"/>
    </row>
    <row r="793">
      <c r="B793" s="2"/>
      <c r="C793" s="2"/>
      <c r="D793" s="2"/>
    </row>
    <row r="794">
      <c r="B794" s="2"/>
      <c r="C794" s="2"/>
      <c r="D794" s="2"/>
    </row>
    <row r="795">
      <c r="B795" s="2"/>
      <c r="C795" s="2"/>
      <c r="D795" s="2"/>
    </row>
    <row r="796">
      <c r="B796" s="2"/>
      <c r="C796" s="2"/>
      <c r="D796" s="2"/>
    </row>
    <row r="797">
      <c r="B797" s="2"/>
      <c r="C797" s="2"/>
      <c r="D797" s="2"/>
    </row>
    <row r="798">
      <c r="B798" s="2"/>
      <c r="C798" s="2"/>
      <c r="D798" s="2"/>
    </row>
    <row r="799">
      <c r="B799" s="2"/>
      <c r="C799" s="2"/>
      <c r="D799" s="2"/>
    </row>
    <row r="800">
      <c r="B800" s="2"/>
      <c r="C800" s="2"/>
      <c r="D800" s="2"/>
    </row>
    <row r="801">
      <c r="B801" s="2"/>
      <c r="C801" s="2"/>
      <c r="D801" s="2"/>
    </row>
    <row r="802">
      <c r="B802" s="2"/>
      <c r="C802" s="2"/>
      <c r="D802" s="2"/>
    </row>
    <row r="803">
      <c r="B803" s="2"/>
      <c r="C803" s="2"/>
      <c r="D803" s="2"/>
    </row>
    <row r="804">
      <c r="B804" s="2"/>
      <c r="C804" s="2"/>
      <c r="D804" s="2"/>
    </row>
    <row r="805">
      <c r="B805" s="2"/>
      <c r="C805" s="2"/>
      <c r="D805" s="2"/>
    </row>
    <row r="806">
      <c r="B806" s="2"/>
      <c r="C806" s="2"/>
      <c r="D806" s="2"/>
    </row>
    <row r="807">
      <c r="B807" s="2"/>
      <c r="C807" s="2"/>
      <c r="D807" s="2"/>
    </row>
    <row r="808">
      <c r="B808" s="2"/>
      <c r="C808" s="2"/>
      <c r="D808" s="2"/>
    </row>
    <row r="809">
      <c r="B809" s="2"/>
      <c r="C809" s="2"/>
      <c r="D809" s="2"/>
    </row>
    <row r="810">
      <c r="B810" s="2"/>
      <c r="C810" s="2"/>
      <c r="D810" s="2"/>
    </row>
    <row r="811">
      <c r="B811" s="2"/>
      <c r="C811" s="2"/>
      <c r="D811" s="2"/>
    </row>
    <row r="812">
      <c r="B812" s="2"/>
      <c r="C812" s="2"/>
      <c r="D812" s="2"/>
    </row>
    <row r="813">
      <c r="B813" s="2"/>
      <c r="C813" s="2"/>
      <c r="D813" s="2"/>
    </row>
    <row r="814">
      <c r="B814" s="2"/>
      <c r="C814" s="2"/>
      <c r="D814" s="2"/>
    </row>
    <row r="815">
      <c r="B815" s="2"/>
      <c r="C815" s="2"/>
      <c r="D815" s="2"/>
    </row>
    <row r="816">
      <c r="B816" s="2"/>
      <c r="C816" s="2"/>
      <c r="D816" s="2"/>
    </row>
    <row r="817">
      <c r="B817" s="2"/>
      <c r="C817" s="2"/>
      <c r="D817" s="2"/>
    </row>
    <row r="818">
      <c r="B818" s="2"/>
      <c r="C818" s="2"/>
      <c r="D818" s="2"/>
    </row>
    <row r="819">
      <c r="B819" s="2"/>
      <c r="C819" s="2"/>
      <c r="D819" s="2"/>
    </row>
    <row r="820">
      <c r="B820" s="2"/>
      <c r="C820" s="2"/>
      <c r="D820" s="2"/>
    </row>
    <row r="821">
      <c r="B821" s="2"/>
      <c r="C821" s="2"/>
      <c r="D821" s="2"/>
    </row>
    <row r="822">
      <c r="B822" s="2"/>
      <c r="C822" s="2"/>
      <c r="D822" s="2"/>
    </row>
    <row r="823">
      <c r="B823" s="2"/>
      <c r="C823" s="2"/>
      <c r="D823" s="2"/>
    </row>
    <row r="824">
      <c r="B824" s="2"/>
      <c r="C824" s="2"/>
      <c r="D824" s="2"/>
    </row>
    <row r="825">
      <c r="B825" s="2"/>
      <c r="C825" s="2"/>
      <c r="D825" s="2"/>
    </row>
    <row r="826">
      <c r="B826" s="2"/>
      <c r="C826" s="2"/>
      <c r="D826" s="2"/>
    </row>
    <row r="827">
      <c r="B827" s="2"/>
      <c r="C827" s="2"/>
      <c r="D827" s="2"/>
    </row>
    <row r="828">
      <c r="B828" s="2"/>
      <c r="C828" s="2"/>
      <c r="D828" s="2"/>
    </row>
    <row r="829">
      <c r="B829" s="2"/>
      <c r="C829" s="2"/>
      <c r="D829" s="2"/>
    </row>
    <row r="830">
      <c r="B830" s="2"/>
      <c r="C830" s="2"/>
      <c r="D830" s="2"/>
    </row>
    <row r="831">
      <c r="B831" s="2"/>
      <c r="C831" s="2"/>
      <c r="D831" s="2"/>
    </row>
    <row r="832">
      <c r="B832" s="2"/>
      <c r="C832" s="2"/>
      <c r="D832" s="2"/>
    </row>
    <row r="833">
      <c r="B833" s="2"/>
      <c r="C833" s="2"/>
      <c r="D833" s="2"/>
    </row>
    <row r="834">
      <c r="B834" s="2"/>
      <c r="C834" s="2"/>
      <c r="D834" s="2"/>
    </row>
    <row r="835">
      <c r="B835" s="2"/>
      <c r="C835" s="2"/>
      <c r="D835" s="2"/>
    </row>
    <row r="836">
      <c r="B836" s="2"/>
      <c r="C836" s="2"/>
      <c r="D836" s="2"/>
    </row>
    <row r="837">
      <c r="B837" s="2"/>
      <c r="C837" s="2"/>
      <c r="D837" s="2"/>
    </row>
    <row r="838">
      <c r="B838" s="2"/>
      <c r="C838" s="2"/>
      <c r="D838" s="2"/>
    </row>
    <row r="839">
      <c r="B839" s="2"/>
      <c r="C839" s="2"/>
      <c r="D839" s="2"/>
    </row>
    <row r="840">
      <c r="B840" s="2"/>
      <c r="C840" s="2"/>
      <c r="D840" s="2"/>
    </row>
    <row r="841">
      <c r="B841" s="2"/>
      <c r="C841" s="2"/>
      <c r="D841" s="2"/>
    </row>
    <row r="842">
      <c r="B842" s="2"/>
      <c r="C842" s="2"/>
      <c r="D842" s="2"/>
    </row>
    <row r="843">
      <c r="B843" s="2"/>
      <c r="C843" s="2"/>
      <c r="D843" s="2"/>
    </row>
    <row r="844">
      <c r="B844" s="2"/>
      <c r="C844" s="2"/>
      <c r="D844" s="2"/>
    </row>
    <row r="845">
      <c r="B845" s="2"/>
      <c r="C845" s="2"/>
      <c r="D845" s="2"/>
    </row>
    <row r="846">
      <c r="B846" s="2"/>
      <c r="C846" s="2"/>
      <c r="D846" s="2"/>
    </row>
    <row r="847">
      <c r="B847" s="2"/>
      <c r="C847" s="2"/>
      <c r="D847" s="2"/>
    </row>
    <row r="848">
      <c r="B848" s="2"/>
      <c r="C848" s="2"/>
      <c r="D848" s="2"/>
    </row>
    <row r="849">
      <c r="B849" s="2"/>
      <c r="C849" s="2"/>
      <c r="D849" s="2"/>
    </row>
    <row r="850">
      <c r="B850" s="2"/>
      <c r="C850" s="2"/>
      <c r="D850" s="2"/>
    </row>
    <row r="851">
      <c r="B851" s="2"/>
      <c r="C851" s="2"/>
      <c r="D851" s="2"/>
    </row>
    <row r="852">
      <c r="B852" s="2"/>
      <c r="C852" s="2"/>
      <c r="D852" s="2"/>
    </row>
    <row r="853">
      <c r="B853" s="2"/>
      <c r="C853" s="2"/>
      <c r="D853" s="2"/>
    </row>
    <row r="854">
      <c r="B854" s="2"/>
      <c r="C854" s="2"/>
      <c r="D854" s="2"/>
    </row>
    <row r="855">
      <c r="B855" s="2"/>
      <c r="C855" s="2"/>
      <c r="D855" s="2"/>
    </row>
    <row r="856">
      <c r="B856" s="2"/>
      <c r="C856" s="2"/>
      <c r="D856" s="2"/>
    </row>
    <row r="857">
      <c r="B857" s="2"/>
      <c r="C857" s="2"/>
      <c r="D857" s="2"/>
    </row>
    <row r="858">
      <c r="B858" s="2"/>
      <c r="C858" s="2"/>
      <c r="D858" s="2"/>
    </row>
    <row r="859">
      <c r="B859" s="2"/>
      <c r="C859" s="2"/>
      <c r="D859" s="2"/>
    </row>
    <row r="860">
      <c r="B860" s="2"/>
      <c r="C860" s="2"/>
      <c r="D860" s="2"/>
    </row>
    <row r="861">
      <c r="B861" s="2"/>
      <c r="C861" s="2"/>
      <c r="D861" s="2"/>
    </row>
    <row r="862">
      <c r="B862" s="2"/>
      <c r="C862" s="2"/>
      <c r="D862" s="2"/>
    </row>
    <row r="863">
      <c r="B863" s="2"/>
      <c r="C863" s="2"/>
      <c r="D863" s="2"/>
    </row>
    <row r="864">
      <c r="B864" s="2"/>
      <c r="C864" s="2"/>
      <c r="D864" s="2"/>
    </row>
    <row r="865">
      <c r="B865" s="2"/>
      <c r="C865" s="2"/>
      <c r="D865" s="2"/>
    </row>
    <row r="866">
      <c r="B866" s="2"/>
      <c r="C866" s="2"/>
      <c r="D866" s="2"/>
    </row>
    <row r="867">
      <c r="B867" s="2"/>
      <c r="C867" s="2"/>
      <c r="D867" s="2"/>
    </row>
    <row r="868">
      <c r="B868" s="2"/>
      <c r="C868" s="2"/>
      <c r="D868" s="2"/>
    </row>
    <row r="869">
      <c r="B869" s="2"/>
      <c r="C869" s="2"/>
      <c r="D869" s="2"/>
    </row>
    <row r="870">
      <c r="B870" s="2"/>
      <c r="C870" s="2"/>
      <c r="D870" s="2"/>
    </row>
    <row r="871">
      <c r="B871" s="2"/>
      <c r="C871" s="2"/>
      <c r="D871" s="2"/>
    </row>
    <row r="872">
      <c r="B872" s="2"/>
      <c r="C872" s="2"/>
      <c r="D872" s="2"/>
    </row>
    <row r="873">
      <c r="B873" s="2"/>
      <c r="C873" s="2"/>
      <c r="D873" s="2"/>
    </row>
    <row r="874">
      <c r="B874" s="2"/>
      <c r="C874" s="2"/>
      <c r="D874" s="2"/>
    </row>
    <row r="875">
      <c r="B875" s="2"/>
      <c r="C875" s="2"/>
      <c r="D875" s="2"/>
    </row>
    <row r="876">
      <c r="B876" s="2"/>
      <c r="C876" s="2"/>
      <c r="D876" s="2"/>
    </row>
    <row r="877">
      <c r="B877" s="2"/>
      <c r="C877" s="2"/>
      <c r="D877" s="2"/>
    </row>
    <row r="878">
      <c r="B878" s="2"/>
      <c r="C878" s="2"/>
      <c r="D878" s="2"/>
    </row>
    <row r="879">
      <c r="B879" s="2"/>
      <c r="C879" s="2"/>
      <c r="D879" s="2"/>
    </row>
    <row r="880">
      <c r="B880" s="2"/>
      <c r="C880" s="2"/>
      <c r="D880" s="2"/>
    </row>
    <row r="881">
      <c r="B881" s="2"/>
      <c r="C881" s="2"/>
      <c r="D881" s="2"/>
    </row>
    <row r="882">
      <c r="B882" s="2"/>
      <c r="C882" s="2"/>
      <c r="D882" s="2"/>
    </row>
    <row r="883">
      <c r="B883" s="2"/>
      <c r="C883" s="2"/>
      <c r="D883" s="2"/>
    </row>
    <row r="884">
      <c r="B884" s="2"/>
      <c r="C884" s="2"/>
      <c r="D884" s="2"/>
    </row>
    <row r="885">
      <c r="B885" s="2"/>
      <c r="C885" s="2"/>
      <c r="D885" s="2"/>
    </row>
    <row r="886">
      <c r="B886" s="2"/>
      <c r="C886" s="2"/>
      <c r="D886" s="2"/>
    </row>
    <row r="887">
      <c r="B887" s="2"/>
      <c r="C887" s="2"/>
      <c r="D887" s="2"/>
    </row>
    <row r="888">
      <c r="B888" s="2"/>
      <c r="C888" s="2"/>
      <c r="D888" s="2"/>
    </row>
    <row r="889">
      <c r="B889" s="2"/>
      <c r="C889" s="2"/>
      <c r="D889" s="2"/>
    </row>
    <row r="890">
      <c r="B890" s="2"/>
      <c r="C890" s="2"/>
      <c r="D890" s="2"/>
    </row>
    <row r="891">
      <c r="B891" s="2"/>
      <c r="C891" s="2"/>
      <c r="D891" s="2"/>
    </row>
    <row r="892">
      <c r="B892" s="2"/>
      <c r="C892" s="2"/>
      <c r="D892" s="2"/>
    </row>
    <row r="893">
      <c r="B893" s="2"/>
      <c r="C893" s="2"/>
      <c r="D893" s="2"/>
    </row>
    <row r="894">
      <c r="B894" s="2"/>
      <c r="C894" s="2"/>
      <c r="D894" s="2"/>
    </row>
    <row r="895">
      <c r="B895" s="2"/>
      <c r="C895" s="2"/>
      <c r="D895" s="2"/>
    </row>
    <row r="896">
      <c r="B896" s="2"/>
      <c r="C896" s="2"/>
      <c r="D896" s="2"/>
    </row>
    <row r="897">
      <c r="B897" s="2"/>
      <c r="C897" s="2"/>
      <c r="D897" s="2"/>
    </row>
    <row r="898">
      <c r="B898" s="2"/>
      <c r="C898" s="2"/>
      <c r="D898" s="2"/>
    </row>
    <row r="899">
      <c r="B899" s="2"/>
      <c r="C899" s="2"/>
      <c r="D899" s="2"/>
    </row>
    <row r="900">
      <c r="B900" s="2"/>
      <c r="C900" s="2"/>
      <c r="D900" s="2"/>
    </row>
    <row r="901">
      <c r="B901" s="2"/>
      <c r="C901" s="2"/>
      <c r="D901" s="2"/>
    </row>
    <row r="902">
      <c r="B902" s="2"/>
      <c r="C902" s="2"/>
      <c r="D902" s="2"/>
    </row>
    <row r="903">
      <c r="B903" s="2"/>
      <c r="C903" s="2"/>
      <c r="D903" s="2"/>
    </row>
    <row r="904">
      <c r="B904" s="2"/>
      <c r="C904" s="2"/>
      <c r="D904" s="2"/>
    </row>
    <row r="905">
      <c r="B905" s="2"/>
      <c r="C905" s="2"/>
      <c r="D905" s="2"/>
    </row>
    <row r="906">
      <c r="B906" s="2"/>
      <c r="C906" s="2"/>
      <c r="D906" s="2"/>
    </row>
    <row r="907">
      <c r="B907" s="2"/>
      <c r="C907" s="2"/>
      <c r="D907" s="2"/>
    </row>
    <row r="908">
      <c r="B908" s="2"/>
      <c r="C908" s="2"/>
      <c r="D908" s="2"/>
    </row>
    <row r="909">
      <c r="B909" s="2"/>
      <c r="C909" s="2"/>
      <c r="D909" s="2"/>
    </row>
    <row r="910">
      <c r="B910" s="2"/>
      <c r="C910" s="2"/>
      <c r="D910" s="2"/>
    </row>
    <row r="911">
      <c r="B911" s="2"/>
      <c r="C911" s="2"/>
      <c r="D911" s="2"/>
    </row>
    <row r="912">
      <c r="B912" s="2"/>
      <c r="C912" s="2"/>
      <c r="D912" s="2"/>
    </row>
    <row r="913">
      <c r="B913" s="2"/>
      <c r="C913" s="2"/>
      <c r="D913" s="2"/>
    </row>
    <row r="914">
      <c r="B914" s="2"/>
      <c r="C914" s="2"/>
      <c r="D914" s="2"/>
    </row>
    <row r="915">
      <c r="B915" s="2"/>
      <c r="C915" s="2"/>
      <c r="D915" s="2"/>
    </row>
    <row r="916">
      <c r="B916" s="2"/>
      <c r="C916" s="2"/>
      <c r="D916" s="2"/>
    </row>
    <row r="917">
      <c r="B917" s="2"/>
      <c r="C917" s="2"/>
      <c r="D917" s="2"/>
    </row>
    <row r="918">
      <c r="B918" s="2"/>
      <c r="C918" s="2"/>
      <c r="D918" s="2"/>
    </row>
    <row r="919">
      <c r="B919" s="2"/>
      <c r="C919" s="2"/>
      <c r="D919" s="2"/>
    </row>
    <row r="920">
      <c r="B920" s="2"/>
      <c r="C920" s="2"/>
      <c r="D920" s="2"/>
    </row>
    <row r="921">
      <c r="B921" s="2"/>
      <c r="C921" s="2"/>
      <c r="D921" s="2"/>
    </row>
    <row r="922">
      <c r="B922" s="2"/>
      <c r="C922" s="2"/>
      <c r="D922" s="2"/>
    </row>
    <row r="923">
      <c r="B923" s="2"/>
      <c r="C923" s="2"/>
      <c r="D923" s="2"/>
    </row>
    <row r="924">
      <c r="B924" s="2"/>
      <c r="C924" s="2"/>
      <c r="D924" s="2"/>
    </row>
    <row r="925">
      <c r="B925" s="2"/>
      <c r="C925" s="2"/>
      <c r="D925" s="2"/>
    </row>
    <row r="926">
      <c r="B926" s="2"/>
      <c r="C926" s="2"/>
      <c r="D926" s="2"/>
    </row>
    <row r="927">
      <c r="B927" s="2"/>
      <c r="C927" s="2"/>
      <c r="D927" s="2"/>
    </row>
    <row r="928">
      <c r="B928" s="2"/>
      <c r="C928" s="2"/>
      <c r="D928" s="2"/>
    </row>
    <row r="929">
      <c r="B929" s="2"/>
      <c r="C929" s="2"/>
      <c r="D929" s="2"/>
    </row>
    <row r="930">
      <c r="B930" s="2"/>
      <c r="C930" s="2"/>
      <c r="D930" s="2"/>
    </row>
    <row r="931">
      <c r="B931" s="2"/>
      <c r="C931" s="2"/>
      <c r="D931" s="2"/>
    </row>
    <row r="932">
      <c r="B932" s="2"/>
      <c r="C932" s="2"/>
      <c r="D932" s="2"/>
    </row>
    <row r="933">
      <c r="B933" s="2"/>
      <c r="C933" s="2"/>
      <c r="D933" s="2"/>
    </row>
    <row r="934">
      <c r="B934" s="2"/>
      <c r="C934" s="2"/>
      <c r="D934" s="2"/>
    </row>
    <row r="935">
      <c r="B935" s="2"/>
      <c r="C935" s="2"/>
      <c r="D935" s="2"/>
    </row>
    <row r="936">
      <c r="B936" s="2"/>
      <c r="C936" s="2"/>
      <c r="D936" s="2"/>
    </row>
    <row r="937">
      <c r="B937" s="2"/>
      <c r="C937" s="2"/>
      <c r="D937" s="2"/>
    </row>
    <row r="938">
      <c r="B938" s="2"/>
      <c r="C938" s="2"/>
      <c r="D938" s="2"/>
    </row>
    <row r="939">
      <c r="B939" s="2"/>
      <c r="C939" s="2"/>
      <c r="D939" s="2"/>
    </row>
    <row r="940">
      <c r="B940" s="2"/>
      <c r="C940" s="2"/>
      <c r="D940" s="2"/>
    </row>
    <row r="941">
      <c r="B941" s="2"/>
      <c r="C941" s="2"/>
      <c r="D941" s="2"/>
    </row>
    <row r="942">
      <c r="B942" s="2"/>
      <c r="C942" s="2"/>
      <c r="D942" s="2"/>
    </row>
    <row r="943">
      <c r="B943" s="2"/>
      <c r="C943" s="2"/>
      <c r="D943" s="2"/>
    </row>
    <row r="944">
      <c r="B944" s="2"/>
      <c r="C944" s="2"/>
      <c r="D944" s="2"/>
    </row>
    <row r="945">
      <c r="B945" s="2"/>
      <c r="C945" s="2"/>
      <c r="D945" s="2"/>
    </row>
    <row r="946">
      <c r="B946" s="2"/>
      <c r="C946" s="2"/>
      <c r="D946" s="2"/>
    </row>
    <row r="947">
      <c r="B947" s="2"/>
      <c r="C947" s="2"/>
      <c r="D947" s="2"/>
    </row>
    <row r="948">
      <c r="B948" s="2"/>
      <c r="C948" s="2"/>
      <c r="D948" s="2"/>
    </row>
    <row r="949">
      <c r="B949" s="2"/>
      <c r="C949" s="2"/>
      <c r="D949" s="2"/>
    </row>
    <row r="950">
      <c r="B950" s="2"/>
      <c r="C950" s="2"/>
      <c r="D950" s="2"/>
    </row>
    <row r="951">
      <c r="B951" s="2"/>
      <c r="C951" s="2"/>
      <c r="D951" s="2"/>
    </row>
    <row r="952">
      <c r="B952" s="2"/>
      <c r="C952" s="2"/>
      <c r="D952" s="2"/>
    </row>
    <row r="953">
      <c r="B953" s="2"/>
      <c r="C953" s="2"/>
      <c r="D953" s="2"/>
    </row>
    <row r="954">
      <c r="B954" s="2"/>
      <c r="C954" s="2"/>
      <c r="D954" s="2"/>
    </row>
    <row r="955">
      <c r="B955" s="2"/>
      <c r="C955" s="2"/>
      <c r="D955" s="2"/>
    </row>
    <row r="956">
      <c r="B956" s="2"/>
      <c r="C956" s="2"/>
      <c r="D956" s="2"/>
    </row>
    <row r="957">
      <c r="B957" s="2"/>
      <c r="C957" s="2"/>
      <c r="D957" s="2"/>
    </row>
    <row r="958">
      <c r="B958" s="2"/>
      <c r="C958" s="2"/>
      <c r="D958" s="2"/>
    </row>
    <row r="959">
      <c r="B959" s="2"/>
      <c r="C959" s="2"/>
      <c r="D959" s="2"/>
    </row>
    <row r="960">
      <c r="B960" s="2"/>
      <c r="C960" s="2"/>
      <c r="D960" s="2"/>
    </row>
    <row r="961">
      <c r="B961" s="2"/>
      <c r="C961" s="2"/>
      <c r="D961" s="2"/>
    </row>
    <row r="962">
      <c r="B962" s="2"/>
      <c r="C962" s="2"/>
      <c r="D962" s="2"/>
    </row>
    <row r="963">
      <c r="B963" s="2"/>
      <c r="C963" s="2"/>
      <c r="D963" s="2"/>
    </row>
    <row r="964">
      <c r="B964" s="2"/>
      <c r="C964" s="2"/>
      <c r="D964" s="2"/>
    </row>
    <row r="965">
      <c r="B965" s="2"/>
      <c r="C965" s="2"/>
      <c r="D965" s="2"/>
    </row>
    <row r="966">
      <c r="B966" s="2"/>
      <c r="C966" s="2"/>
      <c r="D966" s="2"/>
    </row>
    <row r="967">
      <c r="B967" s="2"/>
      <c r="C967" s="2"/>
      <c r="D967" s="2"/>
    </row>
    <row r="968">
      <c r="B968" s="2"/>
      <c r="C968" s="2"/>
      <c r="D968" s="2"/>
    </row>
    <row r="969">
      <c r="B969" s="2"/>
      <c r="C969" s="2"/>
      <c r="D969" s="2"/>
    </row>
    <row r="970">
      <c r="B970" s="2"/>
      <c r="C970" s="2"/>
      <c r="D970" s="2"/>
    </row>
    <row r="971">
      <c r="B971" s="2"/>
      <c r="C971" s="2"/>
      <c r="D971" s="2"/>
    </row>
    <row r="972">
      <c r="B972" s="2"/>
      <c r="C972" s="2"/>
      <c r="D972" s="2"/>
    </row>
    <row r="973">
      <c r="B973" s="2"/>
      <c r="C973" s="2"/>
      <c r="D973" s="2"/>
    </row>
    <row r="974">
      <c r="B974" s="2"/>
      <c r="C974" s="2"/>
      <c r="D974" s="2"/>
    </row>
    <row r="975">
      <c r="B975" s="2"/>
      <c r="C975" s="2"/>
      <c r="D975" s="2"/>
    </row>
    <row r="976">
      <c r="B976" s="2"/>
      <c r="C976" s="2"/>
      <c r="D976" s="2"/>
    </row>
    <row r="977">
      <c r="B977" s="2"/>
      <c r="C977" s="2"/>
      <c r="D977" s="2"/>
    </row>
    <row r="978">
      <c r="B978" s="2"/>
      <c r="C978" s="2"/>
      <c r="D978" s="2"/>
    </row>
    <row r="979">
      <c r="B979" s="2"/>
      <c r="C979" s="2"/>
      <c r="D979" s="2"/>
    </row>
    <row r="980">
      <c r="B980" s="2"/>
      <c r="C980" s="2"/>
      <c r="D980" s="2"/>
    </row>
    <row r="981">
      <c r="B981" s="2"/>
      <c r="C981" s="2"/>
      <c r="D981" s="2"/>
    </row>
    <row r="982">
      <c r="B982" s="2"/>
      <c r="C982" s="2"/>
      <c r="D982" s="2"/>
    </row>
    <row r="983">
      <c r="B983" s="2"/>
      <c r="C983" s="2"/>
      <c r="D983" s="2"/>
    </row>
    <row r="984">
      <c r="B984" s="2"/>
      <c r="C984" s="2"/>
      <c r="D984" s="2"/>
    </row>
    <row r="985">
      <c r="B985" s="2"/>
      <c r="C985" s="2"/>
      <c r="D985" s="2"/>
    </row>
    <row r="986">
      <c r="B986" s="2"/>
      <c r="C986" s="2"/>
      <c r="D986" s="2"/>
    </row>
    <row r="987">
      <c r="B987" s="2"/>
      <c r="C987" s="2"/>
      <c r="D987" s="2"/>
    </row>
    <row r="988">
      <c r="B988" s="2"/>
      <c r="C988" s="2"/>
      <c r="D988" s="2"/>
    </row>
    <row r="989">
      <c r="B989" s="2"/>
      <c r="C989" s="2"/>
      <c r="D989" s="2"/>
    </row>
    <row r="990">
      <c r="B990" s="2"/>
      <c r="C990" s="2"/>
      <c r="D990" s="2"/>
    </row>
    <row r="991">
      <c r="B991" s="2"/>
      <c r="C991" s="2"/>
      <c r="D991" s="2"/>
    </row>
    <row r="992">
      <c r="B992" s="2"/>
      <c r="C992" s="2"/>
      <c r="D992" s="2"/>
    </row>
    <row r="993">
      <c r="B993" s="2"/>
      <c r="C993" s="2"/>
      <c r="D993" s="2"/>
    </row>
    <row r="994">
      <c r="B994" s="2"/>
      <c r="C994" s="2"/>
      <c r="D994" s="2"/>
    </row>
    <row r="995">
      <c r="B995" s="2"/>
      <c r="C995" s="2"/>
      <c r="D995" s="2"/>
    </row>
    <row r="996">
      <c r="B996" s="2"/>
      <c r="C996" s="2"/>
      <c r="D996" s="2"/>
    </row>
    <row r="997">
      <c r="B997" s="2"/>
      <c r="C997" s="2"/>
      <c r="D997" s="2"/>
    </row>
    <row r="998">
      <c r="B998" s="2"/>
      <c r="C998" s="2"/>
      <c r="D998" s="2"/>
    </row>
    <row r="999">
      <c r="B999" s="2"/>
      <c r="C999" s="2"/>
      <c r="D999" s="2"/>
    </row>
    <row r="1000">
      <c r="B1000" s="2"/>
      <c r="C1000" s="2"/>
      <c r="D1000" s="2"/>
    </row>
  </sheetData>
  <mergeCells count="17">
    <mergeCell ref="C4:C5"/>
    <mergeCell ref="D4:D5"/>
    <mergeCell ref="A8:A12"/>
    <mergeCell ref="A15:A19"/>
    <mergeCell ref="A26:A28"/>
    <mergeCell ref="E4:G4"/>
    <mergeCell ref="E5:G5"/>
    <mergeCell ref="G19:H19"/>
    <mergeCell ref="A22:R24"/>
    <mergeCell ref="G26:H28"/>
    <mergeCell ref="A2:A5"/>
    <mergeCell ref="B2:B3"/>
    <mergeCell ref="C2:C3"/>
    <mergeCell ref="D2:D3"/>
    <mergeCell ref="E2:G2"/>
    <mergeCell ref="E3:G3"/>
    <mergeCell ref="B4:B5"/>
  </mergeCells>
  <drawing r:id="rId1"/>
</worksheet>
</file>